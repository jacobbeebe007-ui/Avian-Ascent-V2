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40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45.xml"/>
  <Override ContentType="application/vnd.openxmlformats-officedocument.spreadsheetml.worksheet+xml" PartName="/xl/worksheets/sheet6.xml"/>
  <Override ContentType="application/vnd.openxmlformats-officedocument.spreadsheetml.worksheet+xml" PartName="/xl/worksheets/sheet36.xml"/>
  <Override ContentType="application/vnd.openxmlformats-officedocument.spreadsheetml.worksheet+xml" PartName="/xl/worksheets/sheet16.xml"/>
  <Override ContentType="application/vnd.openxmlformats-officedocument.spreadsheetml.worksheet+xml" PartName="/xl/worksheets/sheet41.xml"/>
  <Override ContentType="application/vnd.openxmlformats-officedocument.spreadsheetml.worksheet+xml" PartName="/xl/worksheets/sheet5.xml"/>
  <Override ContentType="application/vnd.openxmlformats-officedocument.spreadsheetml.worksheet+xml" PartName="/xl/worksheets/sheet46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37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39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42.xml"/>
  <Override ContentType="application/vnd.openxmlformats-officedocument.spreadsheetml.worksheet+xml" PartName="/xl/worksheets/sheet38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34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43.xml"/>
  <Override ContentType="application/vnd.openxmlformats-officedocument.spreadsheetml.worksheet+xml" PartName="/xl/worksheets/sheet14.xml"/>
  <Override ContentType="application/vnd.openxmlformats-officedocument.spreadsheetml.worksheet+xml" PartName="/xl/worksheets/sheet4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vnd.openxmlformats-officedocument.spreadsheetml.worksheet+xml" PartName="/xl/worksheets/sheet3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3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43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34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44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35.xml"/>
  <Override ContentType="application/vnd.openxmlformats-officedocument.drawing+xml" PartName="/xl/drawings/drawing10.xml"/>
  <Override ContentType="application/vnd.openxmlformats-officedocument.drawing+xml" PartName="/xl/drawings/drawing45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40.xml"/>
  <Override ContentType="application/vnd.openxmlformats-officedocument.drawing+xml" PartName="/xl/drawings/drawing1.xml"/>
  <Override ContentType="application/vnd.openxmlformats-officedocument.drawing+xml" PartName="/xl/drawings/drawing36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38.xml"/>
  <Override ContentType="application/vnd.openxmlformats-officedocument.drawing+xml" PartName="/xl/drawings/drawing46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41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42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openxmlformats-officedocument.drawing+xml" PartName="/xl/drawings/drawing37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shboard" sheetId="1" r:id="rId4"/>
    <sheet state="visible" name="Current Rules" sheetId="2" r:id="rId5"/>
    <sheet state="visible" name="Bird &amp; Classes" sheetId="3" r:id="rId6"/>
    <sheet state="visible" name="Affinities &amp; Ailments" sheetId="4" r:id="rId7"/>
    <sheet state="visible" name="Stat Definitions" sheetId="5" r:id="rId8"/>
    <sheet state="visible" name="Effect Tiers" sheetId="6" r:id="rId9"/>
    <sheet state="visible" name="Data Lists" sheetId="7" r:id="rId10"/>
    <sheet state="visible" name="Class Perks" sheetId="8" r:id="rId11"/>
    <sheet state="visible" name="Bird Stats" sheetId="9" r:id="rId12"/>
    <sheet state="visible" name="Bird Abilities" sheetId="10" r:id="rId13"/>
    <sheet state="visible" name="Scaling Model" sheetId="11" r:id="rId14"/>
    <sheet state="visible" name="Progression Rules" sheetId="12" r:id="rId15"/>
    <sheet state="visible" name="Progression Data" sheetId="13" r:id="rId16"/>
    <sheet state="visible" name="Bird Progression" sheetId="14" r:id="rId17"/>
    <sheet state="visible" name="Equipment Budget Grid" sheetId="15" r:id="rId18"/>
    <sheet state="visible" name="Recovery &amp; Defence" sheetId="16" r:id="rId19"/>
    <sheet state="visible" name="Enemy Scaling" sheetId="17" r:id="rId20"/>
    <sheet state="visible" name="Combination Techniques" sheetId="18" r:id="rId21"/>
    <sheet state="visible" name="Ailment Arsenal" sheetId="19" r:id="rId22"/>
    <sheet state="visible" name="Weapon Damage Ranges" sheetId="20" r:id="rId23"/>
    <sheet state="visible" name="NPC Equipment Rules" sheetId="21" r:id="rId24"/>
    <sheet state="visible" name="Passives &amp; Perks" sheetId="22" r:id="rId25"/>
    <sheet state="visible" name="Equipment Dashboard" sheetId="23" r:id="rId26"/>
    <sheet state="visible" name="Core Rules" sheetId="24" r:id="rId27"/>
    <sheet state="visible" name="Equipment Slots" sheetId="25" r:id="rId28"/>
    <sheet state="visible" name="Rarity &amp; Budgets" sheetId="26" r:id="rId29"/>
    <sheet state="visible" name="Weapon Families" sheetId="27" r:id="rId30"/>
    <sheet state="visible" name="Weapons Catalogue" sheetId="28" r:id="rId31"/>
    <sheet state="visible" name="Armour-Plumage" sheetId="29" r:id="rId32"/>
    <sheet state="visible" name="Helmets" sheetId="30" r:id="rId33"/>
    <sheet state="visible" name="Shields" sheetId="31" r:id="rId34"/>
    <sheet state="visible" name="Accessories" sheetId="32" r:id="rId35"/>
    <sheet state="visible" name="Set Bonuses" sheetId="33" r:id="rId36"/>
    <sheet state="visible" name="Materials &amp; Infusions" sheetId="34" r:id="rId37"/>
    <sheet state="visible" name="Ailment Gates" sheetId="35" r:id="rId38"/>
    <sheet state="visible" name="Unified Catalogue" sheetId="36" r:id="rId39"/>
    <sheet state="visible" name="Damage Calculator" sheetId="37" r:id="rId40"/>
    <sheet state="visible" name="Armour Simulator" sheetId="38" r:id="rId41"/>
    <sheet state="visible" name="Skill Rules" sheetId="39" r:id="rId42"/>
    <sheet state="visible" name="Weapon Skill Library" sheetId="40" r:id="rId43"/>
    <sheet state="visible" name="Equipment Skill Library" sheetId="41" r:id="rId44"/>
    <sheet state="visible" name="Fortify &amp; Ward" sheetId="42" r:id="rId45"/>
    <sheet state="visible" name="Skills" sheetId="43" r:id="rId46"/>
    <sheet state="visible" name="Skill Effects" sheetId="44" r:id="rId47"/>
    <sheet state="visible" name="Effect Definitions" sheetId="45" r:id="rId48"/>
    <sheet state="visible" name="Effect Lists" sheetId="46" r:id="rId49"/>
  </sheets>
  <definedNames/>
  <calcPr/>
</workbook>
</file>

<file path=xl/sharedStrings.xml><?xml version="1.0" encoding="utf-8"?>
<sst xmlns="http://schemas.openxmlformats.org/spreadsheetml/2006/main" count="18753" uniqueCount="4113">
  <si>
    <t>Avian Ascent — Current Master Systems</t>
  </si>
  <si>
    <t>Current bird, class, progression and combat data. Bird Stats rows match runtime js/data/birds-v2.js (attributes, L1 Max Health, Base Precision).</t>
  </si>
  <si>
    <t>Area</t>
  </si>
  <si>
    <t>Current Rule / Data</t>
  </si>
  <si>
    <t>Primary Sheet</t>
  </si>
  <si>
    <t>Status</t>
  </si>
  <si>
    <t>Notes</t>
  </si>
  <si>
    <t>Core rules</t>
  </si>
  <si>
    <t>Current combat, stat, defence and equipment foundations</t>
  </si>
  <si>
    <t>Current Rules; Core Rules</t>
  </si>
  <si>
    <t>CURRENT</t>
  </si>
  <si>
    <t>Use the v1.2 Core Rules where equipment-specific wording overlaps.</t>
  </si>
  <si>
    <t>Birds and classes</t>
  </si>
  <si>
    <t>Class identities, bird allocations and class perks</t>
  </si>
  <si>
    <t>Bird &amp; Classes; Bird Stats; Class Perks</t>
  </si>
  <si>
    <t>Active playable data.</t>
  </si>
  <si>
    <t>Passives and innate abilities</t>
  </si>
  <si>
    <t>Implemented species passives, utilities and bird abilities</t>
  </si>
  <si>
    <t>Passives &amp; Perks; Bird Abilities</t>
  </si>
  <si>
    <t>Older passive audits and implementation tabs removed.</t>
  </si>
  <si>
    <t>Affinities and ailments</t>
  </si>
  <si>
    <t>Current affinity interactions, ailment rules and equipment ailment gates</t>
  </si>
  <si>
    <t>Affinities &amp; Ailments; Ailment Arsenal; Ailment Gates</t>
  </si>
  <si>
    <t>Use Ailment Gates for equipment application restrictions.</t>
  </si>
  <si>
    <t>Progression</t>
  </si>
  <si>
    <t>Bird, equipment and enemy scaling rules</t>
  </si>
  <si>
    <t>Progression Rules; Progression Data; Bird Progression; Enemy Scaling</t>
  </si>
  <si>
    <t>Current progression and NPC scaling data.</t>
  </si>
  <si>
    <t>Equipment catalogue</t>
  </si>
  <si>
    <t>Latest weapons, armour, helmets, shields and accessories</t>
  </si>
  <si>
    <t>Unified Catalogue</t>
  </si>
  <si>
    <t>Individual catalogue sheets remain for easier filtering and editing.</t>
  </si>
  <si>
    <t>Weapon skills</t>
  </si>
  <si>
    <t>Two granted skills per weapon family plus Natural Strike</t>
  </si>
  <si>
    <t>Weapon Skill Library; Skill Rules</t>
  </si>
  <si>
    <t>Skill 1 is generally 2 EN; Skill 2 is generally 3 EN.</t>
  </si>
  <si>
    <t>Equipment skills</t>
  </si>
  <si>
    <t>Defensive and accessory-granted skills</t>
  </si>
  <si>
    <t>Equipment Skill Library</t>
  </si>
  <si>
    <t>Uses Armour, Magic Armour, Fortify and Ward terminology.</t>
  </si>
  <si>
    <t>Restoration</t>
  </si>
  <si>
    <t>Restoration heals only to normal maximum with shorter cooldowns</t>
  </si>
  <si>
    <t>Fortify &amp; Ward; Skill Rules</t>
  </si>
  <si>
    <t>Standard baseline: 2 EN and 1-turn cooldown.</t>
  </si>
  <si>
    <t>Fortify and Ward</t>
  </si>
  <si>
    <t>Heal protection and raise the temporary maximum by the same amount</t>
  </si>
  <si>
    <t>Fortify &amp; Ward</t>
  </si>
  <si>
    <t>Standard baseline: 3 EN, 2-turn duration and 2-turn cooldown.</t>
  </si>
  <si>
    <t>Calculators</t>
  </si>
  <si>
    <t>Current damage and armour testing tools</t>
  </si>
  <si>
    <t>Damage Calculator; Armour Simulator</t>
  </si>
  <si>
    <t>Legacy loadout and battle tools removed because they used superseded data.</t>
  </si>
  <si>
    <t>Physical ailments</t>
  </si>
  <si>
    <t>Fracture → Shattered</t>
  </si>
  <si>
    <t>Affinities &amp; Ailments; Ailment Gates</t>
  </si>
  <si>
    <t>Greatblade and heavy-breaker identity.</t>
  </si>
  <si>
    <t>Crippled → Immobilised</t>
  </si>
  <si>
    <t>Bow and evasive-control identity.</t>
  </si>
  <si>
    <t>Dazed → Concussed</t>
  </si>
  <si>
    <t>Beak Hammer and blunt-impact identity.</t>
  </si>
  <si>
    <t>Structured effects</t>
  </si>
  <si>
    <t>Skills and Skill Effects are now the authoritative workbook structure for mechanics. Legacy text remains for migration comparison.</t>
  </si>
  <si>
    <t>Skills; Skill Effects; Effect Definitions; Effect Lists</t>
  </si>
  <si>
    <t>CURRENT — MIGRATION</t>
  </si>
  <si>
    <t>105 skills and 170 structured effect rows. 11 skills flagged for review.</t>
  </si>
  <si>
    <t>Structured Effects Migration Summary</t>
  </si>
  <si>
    <t>Metric</t>
  </si>
  <si>
    <t>Value</t>
  </si>
  <si>
    <t>Meaning</t>
  </si>
  <si>
    <t>Active skills registered</t>
  </si>
  <si>
    <t>Includes 5 Basic Attacks, 36 weapon skills and 64 equipment skills.</t>
  </si>
  <si>
    <t>Effect rows generated</t>
  </si>
  <si>
    <t>One row per structured mechanic.</t>
  </si>
  <si>
    <t>Current Rules Register</t>
  </si>
  <si>
    <t>The active rules. Vitality→Max Health is the current runtime conversion (+3 HP per Vitality). Older 5%-of-Base-Health snapshots are superseded.</t>
  </si>
  <si>
    <t>Rule ID</t>
  </si>
  <si>
    <t>Category</t>
  </si>
  <si>
    <t>Current Rule</t>
  </si>
  <si>
    <t>Version</t>
  </si>
  <si>
    <t>Implemented In</t>
  </si>
  <si>
    <t>Design Note</t>
  </si>
  <si>
    <t>R-STAT-001</t>
  </si>
  <si>
    <t>Vitality</t>
  </si>
  <si>
    <t>Each +1 Vitality increases Max Health by 3 (flat).</t>
  </si>
  <si>
    <t>Confirmed</t>
  </si>
  <si>
    <t>0.8</t>
  </si>
  <si>
    <t>Stat Definitions; Scaling Model</t>
  </si>
  <si>
    <t>L1 Max Health = Base Health + Vitality × 3. Later levels add ½ original Base Health before Vitality.</t>
  </si>
  <si>
    <t>R-STAT-002</t>
  </si>
  <si>
    <t>Might</t>
  </si>
  <si>
    <t>Each +1 Might adds 2.5 percentage points to Physical Strength weapon damage.</t>
  </si>
  <si>
    <t>Stat Definitions; Skill Library</t>
  </si>
  <si>
    <t>Additive with Skill Power.</t>
  </si>
  <si>
    <t>R-STAT-003</t>
  </si>
  <si>
    <t>Dexterity</t>
  </si>
  <si>
    <t>Each +1 Dexterity adds 2.5 percentage points to Physical Finesse weapon damage.</t>
  </si>
  <si>
    <t>Rogue, bow, crossbow and finesse weapons use Dexterity.</t>
  </si>
  <si>
    <t>R-STAT-004</t>
  </si>
  <si>
    <t>Focus</t>
  </si>
  <si>
    <t>Each +1 Focus adds 2.5 percentage points to Magic weapon damage.</t>
  </si>
  <si>
    <t>R-STAT-005</t>
  </si>
  <si>
    <t>Agility</t>
  </si>
  <si>
    <t>Higher Agility acts first; each point grants 0.5% Dodge, capped at 50%.</t>
  </si>
  <si>
    <t>Stat Definitions; Loadout Builder</t>
  </si>
  <si>
    <t>Agility does not increase normal damage.</t>
  </si>
  <si>
    <t>R-DEF-001</t>
  </si>
  <si>
    <t>Guard</t>
  </si>
  <si>
    <t>Guard creates Physical mitigation rating at 2.5 rating per point.</t>
  </si>
  <si>
    <t>Recovery &amp; Defence</t>
  </si>
  <si>
    <t>Use diminishing returns.</t>
  </si>
  <si>
    <t>R-DEF-002</t>
  </si>
  <si>
    <t>Resolve</t>
  </si>
  <si>
    <t>Resolve creates Magic mitigation rating at 2.5 rating per point.</t>
  </si>
  <si>
    <t>R-DEF-003</t>
  </si>
  <si>
    <t>Mitigation</t>
  </si>
  <si>
    <t>Mitigation = Rating ÷ (100 + Rating), capped at 75%.</t>
  </si>
  <si>
    <t>Recovery &amp; Defence; Damage Lab</t>
  </si>
  <si>
    <t>Penetration reduces the flat defence first.</t>
  </si>
  <si>
    <t>R-EFF-001</t>
  </si>
  <si>
    <t>Effect Tiers</t>
  </si>
  <si>
    <t>Minor ±4, Moderate ±10, Major ±20 flat stat.</t>
  </si>
  <si>
    <t>Strongest same-direction tier applies.</t>
  </si>
  <si>
    <t>R-WPN-001</t>
  </si>
  <si>
    <t>Weapon Damage</t>
  </si>
  <si>
    <t>Every damaging weapon has a minimum and maximum damage range.</t>
  </si>
  <si>
    <t>Weapon Damage Ranges; Equipment Catalogue</t>
  </si>
  <si>
    <t>Non-weapons have no weapon range.</t>
  </si>
  <si>
    <t>R-WPN-002</t>
  </si>
  <si>
    <t>Skill Power</t>
  </si>
  <si>
    <t>Raw Damage = Weapon Damage × ((Skill Power + Scaling Stat × 2.5) ÷ 100).</t>
  </si>
  <si>
    <t>Skill &amp; EN Rules; Damage Lab</t>
  </si>
  <si>
    <t>Stat and Skill Power are additive.</t>
  </si>
  <si>
    <t>R-WPN-003</t>
  </si>
  <si>
    <t>Rarity</t>
  </si>
  <si>
    <t>Rarity improves weapon range, flat stats and item effects; it does not multiply the skill coefficient.</t>
  </si>
  <si>
    <t>Rarity Budgets</t>
  </si>
  <si>
    <t>Prevents triple scaling.</t>
  </si>
  <si>
    <t>R-WPN-004</t>
  </si>
  <si>
    <t>Multi-hit</t>
  </si>
  <si>
    <t>Skill Power is the total across all hits and is divided by hit count.</t>
  </si>
  <si>
    <t>Skill Library</t>
  </si>
  <si>
    <t>Four hits at 140% total are 35% each.</t>
  </si>
  <si>
    <t>R-EQP-001</t>
  </si>
  <si>
    <t>Core Equipment</t>
  </si>
  <si>
    <t>Ordinary equipment grants flat core stats only.</t>
  </si>
  <si>
    <t>Equipment Stats</t>
  </si>
  <si>
    <t>No Vitality/Might/Dexterity/Guard/Focus/Resolve/Agility percentages.</t>
  </si>
  <si>
    <t>R-NPC-001</t>
  </si>
  <si>
    <t>NPC Equipment</t>
  </si>
  <si>
    <t>NPCs use the same item values and loadout formulas as players.</t>
  </si>
  <si>
    <t>NPC Equipment Rules; Enemy Scaling</t>
  </si>
  <si>
    <t>Standard difficulty has no hidden damage multiplier.</t>
  </si>
  <si>
    <t>R-BIRD-001</t>
  </si>
  <si>
    <t>Base Health</t>
  </si>
  <si>
    <t>Base Health is set by real size: Tiny 8, Small 10, Medium 12, Large 14, Very Large 16, Giant 18; Duke/Boss Override 20.</t>
  </si>
  <si>
    <t>0.9</t>
  </si>
  <si>
    <t>Bird Stats; v0.9 Base Stats</t>
  </si>
  <si>
    <t>No universal +20 Health.</t>
  </si>
  <si>
    <t>R-BIRD-002</t>
  </si>
  <si>
    <t>Attribute Budget</t>
  </si>
  <si>
    <t>Grey–Purple birds use 30 level-one attribute points; Gold uses 32; Orange uses 34.</t>
  </si>
  <si>
    <t>Pre-built birds; no player allocation screen.</t>
  </si>
  <si>
    <t>R-BIRD-003</t>
  </si>
  <si>
    <t>Tier Caps</t>
  </si>
  <si>
    <t>Individual level-one stat caps: Grey 10, Green 12, Blue 14, Purple 16, Gold/Orange 18.</t>
  </si>
  <si>
    <t>Zero-value stats are legal.</t>
  </si>
  <si>
    <t>R-NPC-002</t>
  </si>
  <si>
    <t>Enemy Base Stats</t>
  </si>
  <si>
    <t>Normal enemies use the same species Base Health and attribute row as the matching player bird.</t>
  </si>
  <si>
    <t>Bird Stats; Enemy Scaling</t>
  </si>
  <si>
    <t>Difficulty does not replace species base stats with hidden bonuses.</t>
  </si>
  <si>
    <t>R-DATA-001</t>
  </si>
  <si>
    <t>Structured Effects</t>
  </si>
  <si>
    <t>The master workbook is the authoritative source for structured skill mechanics. Each active skill is defined in Skills and one or more rows in Skill Effects.</t>
  </si>
  <si>
    <t>1.6</t>
  </si>
  <si>
    <t>Skills; Skill Effects</t>
  </si>
  <si>
    <t>Legacy prose is retained only for parity checks during migration.</t>
  </si>
  <si>
    <t>R-DATA-002</t>
  </si>
  <si>
    <t>Runtime Data</t>
  </si>
  <si>
    <t>Combat code must consume validated structured effects. Player-facing mechanical descriptions should be generated from the same effect data.</t>
  </si>
  <si>
    <t>Planned</t>
  </si>
  <si>
    <t>Effect Definitions; Effect Lists</t>
  </si>
  <si>
    <t>Structured effects take precedence over legacy parsing during the transition.</t>
  </si>
  <si>
    <t>R-DATA-003</t>
  </si>
  <si>
    <t>Validation</t>
  </si>
  <si>
    <t>Unknown effect types, invalid targets, invalid ailment IDs and incomplete required fields must fail import or CI validation rather than silently falling back.</t>
  </si>
  <si>
    <t>Complex source-driven effects remain explicitly flagged for review.</t>
  </si>
  <si>
    <t>Bird and Class Equipment Identities</t>
  </si>
  <si>
    <t>Class identity after Dexterity/Agility separation. Every bird is pre-built from its tier budget, and zero-value stats are legal.</t>
  </si>
  <si>
    <t>Class</t>
  </si>
  <si>
    <t>Primary Offence</t>
  </si>
  <si>
    <t>Secondary Identity</t>
  </si>
  <si>
    <t>Typical Weapon Families</t>
  </si>
  <si>
    <t>Agility Profile</t>
  </si>
  <si>
    <t>Defensive Profile</t>
  </si>
  <si>
    <t>Equipment Direction</t>
  </si>
  <si>
    <t>Knight</t>
  </si>
  <si>
    <t>Greatblade, Lance, Beak Hammer</t>
  </si>
  <si>
    <t>Low–Moderate</t>
  </si>
  <si>
    <t>High Guard / Vitality</t>
  </si>
  <si>
    <t>Heavy armour, shields, flat Might and Guard</t>
  </si>
  <si>
    <t>Dexterity is not a default Knight damage stat.</t>
  </si>
  <si>
    <t>Rogue</t>
  </si>
  <si>
    <t>Agility / Critical</t>
  </si>
  <si>
    <t>Dagger Pinion, Talon Blade, Duel Sabre, Greatbow</t>
  </si>
  <si>
    <t>High</t>
  </si>
  <si>
    <t>Low Guard; relies on Dodge and positioning</t>
  </si>
  <si>
    <t>Light gear, flat Dexterity and Agility</t>
  </si>
  <si>
    <t>Agility controls turn order/Dodge only.</t>
  </si>
  <si>
    <t>Mage</t>
  </si>
  <si>
    <t>Resolve / Magic Penetration</t>
  </si>
  <si>
    <t>Wand, Staff, Focus Orb, Grimoire</t>
  </si>
  <si>
    <t>High Resolve</t>
  </si>
  <si>
    <t>Mystic gear and flat Focus</t>
  </si>
  <si>
    <t>Weapon range supplies the damage base.</t>
  </si>
  <si>
    <t>Siren</t>
  </si>
  <si>
    <t>Ailments / Agility</t>
  </si>
  <si>
    <t>Hexwood Wand, Focus Orb, Lament Song</t>
  </si>
  <si>
    <t>Moderate–High</t>
  </si>
  <si>
    <t>Moderate Resolve</t>
  </si>
  <si>
    <t>Ailment chance and Focus</t>
  </si>
  <si>
    <t>Ailment riders reduce direct Skill Power.</t>
  </si>
  <si>
    <t>Inquisitor</t>
  </si>
  <si>
    <t>Might / Focus</t>
  </si>
  <si>
    <t>Vitality / Resolve</t>
  </si>
  <si>
    <t>Bell Sceptre, War Scythe, Focus Orb</t>
  </si>
  <si>
    <t>Low</t>
  </si>
  <si>
    <t>High Vitality / Resolve</t>
  </si>
  <si>
    <t>Defensive hybrid flat stats</t>
  </si>
  <si>
    <t>Hybrid techniques split weapon components.</t>
  </si>
  <si>
    <t>Bard</t>
  </si>
  <si>
    <t>Dexterity / Focus</t>
  </si>
  <si>
    <t>Support / Agility</t>
  </si>
  <si>
    <t>Bard Song, Talon Blade, Greatbow</t>
  </si>
  <si>
    <t>Moderate</t>
  </si>
  <si>
    <t>Balanced</t>
  </si>
  <si>
    <t>Mixed finesse/magic and healing</t>
  </si>
  <si>
    <t>Support effects consume direct damage budget.</t>
  </si>
  <si>
    <t>Brute</t>
  </si>
  <si>
    <t>Vitality / Guard</t>
  </si>
  <si>
    <t>Beak Hammer, Greatblade, War Scythe</t>
  </si>
  <si>
    <t>Very high Vitality / Guard</t>
  </si>
  <si>
    <t>Heavy flat stats and Agility penalties</t>
  </si>
  <si>
    <t>No hidden Brute damage multiplier.</t>
  </si>
  <si>
    <t>Duke</t>
  </si>
  <si>
    <t>Build dependent</t>
  </si>
  <si>
    <t>Unique equipment permissions</t>
  </si>
  <si>
    <t>Any curated family</t>
  </si>
  <si>
    <t>Variable</t>
  </si>
  <si>
    <t>Unique loadout rules</t>
  </si>
  <si>
    <t>Uses the same base formulas.</t>
  </si>
  <si>
    <t>Affinities, Ailments &amp; Conditions</t>
  </si>
  <si>
    <t>v0.6 replaces the fantasy Affinity labels with Earth, Sky, Storm, Day, Night and Water; adds Shock and Paralysed; and rebuilds ailment stacks, resolved states and control safeguards. Numerical balance values remain Working Draft.</t>
  </si>
  <si>
    <t>Attacker ↓ / Defender →</t>
  </si>
  <si>
    <t>Earth</t>
  </si>
  <si>
    <t>Sky</t>
  </si>
  <si>
    <t>Storm</t>
  </si>
  <si>
    <t>Day</t>
  </si>
  <si>
    <t>Night</t>
  </si>
  <si>
    <t>Water</t>
  </si>
  <si>
    <t>Affinity</t>
  </si>
  <si>
    <t>Strong Against</t>
  </si>
  <si>
    <t>Resisted By</t>
  </si>
  <si>
    <t>Colour / Symbol Direction</t>
  </si>
  <si>
    <t>Aligned Status</t>
  </si>
  <si>
    <t>Damage Rule</t>
  </si>
  <si>
    <t>Storm, Day</t>
  </si>
  <si>
    <t>Sky, Water</t>
  </si>
  <si>
    <t>Brown earth / stone</t>
  </si>
  <si>
    <t>Poison → Toxic</t>
  </si>
  <si>
    <t>Affinity modifies Martial or Magic damage after defence.</t>
  </si>
  <si>
    <t>Dominant 1.20×; resisted 0.80×.</t>
  </si>
  <si>
    <t>Earth, Night</t>
  </si>
  <si>
    <t>White sky / wind</t>
  </si>
  <si>
    <t>Echo / Delayed damage</t>
  </si>
  <si>
    <t>Sky uses a timed condition rather than a stacking ailment.</t>
  </si>
  <si>
    <t>Yellow lightning</t>
  </si>
  <si>
    <t>Shock → Paralysed</t>
  </si>
  <si>
    <t>Paralysed restricts Energy instead of skipping the full turn.</t>
  </si>
  <si>
    <t>Night, Sky</t>
  </si>
  <si>
    <t>Earth, Water</t>
  </si>
  <si>
    <t>Red/orange sun</t>
  </si>
  <si>
    <t>Burn → Incinerating → Scorched</t>
  </si>
  <si>
    <t>Confirmed structure</t>
  </si>
  <si>
    <t>Numerical damage values remain Working Draft.</t>
  </si>
  <si>
    <t>Storm, Water</t>
  </si>
  <si>
    <t>Day, Sky</t>
  </si>
  <si>
    <t>Purple spiral / moon</t>
  </si>
  <si>
    <t>Bleed</t>
  </si>
  <si>
    <t>Bleed stacks to three and supplies exact Healing Down.</t>
  </si>
  <si>
    <t>Earth, Day</t>
  </si>
  <si>
    <t>Storm, Night</t>
  </si>
  <si>
    <t>Blue wave</t>
  </si>
  <si>
    <t>Chilled → Frozen</t>
  </si>
  <si>
    <t>Frozen remains the complete turn-denial state.</t>
  </si>
  <si>
    <t>Stacking Ailments — Working Draft Numerical Values</t>
  </si>
  <si>
    <t>Ailment</t>
  </si>
  <si>
    <t>Maximum</t>
  </si>
  <si>
    <t>Per-Stack Value</t>
  </si>
  <si>
    <t>Per-Stack Effect</t>
  </si>
  <si>
    <t>Tick / Timing</t>
  </si>
  <si>
    <t>Maximum-Stack Resolution</t>
  </si>
  <si>
    <t>Duration / Refresh</t>
  </si>
  <si>
    <t>Burn</t>
  </si>
  <si>
    <t>Max Health as Magic damage per stack; reduced by Resolve.</t>
  </si>
  <si>
    <t>End of the target's turn.</t>
  </si>
  <si>
    <t>Consume all stacks and become Incinerating.</t>
  </si>
  <si>
    <t>Three target turns; new stacks refresh the shared duration.</t>
  </si>
  <si>
    <t>Working Draft values</t>
  </si>
  <si>
    <t>Poison</t>
  </si>
  <si>
    <t>Max Health loss per stack; ignores Guard and Resolve.</t>
  </si>
  <si>
    <t>Consume all stacks and become Toxic.</t>
  </si>
  <si>
    <t>Max Health as Martial damage plus 10% Healing Down per stack.</t>
  </si>
  <si>
    <t>Remain at 3 stacks: 3% damage and 30% Healing Down.</t>
  </si>
  <si>
    <t>Chilled</t>
  </si>
  <si>
    <t>Agility per stack.</t>
  </si>
  <si>
    <t>Continuous while stacks remain.</t>
  </si>
  <si>
    <t>Consume all stacks and become Frozen.</t>
  </si>
  <si>
    <t>Shock</t>
  </si>
  <si>
    <t>Precision percentage points per stack.</t>
  </si>
  <si>
    <t>Consume all stacks and become Paralysed.</t>
  </si>
  <si>
    <t>Resolved States and Follow-on Conditions</t>
  </si>
  <si>
    <t>State</t>
  </si>
  <si>
    <t>Created By</t>
  </si>
  <si>
    <t>Effect</t>
  </si>
  <si>
    <t>Duration</t>
  </si>
  <si>
    <t>Refresh</t>
  </si>
  <si>
    <t>Control Safeguard</t>
  </si>
  <si>
    <t>Equipment Interaction</t>
  </si>
  <si>
    <t>Incinerating</t>
  </si>
  <si>
    <t>5 Burn stacks</t>
  </si>
  <si>
    <t>At the end of the target's next turn, take 6% Max Health as Magic damage, then become Scorched.</t>
  </si>
  <si>
    <t>One target turn.</t>
  </si>
  <si>
    <t>Cannot be refreshed.</t>
  </si>
  <si>
    <t>Not hard control.</t>
  </si>
  <si>
    <t>Burn protection covers Incinerating.</t>
  </si>
  <si>
    <t>Working Draft value</t>
  </si>
  <si>
    <t>Scorched</t>
  </si>
  <si>
    <t>Incinerating resolves</t>
  </si>
  <si>
    <t>Minor Guard Down and Minor Resolve Down.</t>
  </si>
  <si>
    <t>Until the end of the target's next turn.</t>
  </si>
  <si>
    <t>Equal applications refresh.</t>
  </si>
  <si>
    <t>Uses the Minor tier: −6% to both defences.</t>
  </si>
  <si>
    <t>Toxic</t>
  </si>
  <si>
    <t>5 Poison stacks</t>
  </si>
  <si>
    <t>Lose 5% Max Health at the end of each of the next two turns; ignores Guard and Resolve.</t>
  </si>
  <si>
    <t>Two target turns.</t>
  </si>
  <si>
    <t>Poison protection covers Toxic.</t>
  </si>
  <si>
    <t>Frozen</t>
  </si>
  <si>
    <t>5 Chilled stacks</t>
  </si>
  <si>
    <t>Skip the next turn. Normal EN recovery, cooldown progression and end-of-turn effects still occur.</t>
  </si>
  <si>
    <t>One skipped turn.</t>
  </si>
  <si>
    <t>Gain Control Resistance after it resolves.</t>
  </si>
  <si>
    <t>Chill protection covers Frozen.</t>
  </si>
  <si>
    <t>Paralysed</t>
  </si>
  <si>
    <t>5 Shock stacks</t>
  </si>
  <si>
    <t>After normal EN recovery on the next turn, cap current EN at 2. The bird may still act.</t>
  </si>
  <si>
    <t>Until the end of that turn.</t>
  </si>
  <si>
    <t>Shock protection covers Paralysed.</t>
  </si>
  <si>
    <t>Control Resistance</t>
  </si>
  <si>
    <t>Frozen or Paralysed resolves</t>
  </si>
  <si>
    <t>Cannot gain Chilled or Shock stacks.</t>
  </si>
  <si>
    <t>Until the end of the bird's next completed turn.</t>
  </si>
  <si>
    <t>A new resolved control state reapplies it only after that state ends.</t>
  </si>
  <si>
    <t>Prevents alternating Freeze/Paralysis locks.</t>
  </si>
  <si>
    <t>Cannot be bypassed by ordinary equipment.</t>
  </si>
  <si>
    <t>Universal Ailment Rules</t>
  </si>
  <si>
    <t>Rule</t>
  </si>
  <si>
    <t>Definition</t>
  </si>
  <si>
    <t>Implementation Note</t>
  </si>
  <si>
    <t>Shared duration</t>
  </si>
  <si>
    <t>Each stacking ailment uses one three-target-turn duration for all of its stacks.</t>
  </si>
  <si>
    <t>Do not track a separate timer per stack.</t>
  </si>
  <si>
    <t>Applying another stack refreshes the entire base-ailment duration.</t>
  </si>
  <si>
    <t>An equal application is deterministic after a landed hit.</t>
  </si>
  <si>
    <t>Maximum conversion</t>
  </si>
  <si>
    <t>Reaching the maximum immediately consumes the base stacks and creates the resolved state.</t>
  </si>
  <si>
    <t>Bleed is the exception: it remains at three stacks.</t>
  </si>
  <si>
    <t>Resolved lockout</t>
  </si>
  <si>
    <t>Base stacks cannot be applied while their resolved state is active.</t>
  </si>
  <si>
    <t>Overflow stacks are discarded.</t>
  </si>
  <si>
    <t>Tick restrictions</t>
  </si>
  <si>
    <t>Ailment damage cannot Critical, generate Ultimate Meter, trigger Lifesteal or trigger on-hit effects.</t>
  </si>
  <si>
    <t>Calculate the full tick before rounding.</t>
  </si>
  <si>
    <t>Ailment ticks do not apply an additional Affinity multiplier.</t>
  </si>
  <si>
    <t>The action that applied the ailment may still use Affinity normally.</t>
  </si>
  <si>
    <t>A damaging multi-hit action applies its ailment rider once if at least one hit lands.</t>
  </si>
  <si>
    <t>Do not apply a rider per hit.</t>
  </si>
  <si>
    <t>Per-action limit</t>
  </si>
  <si>
    <t>Ordinary actions apply no more than 2 stacks of one ailment.</t>
  </si>
  <si>
    <t>Only a telegraphed Ultimate or boss permission may exceed it.</t>
  </si>
  <si>
    <t>Per-turn limit</t>
  </si>
  <si>
    <t>A bird applies no more than 4 stacks of the same ailment during its turn.</t>
  </si>
  <si>
    <t>Prevents 4 EN combination loops from resolving hard control immediately.</t>
  </si>
  <si>
    <t>Application roll</t>
  </si>
  <si>
    <t>Most technique riders are guaranteed after the attack lands; incidental passives may use one named chance roll per action.</t>
  </si>
  <si>
    <t>Remove a second generic ailment-chance roll from normal techniques.</t>
  </si>
  <si>
    <t>Other Conditions — Not Stacking Ailments</t>
  </si>
  <si>
    <t>Condition</t>
  </si>
  <si>
    <t>Resolution</t>
  </si>
  <si>
    <t>Tier Use</t>
  </si>
  <si>
    <t>Stacking</t>
  </si>
  <si>
    <t>Delayed</t>
  </si>
  <si>
    <t>Stores exact damage to resolve at the end of the target's next turn.</t>
  </si>
  <si>
    <t>Remove after the stored damage resolves.</t>
  </si>
  <si>
    <t>Exact stored damage; no effect tier.</t>
  </si>
  <si>
    <t>Separate instances require an explicit permission.</t>
  </si>
  <si>
    <t>Sky-aligned Echo effects use this condition.</t>
  </si>
  <si>
    <t>Fear</t>
  </si>
  <si>
    <t>The target's next damaging action receives Major Damage Down.</t>
  </si>
  <si>
    <t>Remove after that action resolves.</t>
  </si>
  <si>
    <t>Major = −12%.</t>
  </si>
  <si>
    <t>Strongest applies.</t>
  </si>
  <si>
    <t>Working Draft</t>
  </si>
  <si>
    <t>Reserved for calls, songs and named control actions.</t>
  </si>
  <si>
    <t>Confused</t>
  </si>
  <si>
    <t>The target's next hostile action receives Major Precision Down.</t>
  </si>
  <si>
    <t>Major = −8 percentage points.</t>
  </si>
  <si>
    <t>Weakened</t>
  </si>
  <si>
    <t>Apply Moderate Might Down and Moderate Focus Down.</t>
  </si>
  <si>
    <t>Moderate = −8% to both stats.</t>
  </si>
  <si>
    <t>Strongest same-stat effect applies.</t>
  </si>
  <si>
    <t>Not a stacking ailment.</t>
  </si>
  <si>
    <t>Physical Stacking Ailments — Confirmed</t>
  </si>
  <si>
    <t>Gate</t>
  </si>
  <si>
    <t>Fracture</t>
  </si>
  <si>
    <t>-2 Guard and -4% Armour restoration received per stack.</t>
  </si>
  <si>
    <t>Consume all stacks and become Shattered.</t>
  </si>
  <si>
    <t>Physical / Armour-gated</t>
  </si>
  <si>
    <t>Crippled</t>
  </si>
  <si>
    <t>-2 Agility and -2 percentage points Dodge per stack.</t>
  </si>
  <si>
    <t>Consume all stacks and become Immobilised.</t>
  </si>
  <si>
    <t>Dazed</t>
  </si>
  <si>
    <t>-4 Precision and -2 Skill Power per stack.</t>
  </si>
  <si>
    <t>Consume all stacks and become Concussed.</t>
  </si>
  <si>
    <t>Physical Resolved States</t>
  </si>
  <si>
    <t>Shattered</t>
  </si>
  <si>
    <t>5 Fracture stacks</t>
  </si>
  <si>
    <t>For 2 turns: -10 Guard, -25% Armour restoration and Fortify healing received; physical attacks gain +3 effective penetration.</t>
  </si>
  <si>
    <t>Physical ailment resistance covers Fracture and Shattered.</t>
  </si>
  <si>
    <t>Immobilised</t>
  </si>
  <si>
    <t>5 Crippled stacks</t>
  </si>
  <si>
    <t>For 1 turn: Dodge becomes 0%; mobility, retreat, charge and evasive utility skills cannot be used. The target may still attack normally.</t>
  </si>
  <si>
    <t>Not full turn denial.</t>
  </si>
  <si>
    <t>Physical ailment resistance covers Crippled and Immobilised.</t>
  </si>
  <si>
    <t>Concussed</t>
  </si>
  <si>
    <t>5 Dazed stacks</t>
  </si>
  <si>
    <t>For 1 turn: -20 Precision and -15 Skill Power. The next offensive skill costs +1 EN, then Concussed ends. Basic Attack remains 1 EN.</t>
  </si>
  <si>
    <t>Until the next offensive skill or end of the target's turn.</t>
  </si>
  <si>
    <t>Does not prevent acting.</t>
  </si>
  <si>
    <t>Physical ailment resistance covers Dazed and Concussed.</t>
  </si>
  <si>
    <t>Stat Definitions — Weapon-First Model</t>
  </si>
  <si>
    <t>Current runtime conversions. Core equipment attributes are flat-only. Vitality is +3 Max Health per point.</t>
  </si>
  <si>
    <t>Order</t>
  </si>
  <si>
    <t>Stat ID</t>
  </si>
  <si>
    <t>Display Name</t>
  </si>
  <si>
    <t>Conversion</t>
  </si>
  <si>
    <t>Equipment Rule</t>
  </si>
  <si>
    <t>Cap</t>
  </si>
  <si>
    <t>Formula</t>
  </si>
  <si>
    <t>HPBase</t>
  </si>
  <si>
    <t>Health</t>
  </si>
  <si>
    <t>Real-size Base Health before Vitality</t>
  </si>
  <si>
    <t>Not a normal item roll</t>
  </si>
  <si>
    <t>Boss exceptions explicit</t>
  </si>
  <si>
    <t>Tiny 8 / Small 10 / Medium 12 / Large 14 / Very Large 16 / Giant 18 / Boss Override 20</t>
  </si>
  <si>
    <t>Universal +20 Health removed in v0.9.</t>
  </si>
  <si>
    <t>VIT</t>
  </si>
  <si>
    <t>+3 Max Health per point</t>
  </si>
  <si>
    <t>Flat only</t>
  </si>
  <si>
    <t>No separate stat cap</t>
  </si>
  <si>
    <t>Max Health = Leveled Base Health + Final Vitality × 3</t>
  </si>
  <si>
    <t>Leveled Base Health = Base Health + (level − 1) × (Base Health × 0.5).</t>
  </si>
  <si>
    <t>MIG</t>
  </si>
  <si>
    <t>Offence</t>
  </si>
  <si>
    <t>+2.5 percentage points Physical Strength damage per point</t>
  </si>
  <si>
    <t>Weapon × ((Skill Power + Might × 2.5) ÷ 100)</t>
  </si>
  <si>
    <t>Strength weapons only.</t>
  </si>
  <si>
    <t>DEX</t>
  </si>
  <si>
    <t>+2.5 percentage points Physical Finesse damage per point</t>
  </si>
  <si>
    <t>Weapon × ((Skill Power + Dexterity × 2.5) ÷ 100)</t>
  </si>
  <si>
    <t>Rogue/finesse weapons.</t>
  </si>
  <si>
    <t>FOC</t>
  </si>
  <si>
    <t>+2.5 percentage points Magic damage per point</t>
  </si>
  <si>
    <t>Weapon × ((Skill Power + Focus × 2.5) ÷ 100)</t>
  </si>
  <si>
    <t>Magic weapons.</t>
  </si>
  <si>
    <t>GRD</t>
  </si>
  <si>
    <t>Defence</t>
  </si>
  <si>
    <t>2.5 Physical mitigation rating per point</t>
  </si>
  <si>
    <t>75% final mitigation</t>
  </si>
  <si>
    <t>MIN(75%, Rating ÷ (100 + Rating))</t>
  </si>
  <si>
    <t>Penetration reduces Guard first.</t>
  </si>
  <si>
    <t>RES</t>
  </si>
  <si>
    <t>2.5 Magic mitigation rating per point</t>
  </si>
  <si>
    <t>Penetration reduces Resolve first.</t>
  </si>
  <si>
    <t>AGI</t>
  </si>
  <si>
    <t>Tempo</t>
  </si>
  <si>
    <t>Direct turn-order comparison; +0.5% Dodge per point</t>
  </si>
  <si>
    <t>50% Dodge</t>
  </si>
  <si>
    <t>MIN(50%, Agility × 0.5%)</t>
  </si>
  <si>
    <t>Agility above 100 still affects turn order.</t>
  </si>
  <si>
    <t>CRIT</t>
  </si>
  <si>
    <t>Critical Chance</t>
  </si>
  <si>
    <t>Secondary</t>
  </si>
  <si>
    <t>Percentage-point chance</t>
  </si>
  <si>
    <t>Controlled percentage points</t>
  </si>
  <si>
    <t>50% recommended</t>
  </si>
  <si>
    <t>Base + equipment + effects</t>
  </si>
  <si>
    <t>Not a core stat.</t>
  </si>
  <si>
    <t>FER</t>
  </si>
  <si>
    <t>Ferocity</t>
  </si>
  <si>
    <t>Critical damage multiplier</t>
  </si>
  <si>
    <t>Small flat multiplier additions only</t>
  </si>
  <si>
    <t>2.00× recommended</t>
  </si>
  <si>
    <t>Base Ferocity + equipment</t>
  </si>
  <si>
    <t>Not multiplied by rarity.</t>
  </si>
  <si>
    <t>PEN-P</t>
  </si>
  <si>
    <t>Physical Penetration</t>
  </si>
  <si>
    <t>Reduces flat Guard before rating conversion</t>
  </si>
  <si>
    <t>Controlled percentage or flat named effects</t>
  </si>
  <si>
    <t>40% recommended</t>
  </si>
  <si>
    <t>Effective Guard = MAX(0, Guard × (1 − Pen%))</t>
  </si>
  <si>
    <t>Flat penetration can be added before percentage penetration.</t>
  </si>
  <si>
    <t>PEN-M</t>
  </si>
  <si>
    <t>Magic Penetration</t>
  </si>
  <si>
    <t>Reduces flat Resolve before rating conversion</t>
  </si>
  <si>
    <t>Effective Resolve = MAX(0, Resolve × (1 − Pen%))</t>
  </si>
  <si>
    <t>Same order as Physical.</t>
  </si>
  <si>
    <t>Flat Buff and Debuff Tiers</t>
  </si>
  <si>
    <t>Minor, Moderate and Major are flat stat changes. Their percentages are consequences of the core conversion rules.</t>
  </si>
  <si>
    <t>Tier</t>
  </si>
  <si>
    <t>Flat Buff</t>
  </si>
  <si>
    <t>Flat Debuff</t>
  </si>
  <si>
    <t>Offensive Conversion</t>
  </si>
  <si>
    <t>Agility/Dodge Conversion</t>
  </si>
  <si>
    <t>Vitality Conversion</t>
  </si>
  <si>
    <t>Normal Use</t>
  </si>
  <si>
    <t>Stacking Rule</t>
  </si>
  <si>
    <t>Example</t>
  </si>
  <si>
    <t>Minor</t>
  </si>
  <si>
    <t>±10 percentage points weapon scaling</t>
  </si>
  <si>
    <t>±2% Dodge and turn-order change</t>
  </si>
  <si>
    <t>±20% Base Health contribution</t>
  </si>
  <si>
    <t>Common short rider</t>
  </si>
  <si>
    <t>Strongest same direction applies</t>
  </si>
  <si>
    <t>Minor Dexterity Up: +4 Dexterity; a 90% dagger skill gains 10 percentage points.</t>
  </si>
  <si>
    <t>±25 percentage points weapon scaling</t>
  </si>
  <si>
    <t>±5% Dodge and turn-order change</t>
  </si>
  <si>
    <t>±50% Base Health contribution</t>
  </si>
  <si>
    <t>Meaningful cost/condition</t>
  </si>
  <si>
    <t>Moderate Guard Down removes 10 Guard before mitigation conversion.</t>
  </si>
  <si>
    <t>Major</t>
  </si>
  <si>
    <t>±50 percentage points weapon scaling</t>
  </si>
  <si>
    <t>±10% Dodge and turn-order change</t>
  </si>
  <si>
    <t>±100% Base Health contribution</t>
  </si>
  <si>
    <t>Ultimate, difficult setup or one-turn effect</t>
  </si>
  <si>
    <t>Major Focus Up grants +20 Focus; it does not multiply the final attack.</t>
  </si>
  <si>
    <t>Data Lists and Validation Sources</t>
  </si>
  <si>
    <t>Support lists for the active v0.8 sheets.</t>
  </si>
  <si>
    <t>Rank</t>
  </si>
  <si>
    <t>Damage Factor</t>
  </si>
  <si>
    <t>Core Roll</t>
  </si>
  <si>
    <t>Vitality Roll</t>
  </si>
  <si>
    <t>Attribute Lines</t>
  </si>
  <si>
    <t>Damage Type</t>
  </si>
  <si>
    <t>Scaling Stat</t>
  </si>
  <si>
    <t>Effect Tier</t>
  </si>
  <si>
    <t>Flat Value</t>
  </si>
  <si>
    <t>Equipment IDs</t>
  </si>
  <si>
    <t>Grey</t>
  </si>
  <si>
    <t>Physical Strength</t>
  </si>
  <si>
    <t>EQ-TB-GRY</t>
  </si>
  <si>
    <t>Green</t>
  </si>
  <si>
    <t>Physical Finesse</t>
  </si>
  <si>
    <t>EQ-TB-GRN</t>
  </si>
  <si>
    <t>Blue</t>
  </si>
  <si>
    <t>Magic</t>
  </si>
  <si>
    <t>EQ-TB-BLU</t>
  </si>
  <si>
    <t>Purple</t>
  </si>
  <si>
    <t>Hybrid</t>
  </si>
  <si>
    <t>EQ-TB-PUR</t>
  </si>
  <si>
    <t>Gold</t>
  </si>
  <si>
    <t>Utility</t>
  </si>
  <si>
    <t>EQ-TB-GLD</t>
  </si>
  <si>
    <t>Orange</t>
  </si>
  <si>
    <t>EQ-TB-ORG</t>
  </si>
  <si>
    <t>EQ-BH-GRY</t>
  </si>
  <si>
    <t>EQ-BH-GRN</t>
  </si>
  <si>
    <t>EQ-BH-BLU</t>
  </si>
  <si>
    <t>EQ-BH-PUR</t>
  </si>
  <si>
    <t>EQ-BH-GLD</t>
  </si>
  <si>
    <t>EQ-BH-ORG</t>
  </si>
  <si>
    <t>EQ-WD-GRY</t>
  </si>
  <si>
    <t>EQ-WD-GRN</t>
  </si>
  <si>
    <t>EQ-WD-BLU</t>
  </si>
  <si>
    <t>EQ-WD-PUR</t>
  </si>
  <si>
    <t>EQ-WD-GLD</t>
  </si>
  <si>
    <t>EQ-WD-ORG</t>
  </si>
  <si>
    <t>EQ-SC-GRY</t>
  </si>
  <si>
    <t>EQ-SC-GRN</t>
  </si>
  <si>
    <t>EQ-SC-BLU</t>
  </si>
  <si>
    <t>EQ-SC-PUR</t>
  </si>
  <si>
    <t>EQ-SC-GLD</t>
  </si>
  <si>
    <t>EQ-SC-ORG</t>
  </si>
  <si>
    <t>EQ-LN-GRY</t>
  </si>
  <si>
    <t>EQ-LN-GRN</t>
  </si>
  <si>
    <t>EQ-LN-BLU</t>
  </si>
  <si>
    <t>EQ-LN-PUR</t>
  </si>
  <si>
    <t>EQ-LN-GLD</t>
  </si>
  <si>
    <t>EQ-LN-ORG</t>
  </si>
  <si>
    <t>EQ-ST-GRY</t>
  </si>
  <si>
    <t>EQ-ST-GRN</t>
  </si>
  <si>
    <t>EQ-ST-BLU</t>
  </si>
  <si>
    <t>EQ-ST-PUR</t>
  </si>
  <si>
    <t>EQ-ST-GLD</t>
  </si>
  <si>
    <t>EQ-ST-ORG</t>
  </si>
  <si>
    <t>EQ-GB-GRY</t>
  </si>
  <si>
    <t>EQ-GB-GRN</t>
  </si>
  <si>
    <t>EQ-GB-BLU</t>
  </si>
  <si>
    <t>EQ-GB-PUR</t>
  </si>
  <si>
    <t>EQ-GB-GLD</t>
  </si>
  <si>
    <t>EQ-GB-ORG</t>
  </si>
  <si>
    <t>EQ-BS-GRY</t>
  </si>
  <si>
    <t>EQ-BS-GRN</t>
  </si>
  <si>
    <t>EQ-BS-BLU</t>
  </si>
  <si>
    <t>EQ-BS-PUR</t>
  </si>
  <si>
    <t>EQ-BS-GLD</t>
  </si>
  <si>
    <t>EQ-BS-ORG</t>
  </si>
  <si>
    <t>EQ-AL-GRY</t>
  </si>
  <si>
    <t>EQ-AL-GRN</t>
  </si>
  <si>
    <t>EQ-AL-BLU</t>
  </si>
  <si>
    <t>EQ-AL-PUR</t>
  </si>
  <si>
    <t>EQ-AL-GLD</t>
  </si>
  <si>
    <t>EQ-AL-ORG</t>
  </si>
  <si>
    <t>EQ-AM-GRY</t>
  </si>
  <si>
    <t>EQ-AM-GRN</t>
  </si>
  <si>
    <t>EQ-AM-BLU</t>
  </si>
  <si>
    <t>EQ-AM-PUR</t>
  </si>
  <si>
    <t>EQ-AM-GLD</t>
  </si>
  <si>
    <t>EQ-AM-ORG</t>
  </si>
  <si>
    <t>EQ-AH-GRY</t>
  </si>
  <si>
    <t>EQ-AH-GRN</t>
  </si>
  <si>
    <t>EQ-AH-BLU</t>
  </si>
  <si>
    <t>EQ-AH-PUR</t>
  </si>
  <si>
    <t>EQ-AH-GLD</t>
  </si>
  <si>
    <t>EQ-AH-ORG</t>
  </si>
  <si>
    <t>EQ-AX-GRY</t>
  </si>
  <si>
    <t>EQ-AX-GRN</t>
  </si>
  <si>
    <t>EQ-AX-BLU</t>
  </si>
  <si>
    <t>EQ-AX-PUR</t>
  </si>
  <si>
    <t>EQ-AX-GLD</t>
  </si>
  <si>
    <t>EQ-AX-ORG</t>
  </si>
  <si>
    <t>EQ-SL-GRY</t>
  </si>
  <si>
    <t>EQ-SL-GRN</t>
  </si>
  <si>
    <t>EQ-SL-BLU</t>
  </si>
  <si>
    <t>EQ-SL-PUR</t>
  </si>
  <si>
    <t>EQ-SL-GLD</t>
  </si>
  <si>
    <t>EQ-SL-ORG</t>
  </si>
  <si>
    <t>EQ-SM-GRY</t>
  </si>
  <si>
    <t>EQ-SM-GRN</t>
  </si>
  <si>
    <t>EQ-SM-BLU</t>
  </si>
  <si>
    <t>EQ-SM-PUR</t>
  </si>
  <si>
    <t>EQ-SM-GLD</t>
  </si>
  <si>
    <t>EQ-SM-ORG</t>
  </si>
  <si>
    <t>EQ-SH-GRY</t>
  </si>
  <si>
    <t>EQ-SH-GRN</t>
  </si>
  <si>
    <t>EQ-SH-BLU</t>
  </si>
  <si>
    <t>EQ-SH-PUR</t>
  </si>
  <si>
    <t>EQ-SH-GLD</t>
  </si>
  <si>
    <t>EQ-SH-ORG</t>
  </si>
  <si>
    <t>EQ-HP-GRY</t>
  </si>
  <si>
    <t>EQ-HP-GRN</t>
  </si>
  <si>
    <t>EQ-HP-BLU</t>
  </si>
  <si>
    <t>EQ-HP-PUR</t>
  </si>
  <si>
    <t>EQ-HP-GLD</t>
  </si>
  <si>
    <t>EQ-HP-ORG</t>
  </si>
  <si>
    <t>EQ-HM-GRY</t>
  </si>
  <si>
    <t>EQ-HM-GRN</t>
  </si>
  <si>
    <t>EQ-HM-BLU</t>
  </si>
  <si>
    <t>EQ-HM-PUR</t>
  </si>
  <si>
    <t>EQ-HM-GLD</t>
  </si>
  <si>
    <t>EQ-HM-ORG</t>
  </si>
  <si>
    <t>EQ-AS-GRY</t>
  </si>
  <si>
    <t>EQ-AS-GRN</t>
  </si>
  <si>
    <t>EQ-AS-BLU</t>
  </si>
  <si>
    <t>EQ-AS-PUR</t>
  </si>
  <si>
    <t>EQ-AS-GLD</t>
  </si>
  <si>
    <t>EQ-AS-ORG</t>
  </si>
  <si>
    <t>EQ-AI-GRY</t>
  </si>
  <si>
    <t>EQ-AI-GRN</t>
  </si>
  <si>
    <t>EQ-AI-BLU</t>
  </si>
  <si>
    <t>EQ-AI-PUR</t>
  </si>
  <si>
    <t>EQ-AI-GLD</t>
  </si>
  <si>
    <t>EQ-AI-ORG</t>
  </si>
  <si>
    <t>EQ-AR-GRY</t>
  </si>
  <si>
    <t>EQ-AR-GRN</t>
  </si>
  <si>
    <t>EQ-AR-BLU</t>
  </si>
  <si>
    <t>EQ-AR-PUR</t>
  </si>
  <si>
    <t>EQ-AR-GLD</t>
  </si>
  <si>
    <t>EQ-AR-ORG</t>
  </si>
  <si>
    <t>EQ-NF-GRY</t>
  </si>
  <si>
    <t>EQ-NF-GRN</t>
  </si>
  <si>
    <t>EQ-NF-BLU</t>
  </si>
  <si>
    <t>EQ-NF-PUR</t>
  </si>
  <si>
    <t>EQ-NF-GLD</t>
  </si>
  <si>
    <t>EQ-NF-ORG</t>
  </si>
  <si>
    <t>EQ-NH-GRY</t>
  </si>
  <si>
    <t>EQ-NH-GRN</t>
  </si>
  <si>
    <t>EQ-NH-BLU</t>
  </si>
  <si>
    <t>EQ-NH-PUR</t>
  </si>
  <si>
    <t>EQ-NH-GLD</t>
  </si>
  <si>
    <t>EQ-NH-ORG</t>
  </si>
  <si>
    <t>EQ-TD-GRY</t>
  </si>
  <si>
    <t>EQ-TD-GRN</t>
  </si>
  <si>
    <t>EQ-TD-BLU</t>
  </si>
  <si>
    <t>EQ-TD-PUR</t>
  </si>
  <si>
    <t>EQ-TD-GLD</t>
  </si>
  <si>
    <t>EQ-TD-ORG</t>
  </si>
  <si>
    <t>EQ-WS-GRY</t>
  </si>
  <si>
    <t>EQ-WS-GRN</t>
  </si>
  <si>
    <t>EQ-WS-BLU</t>
  </si>
  <si>
    <t>EQ-WS-PUR</t>
  </si>
  <si>
    <t>EQ-WS-GLD</t>
  </si>
  <si>
    <t>EQ-WS-ORG</t>
  </si>
  <si>
    <t>EQ-FO-GRY</t>
  </si>
  <si>
    <t>EQ-FO-GRN</t>
  </si>
  <si>
    <t>EQ-FO-BLU</t>
  </si>
  <si>
    <t>EQ-FO-PUR</t>
  </si>
  <si>
    <t>EQ-FO-GLD</t>
  </si>
  <si>
    <t>EQ-FO-ORG</t>
  </si>
  <si>
    <t>EQ-HW-GRY</t>
  </si>
  <si>
    <t>EQ-HW-GRN</t>
  </si>
  <si>
    <t>EQ-HW-BLU</t>
  </si>
  <si>
    <t>EQ-HW-PUR</t>
  </si>
  <si>
    <t>EQ-HW-GLD</t>
  </si>
  <si>
    <t>EQ-HW-ORG</t>
  </si>
  <si>
    <t>EQ-BW-GRY</t>
  </si>
  <si>
    <t>EQ-BW-GRN</t>
  </si>
  <si>
    <t>EQ-BW-BLU</t>
  </si>
  <si>
    <t>EQ-BW-PUR</t>
  </si>
  <si>
    <t>EQ-BW-GLD</t>
  </si>
  <si>
    <t>EQ-BW-ORG</t>
  </si>
  <si>
    <t>EQ-CY-GRY</t>
  </si>
  <si>
    <t>EQ-CY-GRN</t>
  </si>
  <si>
    <t>EQ-CY-BLU</t>
  </si>
  <si>
    <t>EQ-CY-PUR</t>
  </si>
  <si>
    <t>EQ-CY-GLD</t>
  </si>
  <si>
    <t>EQ-CY-ORG</t>
  </si>
  <si>
    <t>EQ-RG-GRY</t>
  </si>
  <si>
    <t>EQ-RG-GRN</t>
  </si>
  <si>
    <t>EQ-RG-BLU</t>
  </si>
  <si>
    <t>EQ-RG-PUR</t>
  </si>
  <si>
    <t>EQ-RG-GLD</t>
  </si>
  <si>
    <t>EQ-RG-ORG</t>
  </si>
  <si>
    <t>EQ-LM-GRY</t>
  </si>
  <si>
    <t>EQ-LM-GRN</t>
  </si>
  <si>
    <t>EQ-LM-BLU</t>
  </si>
  <si>
    <t>EQ-LM-PUR</t>
  </si>
  <si>
    <t>EQ-LM-GLD</t>
  </si>
  <si>
    <t>EQ-LM-ORG</t>
  </si>
  <si>
    <t>EQ-HT-GRY</t>
  </si>
  <si>
    <t>EQ-HT-GRN</t>
  </si>
  <si>
    <t>EQ-HT-BLU</t>
  </si>
  <si>
    <t>EQ-HT-PUR</t>
  </si>
  <si>
    <t>EQ-HT-GLD</t>
  </si>
  <si>
    <t>EQ-HT-ORG</t>
  </si>
  <si>
    <t>EQ-DS-GRY</t>
  </si>
  <si>
    <t>EQ-DS-GRN</t>
  </si>
  <si>
    <t>EQ-DS-BLU</t>
  </si>
  <si>
    <t>EQ-DS-PUR</t>
  </si>
  <si>
    <t>EQ-DS-GLD</t>
  </si>
  <si>
    <t>EQ-DS-ORG</t>
  </si>
  <si>
    <t>EQ-SV-GRY</t>
  </si>
  <si>
    <t>EQ-SV-GRN</t>
  </si>
  <si>
    <t>EQ-SV-BLU</t>
  </si>
  <si>
    <t>EQ-SV-PUR</t>
  </si>
  <si>
    <t>EQ-SV-GLD</t>
  </si>
  <si>
    <t>EQ-SV-ORG</t>
  </si>
  <si>
    <t>EQ-HH-GRY</t>
  </si>
  <si>
    <t>EQ-HH-GRN</t>
  </si>
  <si>
    <t>EQ-HH-BLU</t>
  </si>
  <si>
    <t>EQ-HH-PUR</t>
  </si>
  <si>
    <t>EQ-HH-GLD</t>
  </si>
  <si>
    <t>EQ-HH-ORG</t>
  </si>
  <si>
    <t>EQ-BC-GRY</t>
  </si>
  <si>
    <t>EQ-BC-GRN</t>
  </si>
  <si>
    <t>EQ-BC-BLU</t>
  </si>
  <si>
    <t>EQ-BC-PUR</t>
  </si>
  <si>
    <t>EQ-BC-GLD</t>
  </si>
  <si>
    <t>EQ-BC-ORG</t>
  </si>
  <si>
    <t>EQ-MW-GRY</t>
  </si>
  <si>
    <t>EQ-MW-GRN</t>
  </si>
  <si>
    <t>EQ-MW-BLU</t>
  </si>
  <si>
    <t>EQ-MW-PUR</t>
  </si>
  <si>
    <t>EQ-MW-GLD</t>
  </si>
  <si>
    <t>EQ-MW-ORG</t>
  </si>
  <si>
    <t>EQ-TK-GRY</t>
  </si>
  <si>
    <t>EQ-TK-GRN</t>
  </si>
  <si>
    <t>EQ-TK-BLU</t>
  </si>
  <si>
    <t>EQ-TK-PUR</t>
  </si>
  <si>
    <t>EQ-TK-GLD</t>
  </si>
  <si>
    <t>EQ-TK-ORG</t>
  </si>
  <si>
    <t>EQ-PS-GRY</t>
  </si>
  <si>
    <t>EQ-PS-GRN</t>
  </si>
  <si>
    <t>EQ-PS-BLU</t>
  </si>
  <si>
    <t>EQ-PS-PUR</t>
  </si>
  <si>
    <t>EQ-PS-GLD</t>
  </si>
  <si>
    <t>EQ-PS-ORG</t>
  </si>
  <si>
    <t>EQ-HA-GRY</t>
  </si>
  <si>
    <t>EQ-HA-GRN</t>
  </si>
  <si>
    <t>EQ-HA-BLU</t>
  </si>
  <si>
    <t>EQ-HA-PUR</t>
  </si>
  <si>
    <t>EQ-HA-GLD</t>
  </si>
  <si>
    <t>EQ-HA-ORG</t>
  </si>
  <si>
    <t>EQ-AP-GRY</t>
  </si>
  <si>
    <t>EQ-AP-GRN</t>
  </si>
  <si>
    <t>EQ-AP-BLU</t>
  </si>
  <si>
    <t>EQ-AP-PUR</t>
  </si>
  <si>
    <t>EQ-AP-GLD</t>
  </si>
  <si>
    <t>EQ-AP-ORG</t>
  </si>
  <si>
    <t>Class Stat, Equipment and Authoritative Perk Directions — v1.0</t>
  </si>
  <si>
    <t>High-level class directions updated for Dexterity and Agility separation.</t>
  </si>
  <si>
    <t>Base Health Direction</t>
  </si>
  <si>
    <t>Primary Weapons</t>
  </si>
  <si>
    <t>NPC Equipment Policy</t>
  </si>
  <si>
    <t>AI Policy</t>
  </si>
  <si>
    <t>v0.8 Note</t>
  </si>
  <si>
    <t>Class Perk</t>
  </si>
  <si>
    <t>Always Active Effect</t>
  </si>
  <si>
    <t>Trigger / Limit</t>
  </si>
  <si>
    <t>New-System Hook</t>
  </si>
  <si>
    <t>Greatblade / Lance / Hammer</t>
  </si>
  <si>
    <t>Curated heavy flat-stat loadout</t>
  </si>
  <si>
    <t>Defensive setup and telegraphed heavy attacks</t>
  </si>
  <si>
    <t>No hidden damage multiplier.</t>
  </si>
  <si>
    <t>Bulwark Oath</t>
  </si>
  <si>
    <t>Once per turn, after using Armour Restoration or Fortify, gain Minor Guard Up (+4 Guard) until the start of your next turn.</t>
  </si>
  <si>
    <t>Once per turn after Armour Restoration or Fortify.</t>
  </si>
  <si>
    <t>Armour restoration; Fortify; Guard</t>
  </si>
  <si>
    <t>Daggers / Talons / Sabres / Greatbow</t>
  </si>
  <si>
    <t>Light flat Dexterity/Agility loadout</t>
  </si>
  <si>
    <t>Tempo, precision and conditional burst</t>
  </si>
  <si>
    <t>Dodge derives from Agility only.</t>
  </si>
  <si>
    <t>Rogue Tempo</t>
  </si>
  <si>
    <t>Once per turn, if acting before the target, your first Weapon Skill 1 gains +10 Precision. If that skill breaks Armour, gain Minor Agility Up (+4 Agility) until the start of your next turn.</t>
  </si>
  <si>
    <t>Once per turn; applies to a 2 EN Weapon Skill 1.</t>
  </si>
  <si>
    <t>Weapon Skill 1; Armour break; turn order</t>
  </si>
  <si>
    <t>Wand / Staff / Orb / Grimoire</t>
  </si>
  <si>
    <t>Focus/Resolve loadout</t>
  </si>
  <si>
    <t>Magic setup and penetration</t>
  </si>
  <si>
    <t>Magic damage uses weapon range.</t>
  </si>
  <si>
    <t>Arcane Pressure</t>
  </si>
  <si>
    <t>The first Magic weapon skill you use each turn deals 10% additional damage to Magic Armour only. This bonus does not increase Health damage.</t>
  </si>
  <si>
    <t>Once per turn on the first Magic weapon skill.</t>
  </si>
  <si>
    <t>Magic Armour pressure</t>
  </si>
  <si>
    <t>Hexwood / Orb / Lament</t>
  </si>
  <si>
    <t>Focus/ailment loadout</t>
  </si>
  <si>
    <t>Stack and condition management</t>
  </si>
  <si>
    <t>Ailments consume Skill Power budget.</t>
  </si>
  <si>
    <t>Cursed Call</t>
  </si>
  <si>
    <t>Once per turn after you break Magic Armour, the next ailment or stat debuff you apply to that target gains +10 percentage points application chance and lasts 1 additional turn.</t>
  </si>
  <si>
    <t>Once per turn; consumed by the next qualifying ailment or debuff.</t>
  </si>
  <si>
    <t>Magic Armour break; ailment gate</t>
  </si>
  <si>
    <t>Sceptre / Scythe / Orb</t>
  </si>
  <si>
    <t>Vitality/Resolve hybrid</t>
  </si>
  <si>
    <t>Sustain and punish</t>
  </si>
  <si>
    <t>Same formulas as player.</t>
  </si>
  <si>
    <t>Judgement Leech</t>
  </si>
  <si>
    <t>Once per turn after a damaging skill hits an ailmented, debuffed or Marked target, restore 2 to the lower of Armour or Magic Armour, capped at its normal maximum. If both pools are full, heal 5% Maximum Health.</t>
  </si>
  <si>
    <t>Once per turn after Health damage to a qualifying target.</t>
  </si>
  <si>
    <t>Protection restoration; ailments; marks</t>
  </si>
  <si>
    <t>Song / Talon / Greatbow</t>
  </si>
  <si>
    <t>Mixed support loadout</t>
  </si>
  <si>
    <t>Alternates support and damage</t>
  </si>
  <si>
    <t>Support AI is not maximum-DPE only.</t>
  </si>
  <si>
    <t>Verse and Chorus</t>
  </si>
  <si>
    <t>Once per turn, when you alternate Martial and Magic damaging skills, the second skill restores 2 to the lower protection pool. If both pools are full, it gains +10 Skill Power instead.</t>
  </si>
  <si>
    <t>Once per turn on the second skill in a Martial/Magic alternation.</t>
  </si>
  <si>
    <t>Hybrid weapons; protection restoration; Skill Power</t>
  </si>
  <si>
    <t>Very High</t>
  </si>
  <si>
    <t>Hammer / Greatblade / Scythe</t>
  </si>
  <si>
    <t>Heavy flat-stat loadout</t>
  </si>
  <si>
    <t>Slow pressure and telegraphed burst</t>
  </si>
  <si>
    <t>Heavy gear may lower Agility.</t>
  </si>
  <si>
    <t>Crushing Momentum</t>
  </si>
  <si>
    <t>Once per turn after Armour absorbs physical damage, your next Strength weapon skill gains +10 Skill Power.</t>
  </si>
  <si>
    <t>Once per turn; consumed on the next Strength weapon skill.</t>
  </si>
  <si>
    <t>Armour absorption; Strength weapon skills</t>
  </si>
  <si>
    <t>Curated unique</t>
  </si>
  <si>
    <t>Unique but budgeted</t>
  </si>
  <si>
    <t>Encounter-specific</t>
  </si>
  <si>
    <t>No duplicate class perk.</t>
  </si>
  <si>
    <t>Duke Ascension</t>
  </si>
  <si>
    <t>After defeating an enemy, restore 25% of normal Maximum Armour and Magic Armour and gain +5% all damage for the remainder of combat.</t>
  </si>
  <si>
    <t>After each enemy defeated in sequential combat.</t>
  </si>
  <si>
    <t>Sequential combat; protection restoration</t>
  </si>
  <si>
    <t>Authoritative Class Perk Register</t>
  </si>
  <si>
    <t>Perk Name</t>
  </si>
  <si>
    <t>Perk Effect</t>
  </si>
  <si>
    <t>Balance Note</t>
  </si>
  <si>
    <t>Duplicate Audit</t>
  </si>
  <si>
    <t>Defensive class hook. Does not create Armour by itself.</t>
  </si>
  <si>
    <t>PASS — one perk per class</t>
  </si>
  <si>
    <t>APPROVED v1.0</t>
  </si>
  <si>
    <t>Replaces the legacy first 1 EN damage bonus.</t>
  </si>
  <si>
    <t>Encourages breaking Magic Armour without inflating Health damage.</t>
  </si>
  <si>
    <t>Does not bypass Magic Armour or guarantee application.</t>
  </si>
  <si>
    <t>Carrion Mark and other non-stat Marks may qualify when explicitly stated.</t>
  </si>
  <si>
    <t>The second skill must be a damaging skill.</t>
  </si>
  <si>
    <t>Boss Duke override remains separate: while above 50% Health, +10% damage and 10% less damage taken.</t>
  </si>
  <si>
    <t>Bird Base Stats — current runtime (birds-v2)</t>
  </si>
  <si>
    <t>All 52 birds: size Base Health, tier-budgeted attributes, L1 Max Health (Base Health + Vitality × 3), Dodge (Agility × 0.5%), and Base Precision (class + size + species). Player and NPC birds share these rows.</t>
  </si>
  <si>
    <t>Bird Name</t>
  </si>
  <si>
    <t>Real Size</t>
  </si>
  <si>
    <t>Species Tier</t>
  </si>
  <si>
    <t>Tier Rank</t>
  </si>
  <si>
    <t>Starter?</t>
  </si>
  <si>
    <t>Base Vitality</t>
  </si>
  <si>
    <t>Derived Dodge %</t>
  </si>
  <si>
    <t>Critical %</t>
  </si>
  <si>
    <t>Primary Scaling</t>
  </si>
  <si>
    <t>Role Note</t>
  </si>
  <si>
    <t>Migration Note</t>
  </si>
  <si>
    <t>Attribute Total</t>
  </si>
  <si>
    <t>Tier Budget</t>
  </si>
  <si>
    <t>Tier Stat Cap</t>
  </si>
  <si>
    <t>Budget Audit</t>
  </si>
  <si>
    <t>Cap Audit</t>
  </si>
  <si>
    <t>Passive Name</t>
  </si>
  <si>
    <t>Passive Summary</t>
  </si>
  <si>
    <t>Class Perk Summary</t>
  </si>
  <si>
    <t>Sparrow</t>
  </si>
  <si>
    <t>Small</t>
  </si>
  <si>
    <t>Yes</t>
  </si>
  <si>
    <t>Starter rogue: balanced tiny skirmisher; uses Dexterity/Might light chains, not raw burst.</t>
  </si>
  <si>
    <t>v0.9 pre-built base allocation: 30 points; Grey cap 10; Base Health 10 from Small size. Player and NPC instances use this same Bird Stats row.</t>
  </si>
  <si>
    <t>Fledgling Grit</t>
  </si>
  <si>
    <t>After using Hedge Hop, your next Weapon Skill 1 gains +10 Precision and +5 percentage points Critical Chance.</t>
  </si>
  <si>
    <t>Hummingbird</t>
  </si>
  <si>
    <t>Tiny</t>
  </si>
  <si>
    <t>No</t>
  </si>
  <si>
    <t>Extreme Agility/Dodge rogue: lowest durability and Might, strongest tempo identity.</t>
  </si>
  <si>
    <t>v0.9 pre-built base allocation: 30 points; Green cap 12; Base Health 8 from Tiny size. Player and NPC instances use this same Bird Stats row.</t>
  </si>
  <si>
    <t>Ruby Needle Tempo</t>
  </si>
  <si>
    <t>After using two different skills in the same turn, gain Minor Agility Up (+4 Agility) until the start of your next turn and restore 1 Magic Armour, capped at its normal maximum.</t>
  </si>
  <si>
    <t>Blackbird</t>
  </si>
  <si>
    <t>Small mage: controlled Focus and reliable spell pressure; damage comes from coefficients and conditions.</t>
  </si>
  <si>
    <t>Plague-Nocturne</t>
  </si>
  <si>
    <t>Your first Night Magic weapon skill each turn against a debuffed target gains +10 Skill Power against Magic Armour. If it damages Health, it also gains +10 Precision for its debuff or ailment roll.</t>
  </si>
  <si>
    <t>Macaw</t>
  </si>
  <si>
    <t>Large</t>
  </si>
  <si>
    <t>Large Bard: sturdy hybrid support with strong voice and Focus, but no elite damage or Agility.</t>
  </si>
  <si>
    <t>v0.9 pre-built base allocation: 30 points; Grey cap 10; Base Health 14 from Large size. Player and NPC instances use this same Bird Stats row.</t>
  </si>
  <si>
    <t>Scarlet Echo Call</t>
  </si>
  <si>
    <t>When Verse and Chorus triggers, the second skill also gains +10 Precision and restores 1 to the lower protection pool, capped at its normal maximum.</t>
  </si>
  <si>
    <t>Peregrine Falcon</t>
  </si>
  <si>
    <t>Medium</t>
  </si>
  <si>
    <t>Precision rogue: high Agility/Precision for dive attacks; lower Dodge than tiny evasive rogues.</t>
  </si>
  <si>
    <t>v0.9 pre-built base allocation: 30 points; Blue cap 14; Base Health 12 from Medium size. Player and NPC instances use this same Bird Stats row.</t>
  </si>
  <si>
    <t>Skyfall Precision</t>
  </si>
  <si>
    <t>If acting before the target, your first Finesse Weapon Skill 1 or 2 each turn ignores 4 Guard.</t>
  </si>
  <si>
    <t>Snowy Owl</t>
  </si>
  <si>
    <t>Water Mage: frost-water control and magic penetration through Chilled targets.</t>
  </si>
  <si>
    <t>v0.9 pre-built base allocation: 30 points; Blue cap 14; Base Health 14 from Large size. Player and NPC instances use this same Bird Stats row.</t>
  </si>
  <si>
    <t>Frost-Sight Vigil</t>
  </si>
  <si>
    <t>After applying Chilled, your next Magic weapon skill gains +20 Skill Power against Magic Armour.</t>
  </si>
  <si>
    <t>Kiwi</t>
  </si>
  <si>
    <t>Might / Focus / Resolve</t>
  </si>
  <si>
    <t>Grounded Inquisitor: sturdy anti-magic sustain with modest Might and low tempo.</t>
  </si>
  <si>
    <t>Night Forager</t>
  </si>
  <si>
    <t>Your first physical weapon hit each turn against a debuffed or Marked target ignores 4 Guard.</t>
  </si>
  <si>
    <t>Black Cockatoo</t>
  </si>
  <si>
    <t>Resilient Bard: stronger Resolve and hybrid pressure, but lower Agility/Dodge than small Bards.</t>
  </si>
  <si>
    <t>Ashen Rhythm</t>
  </si>
  <si>
    <t>After using a song or call, your next Magic damaging skill deals 2 additional Magic Armour damage. If it damages Health, apply -10 Precision for 1 turn.</t>
  </si>
  <si>
    <t>Crow</t>
  </si>
  <si>
    <t>Might / Guard</t>
  </si>
  <si>
    <t>Core Knight: reliable Might/Guard defender; strong but not a burst Brute.</t>
  </si>
  <si>
    <t>v0.9 pre-built base allocation: 30 points; Grey cap 10; Base Health 12 from Medium size. Player and NPC instances use this same Bird Stats row.</t>
  </si>
  <si>
    <t>Carrion Guard</t>
  </si>
  <si>
    <t>Once per turn after Armour absorbs physical damage, your next weapon skill deals 10% additional damage to Armour. If that hit damages Health, it may apply Minor Might Down (-4 Might) for 1 turn.</t>
  </si>
  <si>
    <t>Kookaburra</t>
  </si>
  <si>
    <t>Focus / Agility</t>
  </si>
  <si>
    <t>Accurate Siren: ailment/control through high Precision and tempo, not high direct damage.</t>
  </si>
  <si>
    <t>v0.9 pre-built base allocation: 30 points; Green cap 12; Base Health 12 from Medium size. Player and NPC instances use this same Bird Stats row.</t>
  </si>
  <si>
    <t>Gallows Laugh</t>
  </si>
  <si>
    <t>After successfully applying a stat debuff, your next magical ailment or debuff against that target gains +10 percentage points application chance.</t>
  </si>
  <si>
    <t>Lyrebird</t>
  </si>
  <si>
    <t>Large Bard: sturdy mimic/support role; lower Precision offsets strong hybrid durability.</t>
  </si>
  <si>
    <t>Mimic Court</t>
  </si>
  <si>
    <t>The first time each combat a song grants Might Up or Focus Up, also gain the other stat at Minor tier (+4) for the same duration and restore 2 Magic Armour.</t>
  </si>
  <si>
    <t>Raven</t>
  </si>
  <si>
    <t>Dark Siren: heavier and stronger Focus than most Sirens, but less accurate/fast.</t>
  </si>
  <si>
    <t>Omen King</t>
  </si>
  <si>
    <t>The first stat debuff you successfully apply each turn also deals 2 Magic Armour damage. If the target already has no Magic Armour, it instead applies -10 Precision for 1 turn.</t>
  </si>
  <si>
    <t>Magpie</t>
  </si>
  <si>
    <t>Aggressive rogue: balanced Agility, Dodge and Martial pressure without reaching the Dodge cap.</t>
  </si>
  <si>
    <t>Silver Swoop</t>
  </si>
  <si>
    <t>After successfully applying Precision Down, your next Finesse weapon skill gains +10 Skill Power against Armour and +10 Precision.</t>
  </si>
  <si>
    <t>Robin</t>
  </si>
  <si>
    <t>Light Bard: quick support with high Agility; fragile compared with larger Bards.</t>
  </si>
  <si>
    <t>Dawn-Breast Vow</t>
  </si>
  <si>
    <t>After using a support utility, your next Day damaging skill gains +10 Skill Power and restores 2 Magic Armour on hit, capped at its normal maximum.</t>
  </si>
  <si>
    <t>Bowerbird</t>
  </si>
  <si>
    <t>Pure controller Siren: strong ailment tempo and Dodge with lower damage stats.</t>
  </si>
  <si>
    <t>Jewel Lure</t>
  </si>
  <si>
    <t>After using Jewel Display, your next Magic hit deals 2 additional Magic Armour damage. If it damages Health, its ailment or debuff gains +10 percentage points application chance.</t>
  </si>
  <si>
    <t>Toucan</t>
  </si>
  <si>
    <t>Martial-leaning Bard: heavy bill attacks/armour pen, weaker Focus than song Bards.</t>
  </si>
  <si>
    <t>Sunfruit Boast</t>
  </si>
  <si>
    <t>After using a Day action, your next song or call restores 2 to the lower protection pool and gains +10 Precision.</t>
  </si>
  <si>
    <t>Swan</t>
  </si>
  <si>
    <t>Very Large</t>
  </si>
  <si>
    <t>Defensive Knight: high Vitality/Guard/Resolve with low Agility/Dodge. Action Precision is skill-owned.</t>
  </si>
  <si>
    <t>v0.9 pre-built base allocation: 30 points; Blue cap 14; Base Health 16 from Very Large size. Player and NPC instances use this same Bird Stats row.</t>
  </si>
  <si>
    <t>Mirrorlake Oath</t>
  </si>
  <si>
    <t>The first time each turn you take damage while above 50% Health, restore 2 Magic Armour, capped at its normal maximum. If Magic Armour is already full, gain Minor Resolve Up (+4 Resolve) until the start of your next turn.</t>
  </si>
  <si>
    <t>Flamingo</t>
  </si>
  <si>
    <t>Balanced Siren: Martial-to-Magic setup identity with moderate Agility and control.</t>
  </si>
  <si>
    <t>v0.9 pre-built base allocation: 30 points; Purple cap 16; Base Health 14 from Large size. Player and NPC instances use this same Bird Stats row.</t>
  </si>
  <si>
    <t>Elegant Balance</t>
  </si>
  <si>
    <t>After successfully applying a debuff, gain Minor Agility Up (+4 Agility) until the start of your next turn and restore 1 Magic Armour.</t>
  </si>
  <si>
    <t>Secretary Bird</t>
  </si>
  <si>
    <t>Mobile Knight: higher Might/Agility martial hunter; trades some Guard and Precision.</t>
  </si>
  <si>
    <t>Serpent-Bane Writ</t>
  </si>
  <si>
    <t>Once per turn after Armour absorbs physical damage, your next Strength weapon skill gains +10 Skill Power against Armour.</t>
  </si>
  <si>
    <t>Albatross</t>
  </si>
  <si>
    <t>Endurance Inquisitor: huge Vitality/Resolve with low Agility/Dodge. Action Precision is skill-owned.</t>
  </si>
  <si>
    <t>v0.9 pre-built base allocation: 30 points; Purple cap 16; Base Health 16 from Very Large size. Player and NPC instances use this same Bird Stats row.</t>
  </si>
  <si>
    <t>Horizon Oath</t>
  </si>
  <si>
    <t>After using a Magic action, restore 2 Magic Armour. If Magic Armour is full, gain +10 Precision until the start of your next turn.</t>
  </si>
  <si>
    <t>Seagull</t>
  </si>
  <si>
    <t>Opportunist rogue: sturdier scavenger with lower Agility than premium rogues. Action Precision is skill-owned.</t>
  </si>
  <si>
    <t>Dockside Raider</t>
  </si>
  <si>
    <t>After damaging a debuffed or Marked target, restore 1 to the lower protection pool and gain Minor Agility Up (+4 Agility) until the start of your next turn.</t>
  </si>
  <si>
    <t>Goose</t>
  </si>
  <si>
    <t>Might / Guard / Vitality</t>
  </si>
  <si>
    <t>Defensive Brute: high Vitality/Guard body-checker with low Agility, Dodge, Resolve and Focus. Action Precision is skill-owned.</t>
  </si>
  <si>
    <t>v0.9 pre-built base allocation: 30 points; Grey cap 10; Base Health 16 from Very Large size. Player and NPC instances use this same Bird Stats row.</t>
  </si>
  <si>
    <t>Marshlord Challenge</t>
  </si>
  <si>
    <t>The first time each turn Armour absorbs physical damage, restore 1 Armour after the hit, capped at normal Maximum Armour.</t>
  </si>
  <si>
    <t>Shoebill Stork</t>
  </si>
  <si>
    <t>Defensive Brute: imposing Might/Guard with stillness conditions; very low mobility and magic.</t>
  </si>
  <si>
    <t>Boghammer Patience</t>
  </si>
  <si>
    <t>If you did not use a damaging action during your previous turn, your next Strength weapon skill gains +20 Skill Power and deals 2 additional Armour damage.</t>
  </si>
  <si>
    <t>Harpy Eagle</t>
  </si>
  <si>
    <t>Large rogue heavy hitter: strong Vitality/Might for Rogue, but low Precision and weaker evasion.</t>
  </si>
  <si>
    <t>v0.9 pre-built base allocation: 32 points; Gold cap 18; Base Health 16 from Very Large size. Player and NPC instances use this same Bird Stats row.</t>
  </si>
  <si>
    <t>Canopy Claim</t>
  </si>
  <si>
    <t>Your first Finesse weapon skill after using Predator Grip ignores 4 Guard and deals 2 additional Armour damage.</t>
  </si>
  <si>
    <t>Bald Eagle</t>
  </si>
  <si>
    <t>Offensive Inquisitor: better Might/Precision than bulky sustain birds; lower Guard than defenders.</t>
  </si>
  <si>
    <t>v0.9 pre-built base allocation: 32 points; Gold cap 18; Base Health 14 from Large size. Player and NPC instances use this same Bird Stats row.</t>
  </si>
  <si>
    <t>Predatory Focus</t>
  </si>
  <si>
    <t>After landing a critical hit, restore 2 to the lower protection pool. If both pools are full, gain +10 Precision until the start of your next turn.</t>
  </si>
  <si>
    <t>Emperor Penguin</t>
  </si>
  <si>
    <t>Giant</t>
  </si>
  <si>
    <t>Fortress Inquisitor: very high Vitality/Resolve and good Guard; extremely slow and inaccurate.</t>
  </si>
  <si>
    <t>v0.9 pre-built base allocation: 32 points; Gold cap 18; Base Health 18 from Giant size. Player and NPC instances use this same Bird Stats row.</t>
  </si>
  <si>
    <t>Polar Resilience</t>
  </si>
  <si>
    <t>After successfully applying Chilled, restore 2 Magic Armour. If Magic Armour is full, gain Minor Resolve Up (+4 Resolve) until the start of your next turn.</t>
  </si>
  <si>
    <t>Ostrich</t>
  </si>
  <si>
    <t>Runner Brute: high Vitality/Might/Agility; low Guard, Precision, Dodge, Resolve, Focus.</t>
  </si>
  <si>
    <t>v0.9 pre-built base allocation: 30 points; Purple cap 16; Base Health 18 from Giant size. Player and NPC instances use this same Bird Stats row.</t>
  </si>
  <si>
    <t>Sand-King Momentum</t>
  </si>
  <si>
    <t>After using Momentum Charge, your next Strength weapon skill gains +20 Skill Power and +10 Precision.</t>
  </si>
  <si>
    <t>Cassowary</t>
  </si>
  <si>
    <t>Killer Brute: highest Brute Might; Heavy techniques carry lower Base Precision or recoil as authored.</t>
  </si>
  <si>
    <t>Helmetbreaker Wrath</t>
  </si>
  <si>
    <t>Your first Strength weapon skill each turn against a Bleeding or Weakened target gains +10 percentage points Critical Chance and deals 2 additional Armour damage.</t>
  </si>
  <si>
    <t>Emu</t>
  </si>
  <si>
    <t>Endurance Runner Brute: fastest Brute; lower Guard/Might than Cassowary/Ostrich.</t>
  </si>
  <si>
    <t>Red-Dust Stampede</t>
  </si>
  <si>
    <t>After Armour absorbs physical damage, gain Minor Agility Up (+4 Agility) until the start of your next turn and your next Strength weapon skill gains +10 Precision.</t>
  </si>
  <si>
    <t>Duke Blakiston</t>
  </si>
  <si>
    <t>Boss Override</t>
  </si>
  <si>
    <t>Final boss only: above normal budget, but major punishments must be telegraphed.</t>
  </si>
  <si>
    <t>v0.9 pre-built base allocation: 34 points; Orange cap 18; Base Health 20 from Boss Override size. Player and NPC instances use this same Bird Stats row.</t>
  </si>
  <si>
    <t>Nightfall Sovereignty</t>
  </si>
  <si>
    <t>The first time each combat you fall below 50% Health, restore 25% of normal Maximum Armour and Magic Armour and gain Moderate Might Up (+10 Might) and Moderate Focus Up (+10 Focus) for 2 turns.</t>
  </si>
  <si>
    <t>Wren</t>
  </si>
  <si>
    <t>Tiny rogue: top-tier Dodge and tempo; fragile and low Might.</t>
  </si>
  <si>
    <t>v0.9 pre-built base allocation: 30 points; Grey cap 10; Base Health 8 from Tiny size. Player and NPC instances use this same Bird Stats row.</t>
  </si>
  <si>
    <t>Bramble Vanishing</t>
  </si>
  <si>
    <t>After you Dodge, your next Weapon Skill 1 gains +10 Precision. If it damages Health, apply -10 Precision to the target for 1 turn.</t>
  </si>
  <si>
    <t>Superb Fairywren</t>
  </si>
  <si>
    <t>Tiny Bard: evasive support; lower Vitality/Might/Guard so it is not an all-rounder.</t>
  </si>
  <si>
    <t>Azure Court Rhythm</t>
  </si>
  <si>
    <t>After a Magic damaging skill, your next Finesse damaging skill gains +5 percentage points Critical Chance and restores 1 to the lower protection pool on hit.</t>
  </si>
  <si>
    <t>Firecrest</t>
  </si>
  <si>
    <t>Burning rogue: fastest ailment skirmisher; very fragile with modest Dodge.</t>
  </si>
  <si>
    <t>Kindled Crown</t>
  </si>
  <si>
    <t>Your first Day damaging skill each turn gains +5 percentage points Critical Chance and deals 2 additional Magic Armour damage.</t>
  </si>
  <si>
    <t>Willie Wagtail</t>
  </si>
  <si>
    <t>Feint rogue: high Agility/Dodge response play with weak durability.</t>
  </si>
  <si>
    <t>Perilous Last Wag</t>
  </si>
  <si>
    <t>After an enemy attack resolves against you, gain Minor Agility Up (+4 Agility) until the start of your next turn. If you Dodged the attack, also restore 1 Armour.</t>
  </si>
  <si>
    <t>Galah</t>
  </si>
  <si>
    <t>Balanced Bard: steady hybrid support with no extreme stat.</t>
  </si>
  <si>
    <t>Rosefeather Revel</t>
  </si>
  <si>
    <t>After using a song or call, restore 2 Magic Armour. If Magic Armour is full, gain Minor Agility Up (+4 Agility) until the start of your next turn.</t>
  </si>
  <si>
    <t>Blue Jay</t>
  </si>
  <si>
    <t>Small Inquisitor: quicker and more accurate than bulky Inquisitors; lower Vitality/Resolve.</t>
  </si>
  <si>
    <t>v0.9 pre-built base allocation: 30 points; Green cap 12; Base Health 10 from Small size. Player and NPC instances use this same Bird Stats row.</t>
  </si>
  <si>
    <t>Cobalt Plunder</t>
  </si>
  <si>
    <t>The first time each turn a Storm damaging skill hits a debuffed or Marked target, gain 3 Ward Magic Armour for 1 turn.</t>
  </si>
  <si>
    <t>Cardinal</t>
  </si>
  <si>
    <t>Focused mage: clean spell damage with safe Focus and a fragile Martial profile.</t>
  </si>
  <si>
    <t>Crimson Benediction</t>
  </si>
  <si>
    <t>Your first Day Magic weapon skill each turn against a Burning target gains +20 Skill Power against Magic Armour. If it damages Health, heal 5% Maximum Health.</t>
  </si>
  <si>
    <t>Bush Turkey</t>
  </si>
  <si>
    <t>Defensive Knight: mound-guard durability; lower tempo and damage than martial Knights.</t>
  </si>
  <si>
    <t>v0.9 pre-built base allocation: 30 points; Green cap 12; Base Health 14 from Large size. Player and NPC instances use this same Bird Stats row.</t>
  </si>
  <si>
    <t>Mound-King Claim</t>
  </si>
  <si>
    <t>Once per turn, an Armour Restoration or Fortify skill you use grants 1 additional Armour.</t>
  </si>
  <si>
    <t>Vulture</t>
  </si>
  <si>
    <t>Sustain Inquisitor: ailment-drain scavenger with balanced bulk and low Agility.</t>
  </si>
  <si>
    <t>Patient Scavenger</t>
  </si>
  <si>
    <t>While the target is below 50% Health, gain +10 Precision. The first time each turn you damage that target's Health, restore 1 to the lower protection pool.</t>
  </si>
  <si>
    <t>Barn Owl</t>
  </si>
  <si>
    <t>Stealth mage: accurate mid-Focus caster with lower Vitality than Snowy Owl.</t>
  </si>
  <si>
    <t>Rafter-Moon Judgement</t>
  </si>
  <si>
    <t>If acting before the target, your first Night Magic weapon skill each turn gains +5 percentage points Critical Chance and deals 2 additional Magic Armour damage.</t>
  </si>
  <si>
    <t>Bustard</t>
  </si>
  <si>
    <t>Heavy Knight: strong Vitality/Guard/Might but poor Agility/Dodge. Action Precision is skill-owned.</t>
  </si>
  <si>
    <t>Grassland Warlord</t>
  </si>
  <si>
    <t>While below 50% Health, restoring Armour or gaining Fortify also grants Minor Might Up (+4 Might) until the start of your next turn.</t>
  </si>
  <si>
    <t>Golden Eagle</t>
  </si>
  <si>
    <t>Power rogue: stronger Might/Vitality than small rogues, but lower Precision/Dodge.</t>
  </si>
  <si>
    <t>Sun-Crown Trial</t>
  </si>
  <si>
    <t>Your first damaging skill each turn against a target below 50% Health gains +10 percentage points Critical Chance and deals 2 additional damage to the matching protection pool.</t>
  </si>
  <si>
    <t>Australian Pelican</t>
  </si>
  <si>
    <t>Wall Brute: highest Vitality/Guard Brute with the lowest Agility/Dodge and lower Might.</t>
  </si>
  <si>
    <t>Tidemouth Bastion</t>
  </si>
  <si>
    <t>After using a Water action, restore 2 Armour. Your next Strength weapon hit may apply Minor Might Down (-4 Might) only if Armour is depleted and Health is damaged.</t>
  </si>
  <si>
    <t>Marabou Stork</t>
  </si>
  <si>
    <t>Executioner Inquisitor: sturdy finisher with low Agility/Dodge.</t>
  </si>
  <si>
    <t>Carrion Opportunist</t>
  </si>
  <si>
    <t>Your first damaging action each turn against a target below 50% Health gains +10 Skill Power. If it damages Health, restore 2 to the lower protection pool.</t>
  </si>
  <si>
    <t>Pigeon</t>
  </si>
  <si>
    <t>Average Bard: intentionally plain and fair; useful but no elite stat.</t>
  </si>
  <si>
    <t>Cobble-Crown Muster</t>
  </si>
  <si>
    <t>After using a support utility, your next Earth damaging skill gains +10 Skill Power and restores 1 to the lower protection pool on hit.</t>
  </si>
  <si>
    <t>Rock Pigeon</t>
  </si>
  <si>
    <t>Common Knight: stocky and durable, but below premium Knight damage.</t>
  </si>
  <si>
    <t>Quarrylord Rise</t>
  </si>
  <si>
    <t>After restoring Armour or gaining Fortify, your next Earth hit deals 2 additional Armour damage. If it damages Health, apply Minor Guard Down (-4 Guard) for 1 turn.</t>
  </si>
  <si>
    <t>Dove</t>
  </si>
  <si>
    <t>Support Bard: fragile but accurate, with Resolve and tempo identity.</t>
  </si>
  <si>
    <t>White-Feather Covenant</t>
  </si>
  <si>
    <t>The first support or song skill you use each turn restores 2 Magic Armour. If Magic Armour is full, gain Minor Resolve Up (+4 Resolve) until the start of your next turn.</t>
  </si>
  <si>
    <t>Rock Dove</t>
  </si>
  <si>
    <t>Average Bard: slightly sturdier Dove/Pigeon mix; no major spike stat.</t>
  </si>
  <si>
    <t>Stone-Court Oath</t>
  </si>
  <si>
    <t>After Armour absorbs physical damage, your next song or call restores 3 Armour, capped at its normal maximum.</t>
  </si>
  <si>
    <t>Kakapo</t>
  </si>
  <si>
    <t>Bulky Bard: high Vitality/Resolve support with low Agility/Dodge. Action Precision is skill-owned.</t>
  </si>
  <si>
    <t>Moss-King Dream</t>
  </si>
  <si>
    <t>While below 50% Health, the first song you use restores 2 to the lower protection pool and heals 5% Maximum Health.</t>
  </si>
  <si>
    <t>Dodo</t>
  </si>
  <si>
    <t>Clumsy Knight: high Vitality/Guard with low Agility/Dodge and no Focus. Action Precision is skill-owned.</t>
  </si>
  <si>
    <t>v0.9 pre-built base allocation: 30 points; Green cap 12; Base Health 16 from Very Large size. Player and NPC instances use this same Bird Stats row.</t>
  </si>
  <si>
    <t>Fool-King Reckoning</t>
  </si>
  <si>
    <t>The first time each combat your Armour reaches 0 while below 50% Health, restore 4 Armour and gain Minor Guard Up (+4 Guard) until the start of your next turn.</t>
  </si>
  <si>
    <t>Chickadee</t>
  </si>
  <si>
    <t>Weak tiny rogue: fast and evasive but very low survivability and power.</t>
  </si>
  <si>
    <t>Pine-Nest Covenant</t>
  </si>
  <si>
    <t>After using Pine Cover, your next Weapon Skill 1 gains +10 Skill Power and +10 Precision.</t>
  </si>
  <si>
    <t>Finch</t>
  </si>
  <si>
    <t>Weak common rogue: nimble starter/common role with low damage and bulk.</t>
  </si>
  <si>
    <t>Seed-Crown Flourish</t>
  </si>
  <si>
    <t>After using Natural Strike, your next Earth Weapon Skill 1 or 2 gains +10 Skill Power and restores 1 Armour on hit.</t>
  </si>
  <si>
    <t>Bird Passives, Innate Utilities and Class Perks — v1.0 New-System Integration</t>
  </si>
  <si>
    <t>One fixed species Passive and one 1 EN Innate Utility per bird. Passives now reference Weapon Skill 1/2, Armour, Magic Armour, restoration, Fortify, Ward, protection breaks and ailment gates. Barrier, Brace, Evasion and generic Damage Up wording have been removed.</t>
  </si>
  <si>
    <t>Passive Effect</t>
  </si>
  <si>
    <t>Passive Score</t>
  </si>
  <si>
    <t>Passive Budget</t>
  </si>
  <si>
    <t>Passive Status</t>
  </si>
  <si>
    <t>Innate Utility</t>
  </si>
  <si>
    <t>EN</t>
  </si>
  <si>
    <t>Cooldown</t>
  </si>
  <si>
    <t>Target</t>
  </si>
  <si>
    <t>Utility Effect</t>
  </si>
  <si>
    <t>Utility Score</t>
  </si>
  <si>
    <t>Utility Budget</t>
  </si>
  <si>
    <t>Utility Status</t>
  </si>
  <si>
    <t>Equipment Synergy</t>
  </si>
  <si>
    <t>Design Notes</t>
  </si>
  <si>
    <t>New System Hook</t>
  </si>
  <si>
    <t>Uses Armour</t>
  </si>
  <si>
    <t>Uses Magic Armour</t>
  </si>
  <si>
    <t>Fortify</t>
  </si>
  <si>
    <t>Ward</t>
  </si>
  <si>
    <t>Break / Pressure</t>
  </si>
  <si>
    <t>Ailment Gate</t>
  </si>
  <si>
    <t>Legacy Term Audit</t>
  </si>
  <si>
    <t>GitHub Export Summary</t>
  </si>
  <si>
    <t>Once per turn; consumed on the next 2 EN Weapon Skill 1.</t>
  </si>
  <si>
    <t>PASS v1.0</t>
  </si>
  <si>
    <t>Hedge Hop</t>
  </si>
  <si>
    <t>Self</t>
  </si>
  <si>
    <t>Gain Minor Agility Up (+4 Agility) until the start of your next turn.</t>
  </si>
  <si>
    <t>Light weapons, Shadowplume and early-turn Rogue Tempo.</t>
  </si>
  <si>
    <t>Starter Rogue loop now points to the 2 EN weapon skill structure.</t>
  </si>
  <si>
    <t>Weapon Skill 1; Agility; Precision; Critical</t>
  </si>
  <si>
    <t>—</t>
  </si>
  <si>
    <t>PASS</t>
  </si>
  <si>
    <t>Fledgling Grit: After using Hedge Hop, your next Weapon Skill 1 gains +10 Precision and +5 percentage points Critical Chance.</t>
  </si>
  <si>
    <t>Once per turn; repeated copies of the same skill do not count.</t>
  </si>
  <si>
    <t>Blurred Wings</t>
  </si>
  <si>
    <t>Gain Moderate Agility Up (+10 Agility) until the start of your next turn.</t>
  </si>
  <si>
    <t>One-handed weapons, accessories and multi-action turns.</t>
  </si>
  <si>
    <t>No longer requires two separate 1 EN actions.</t>
  </si>
  <si>
    <t>Action chaining; Agility; Magic Armour restoration</t>
  </si>
  <si>
    <t>YES</t>
  </si>
  <si>
    <t>Ruby Needle Tempo: After using two different skills in the same turn, gain Minor Agility Up (+4 Agility) until the start of your next turn and restore 1 Magic Armour, capped at its normal maximum.</t>
  </si>
  <si>
    <t>Once per turn; the Skill Power bonus applies only to Magic Armour damage.</t>
  </si>
  <si>
    <t>Grim Sign</t>
  </si>
  <si>
    <t>Enemy</t>
  </si>
  <si>
    <t>Apply Minor Resolve Down (-4 Resolve) for 2 turns. This effect is blocked while the target has Magic Armour.</t>
  </si>
  <si>
    <t>Night Wands, Staffs, Runewoven and Nightweave equipment.</t>
  </si>
  <si>
    <t>Replaces generic Magic Damage Up.</t>
  </si>
  <si>
    <t>Magic Armour pressure; debuff gate; Skill Power</t>
  </si>
  <si>
    <t>Magic Armour</t>
  </si>
  <si>
    <t>Plague-Nocturne: Your first Night Magic weapon skill each turn against a debuffed target gains +10 Skill Power against Magic Armour. If it damages Health, it also gains +10 Precision for its debuff or ailment roll.</t>
  </si>
  <si>
    <t>Once per turn with Verse and Chorus.</t>
  </si>
  <si>
    <t>Mimic Voice</t>
  </si>
  <si>
    <t>Copy one Minor positive core-stat effect currently on the enemy until the end of its normal duration; if none exists, gain Minor Focus Up (+4 Focus) for 2 turns.</t>
  </si>
  <si>
    <t>Bard Song, Talon Blade, Focus Orb and balanced defensive sets.</t>
  </si>
  <si>
    <t>Strengthens the class perk without duplicating its Skill Power reward.</t>
  </si>
  <si>
    <t>Hybrid alternation; protection restoration; Precision</t>
  </si>
  <si>
    <t>Scarlet Echo Call: When Verse and Chorus triggers, the second skill also gains +10 Precision and restores 1 to the lower protection pool, capped at its normal maximum.</t>
  </si>
  <si>
    <t>Once per turn; flat and percentage penetration still follow the normal penetration order.</t>
  </si>
  <si>
    <t>Keen-Eye Stoop</t>
  </si>
  <si>
    <t>Your next weapon skill gains +10 Precision and cannot be redirected.</t>
  </si>
  <si>
    <t>Dagger Pinion, Talon Blade, Bow and Greatbow.</t>
  </si>
  <si>
    <t>Converted percentage Guard ignore into controlled flat penetration.</t>
  </si>
  <si>
    <t>Turn order; Finesse weapon skills; flat penetration</t>
  </si>
  <si>
    <t>Skyfall Precision: If acting before the target, your first Finesse Weapon Skill 1 or 2 each turn ignores 4 Guard.</t>
  </si>
  <si>
    <t>2-turn cooldown; consumed on hit or miss; bonus does not increase Health damage.</t>
  </si>
  <si>
    <t>Frost Glide</t>
  </si>
  <si>
    <t>Deal 3 Magic Armour damage. If the target has no Magic Armour after the effect, attempt to apply 1 Chilled stack.</t>
  </si>
  <si>
    <t>Frost-infused Staffs, Orbs and Runewoven equipment.</t>
  </si>
  <si>
    <t>Chilled remains gated by Magic Armour.</t>
  </si>
  <si>
    <t>Magic Armour break; Chilled; Skill Power</t>
  </si>
  <si>
    <t>Frost-Sight Vigil: After applying Chilled, your next Magic weapon skill gains +20 Skill Power against Magic Armour.</t>
  </si>
  <si>
    <t>Once per turn; total penetration remains subject to the normal cap.</t>
  </si>
  <si>
    <t>Scent Hunt</t>
  </si>
  <si>
    <t>Your next attack against a debuffed or Marked target gains +10 Precision and ignores 2 of the matching defence.</t>
  </si>
  <si>
    <t>War Scythe, Bell Sceptre hybrids and Judgement Leech.</t>
  </si>
  <si>
    <t>Supports both debuff and Mark builds.</t>
  </si>
  <si>
    <t>Marks; debuffs; flat penetration</t>
  </si>
  <si>
    <t>Night Forager: Your first physical weapon hit each turn against a debuffed or Marked target ignores 4 Guard.</t>
  </si>
  <si>
    <t>2-turn cooldown; the debuff remains blocked if Magic Armour was not depleted.</t>
  </si>
  <si>
    <t>Boom Call</t>
  </si>
  <si>
    <t>Apply Minor Might Down (-4 Might) and Minor Focus Down (-4 Focus) for 1 turn. This effect is blocked by Magic Armour.</t>
  </si>
  <si>
    <t>Lament Song, Bard Song, Crystalwind and Nightweave.</t>
  </si>
  <si>
    <t>Replaces generic Damage Down and Precision tier wording.</t>
  </si>
  <si>
    <t>Songs; Magic Armour damage; debuff gate</t>
  </si>
  <si>
    <t>Ashen Rhythm: After using a song or call, your next Magic damaging skill deals 2 additional Magic Armour damage. If it damages Health, apply -10 Precision for 1 turn.</t>
  </si>
  <si>
    <t>Once per turn; the Might debuff requires Armour to be depleted and Health to be damaged.</t>
  </si>
  <si>
    <t>Battle Focus</t>
  </si>
  <si>
    <t>Restore 4 Armour, capped at normal Maximum Armour.</t>
  </si>
  <si>
    <t>Ironfeather, shields, Beak Hammer and Bulwark Oath.</t>
  </si>
  <si>
    <t>Replaces Brace and Barrier triggers.</t>
  </si>
  <si>
    <t>Armour absorption; Armour restoration; protection break</t>
  </si>
  <si>
    <t>Armour</t>
  </si>
  <si>
    <t>Carrion Guard: Once per turn after Armour absorbs physical damage, your next weapon skill deals 10% additional damage to Armour. If that hit damages Health, it may apply Minor Might Down (-4 Might) for 1 turn.</t>
  </si>
  <si>
    <t>2-turn cooldown; does not bypass Magic Armour or recursively trigger Cursed Call.</t>
  </si>
  <si>
    <t>Deal 3 Magic Armour damage. If the target has no Magic Armour after the effect, apply -10 Precision for 1 turn.</t>
  </si>
  <si>
    <t>Hexwood Wand, Lament Song and Siren ailment equipment.</t>
  </si>
  <si>
    <t>Retains the Gallows Laugh setup identity.</t>
  </si>
  <si>
    <t>Magic Armour pressure; debuff application</t>
  </si>
  <si>
    <t>Gallows Laugh: After successfully applying a stat debuff, your next magical ailment or debuff against that target gains +10 percentage points application chance.</t>
  </si>
  <si>
    <t>Once per combat; only copies Might Up or Focus Up.</t>
  </si>
  <si>
    <t>Mimic Refrain</t>
  </si>
  <si>
    <t>Repeat the last Minor positive core-stat effect you gained until the start of your next turn. If none exists, restore 3 Magic Armour.</t>
  </si>
  <si>
    <t>Bard Song, mixed weapons and Runewoven equipment.</t>
  </si>
  <si>
    <t>Keeps a bounded mimic rule.</t>
  </si>
  <si>
    <t>Buff copying; Magic Armour restoration</t>
  </si>
  <si>
    <t>Mimic Court: The first time each combat a song grants Might Up or Focus Up, also gain the other stat at Minor tier (+4) for the same duration and restore 2 Magic Armour.</t>
  </si>
  <si>
    <t>Once per turn; strongest Precision Down value applies.</t>
  </si>
  <si>
    <t>Dread Omen</t>
  </si>
  <si>
    <t>Apply Minor Focus Down (-4 Focus) for 2 turns. This effect is blocked by Magic Armour.</t>
  </si>
  <si>
    <t>Lament Song, Hexwood Wand and Nightweave.</t>
  </si>
  <si>
    <t>Does not bypass Magic Armour.</t>
  </si>
  <si>
    <t>Magic Armour pressure; debuffs; Precision</t>
  </si>
  <si>
    <t>Omen King: The first stat debuff you successfully apply each turn also deals 2 Magic Armour damage. If the target already has no Magic Armour, it instead applies -10 Precision for 1 turn.</t>
  </si>
  <si>
    <t>Once per turn; consumed on hit or miss.</t>
  </si>
  <si>
    <t>Feather Feint</t>
  </si>
  <si>
    <t>Deal 2 Armour damage. If the target has no Armour after the effect, apply -10 Precision for 1 turn.</t>
  </si>
  <si>
    <t>Dagger Pinion, Talon Blade and Shadowplume.</t>
  </si>
  <si>
    <t>Replaces generic Martial Damage Up.</t>
  </si>
  <si>
    <t>Armour pressure; Finesse weapon skills; Precision</t>
  </si>
  <si>
    <t>Silver Swoop: After successfully applying Precision Down, your next Finesse weapon skill gains +10 Skill Power against Armour and +10 Precision.</t>
  </si>
  <si>
    <t>Bright Chirp</t>
  </si>
  <si>
    <t>Heal 10% Maximum Health and restore 2 Magic Armour.</t>
  </si>
  <si>
    <t>Day weapons, Dawnfeather and Bard support skills.</t>
  </si>
  <si>
    <t>Creates a support-to-offence loop without broad Damage Up.</t>
  </si>
  <si>
    <t>Support utility; Skill Power; Magic Armour restoration</t>
  </si>
  <si>
    <t>Dawn-Breast Vow: After using a support utility, your next Day damaging skill gains +10 Skill Power and restores 2 Magic Armour on hit, capped at its normal maximum.</t>
  </si>
  <si>
    <t>Jewel Display</t>
  </si>
  <si>
    <t>Apply Jewel Mark for 2 turns. The Mark has no stat penalty, is not blocked by protection and causes the next qualifying debuff after Magic Armour is broken to gain +10 percentage points application chance.</t>
  </si>
  <si>
    <t>Focus Orb, Hexwood Wand and Siren equipment.</t>
  </si>
  <si>
    <t>Jewel Mark is a Mark, not an ailment.</t>
  </si>
  <si>
    <t>Mark; Magic Armour break; debuff setup</t>
  </si>
  <si>
    <t>Jewel Lure: After using Jewel Display, your next Magic hit deals 2 additional Magic Armour damage. If it damages Health, its ailment or debuff gains +10 percentage points application chance.</t>
  </si>
  <si>
    <t>Once per turn.</t>
  </si>
  <si>
    <t>Colour Display</t>
  </si>
  <si>
    <t>Your next damaging skill becomes Day and gains +10 Precision.</t>
  </si>
  <si>
    <t>Bard Song, Talon Blade and mixed Day loadouts.</t>
  </si>
  <si>
    <t>Supports flexible affinity and hybrid equipment.</t>
  </si>
  <si>
    <t>Affinity conversion; protection restoration; Precision</t>
  </si>
  <si>
    <t>Sunfruit Boast: After using a Day action, your next song or call restores 2 to the lower protection pool and gains +10 Precision.</t>
  </si>
  <si>
    <t>Mirror Guard</t>
  </si>
  <si>
    <t>Gain 6 Ward Magic Armour for 2 turns.</t>
  </si>
  <si>
    <t>Runewoven, Layered Scale and shield builds.</t>
  </si>
  <si>
    <t>Replaces the legacy Health-based Barrier.</t>
  </si>
  <si>
    <t>Magic Armour restoration; Ward; Resolve</t>
  </si>
  <si>
    <t>Mirrorlake Oath: The first time each turn you take damage while above 50% Health, restore 2 Magic Armour, capped at its normal maximum. If Magic Armour is already full, gain Minor Resolve Up (+4 Resolve) until the start of your next turn.</t>
  </si>
  <si>
    <t>Balance Pose</t>
  </si>
  <si>
    <t>Gain Minor Agility Up (+4 Agility) and Minor Resolve Up (+4 Resolve) until the start of your next turn.</t>
  </si>
  <si>
    <t>Crystalwind, Focus Orb and Siren tempo builds.</t>
  </si>
  <si>
    <t>Evasion wording replaced with Agility.</t>
  </si>
  <si>
    <t>Debuffs; Agility; Magic Armour restoration</t>
  </si>
  <si>
    <t>Elegant Balance: After successfully applying a debuff, gain Minor Agility Up (+4 Agility) until the start of your next turn and restore 1 Magic Armour.</t>
  </si>
  <si>
    <t>Hunter Stride</t>
  </si>
  <si>
    <t>Gain Minor Agility Up (+4 Agility) and +10 Precision until the start of your next turn.</t>
  </si>
  <si>
    <t>Lance, Beak Hammer and Ironfeather.</t>
  </si>
  <si>
    <t>Supports a mobile Knight identity without generic Damage Up.</t>
  </si>
  <si>
    <t>Serpent-Bane Writ: Once per turn after Armour absorbs physical damage, your next Strength weapon skill gains +10 Skill Power against Armour.</t>
  </si>
  <si>
    <t>Horizon Glide</t>
  </si>
  <si>
    <t>Cleanse 1 debuff and restore 4 Magic Armour, capped at its normal maximum.</t>
  </si>
  <si>
    <t>Bell Sceptre, Focus Orb and Dawnfeather.</t>
  </si>
  <si>
    <t>Connects Inquisitor sustain to the new protection pools.</t>
  </si>
  <si>
    <t>Magic Armour restoration; cleansing; Precision</t>
  </si>
  <si>
    <t>Horizon Oath: After using a Magic action, restore 2 Magic Armour. If Magic Armour is full, gain +10 Precision until the start of your next turn.</t>
  </si>
  <si>
    <t>Scavenger's Step</t>
  </si>
  <si>
    <t>Cleanse 1 stat debuff. If a debuff is cleansed, restore 2 to the lower protection pool and gain Minor Agility Up (+4 Agility) until the start of your next turn.</t>
  </si>
  <si>
    <t>Light gear, marks and Rogue Tempo.</t>
  </si>
  <si>
    <t>Maintains scavenger sustain without Barrier.</t>
  </si>
  <si>
    <t>Debuffs; protection restoration; Agility</t>
  </si>
  <si>
    <t>Dockside Raider: After damaging a debuffed or Marked target, restore 1 to the lower protection pool and gain Minor Agility Up (+4 Agility) until the start of your next turn.</t>
  </si>
  <si>
    <t>Territorial Honk</t>
  </si>
  <si>
    <t>Deal 3 Magic Armour damage. If the effect reaches Health, apply Minor Might Down (-4 Might) for 1 turn.</t>
  </si>
  <si>
    <t>Ironfeather, shields and Crushing Momentum.</t>
  </si>
  <si>
    <t>No separate Brute passive or hidden multiplier.</t>
  </si>
  <si>
    <t>Armour absorption; Armour restoration; Magic Armour pressure</t>
  </si>
  <si>
    <t>Armour / Magic Armour</t>
  </si>
  <si>
    <t>Marshlord Challenge: The first time each turn Armour absorbs physical damage, restore 1 Armour after the hit, capped at normal Maximum Armour.</t>
  </si>
  <si>
    <t>Consumed on hit or miss; cannot trigger on the first turn.</t>
  </si>
  <si>
    <t>Silent Stance</t>
  </si>
  <si>
    <t>Gain 4 Fortified Armour and Minor Resolve Up (+4 Resolve) for 1 turn.</t>
  </si>
  <si>
    <t>Beak Hammer, Greatblade and heavy equipment.</t>
  </si>
  <si>
    <t>Patience trades tempo for a stronger Armour-breaking turn.</t>
  </si>
  <si>
    <t>Fortify; Armour damage; Strength setup</t>
  </si>
  <si>
    <t>Boghammer Patience: If you did not use a damaging action during your previous turn, your next Strength weapon skill gains +20 Skill Power and deals 2 additional Armour damage.</t>
  </si>
  <si>
    <t>Consumed on hit or miss; penetration remains subject to the normal cap.</t>
  </si>
  <si>
    <t>Predator Grip</t>
  </si>
  <si>
    <t>Apply Predator Mark for 2 turns. Your attacks gain +10 Precision against the marked target.</t>
  </si>
  <si>
    <t>Greatbow, Talon Blade and Shadowplume.</t>
  </si>
  <si>
    <t>Predator Mark is not a stat debuff.</t>
  </si>
  <si>
    <t>Mark; Armour damage; flat penetration</t>
  </si>
  <si>
    <t>Canopy Claim: Your first Finesse weapon skill after using Predator Grip ignores 4 Guard and deals 2 additional Armour damage.</t>
  </si>
  <si>
    <t>Starbanner Aegis</t>
  </si>
  <si>
    <t>Gain 4 Fortified Armour and 4 Ward Magic Armour for 1 turn.</t>
  </si>
  <si>
    <t>Balanced defensive sets and Judgement Leech.</t>
  </si>
  <si>
    <t>Replaces the legacy Barrier with a small dual-pool Aegis.</t>
  </si>
  <si>
    <t>Critical; Bastion/Aegis; protection restoration</t>
  </si>
  <si>
    <t>Predatory Focus: After landing a critical hit, restore 2 to the lower protection pool. If both pools are full, gain +10 Precision until the start of your next turn.</t>
  </si>
  <si>
    <t>Snow Wall</t>
  </si>
  <si>
    <t>Gain 6 Ward Magic Armour for 2 turns. The first enemy physical hit while Ward remains deals 2 Magic Armour damage back to the attacker.</t>
  </si>
  <si>
    <t>Frost infusion, Runewoven and Judgement Leech.</t>
  </si>
  <si>
    <t>Retaliation damages protection and does not bypass ailment gates.</t>
  </si>
  <si>
    <t>Chilled; Ward; Magic Armour restoration</t>
  </si>
  <si>
    <t>Polar Resilience: After successfully applying Chilled, restore 2 Magic Armour. If Magic Armour is full, gain Minor Resolve Up (+4 Resolve) until the start of your next turn.</t>
  </si>
  <si>
    <t>Consumed on hit or miss; controlled by the utility cooldown.</t>
  </si>
  <si>
    <t>Momentum Charge</t>
  </si>
  <si>
    <t>Gain Minor Agility Up (+4 Agility) until the start of your next turn. Your next Strength weapon skill gains +10 Precision.</t>
  </si>
  <si>
    <t>Greatblade, Lance and Crushing Momentum.</t>
  </si>
  <si>
    <t>Strength weapon skill; Agility; Precision</t>
  </si>
  <si>
    <t>Sand-King Momentum: After using Momentum Charge, your next Strength weapon skill gains +20 Skill Power and +10 Precision.</t>
  </si>
  <si>
    <t>Once per turn; condition must be true before the skill resolves.</t>
  </si>
  <si>
    <t>War Stomp</t>
  </si>
  <si>
    <t>Deal 3 Armour damage. If it reaches Health, apply Minor Guard Down (-4 Guard) for 1 turn. Your next attack suffers -10 Precision.</t>
  </si>
  <si>
    <t>Beak Hammer, Greatblade and Blood infusion.</t>
  </si>
  <si>
    <t>Physical debuff requires Armour to be depleted.</t>
  </si>
  <si>
    <t>Armour damage; Bleed; Critical; Guard debuff</t>
  </si>
  <si>
    <t>Helmetbreaker Wrath: Your first Strength weapon skill each turn against a Bleeding or Weakened target gains +10 percentage points Critical Chance and deals 2 additional Armour damage.</t>
  </si>
  <si>
    <t>Dust Run</t>
  </si>
  <si>
    <t>Gain Minor Agility Up (+4 Agility) until the start of your next turn and restore 2 Armour.</t>
  </si>
  <si>
    <t>Heavy weapons with lighter armour variants.</t>
  </si>
  <si>
    <t>Evasion wording removed.</t>
  </si>
  <si>
    <t>Armour absorption; Agility; Armour restoration</t>
  </si>
  <si>
    <t>Red-Dust Stampede: After Armour absorbs physical damage, gain Minor Agility Up (+4 Agility) until the start of your next turn and your next Strength weapon skill gains +10 Precision.</t>
  </si>
  <si>
    <t>Once per combat; distinct from Duke Ascension.</t>
  </si>
  <si>
    <t>Royal Command</t>
  </si>
  <si>
    <t>Deal 4 Magic Armour damage. If the target has no Magic Armour after the effect, apply Minor Might Down (-4 Might) and Minor Focus Down (-4 Focus) for 1 turn.</t>
  </si>
  <si>
    <t>Curated Duke equipment and sequential encounters.</t>
  </si>
  <si>
    <t>Playable Duke passive remains distinct from the Duke class perk and boss override.</t>
  </si>
  <si>
    <t>Protection restoration; threshold; mixed offence</t>
  </si>
  <si>
    <t>Nightfall Sovereignty: The first time each combat you fall below 50% Health, restore 25% of normal Maximum Armour and Magic Armour and gain Moderate Might Up (+10 Might) and Moderate Focus Up (+10 Focus) for 2 turns.</t>
  </si>
  <si>
    <t>Once per turn; consumed on hit.</t>
  </si>
  <si>
    <t>Briar Step</t>
  </si>
  <si>
    <t>Gain Minor Agility Up (+4 Agility) until the start of your next turn and restore 1 Armour.</t>
  </si>
  <si>
    <t>Dagger Pinion, Shadowplume and Rogue Tempo.</t>
  </si>
  <si>
    <t>Basic Attack and Evasion wording removed.</t>
  </si>
  <si>
    <t>Dodge; Weapon Skill 1; Armour restoration</t>
  </si>
  <si>
    <t>Bramble Vanishing: After you Dodge, your next Weapon Skill 1 gains +10 Precision. If it damages Health, apply -10 Precision to the target for 1 turn.</t>
  </si>
  <si>
    <t>Azure Refrain</t>
  </si>
  <si>
    <t>Gain Minor Focus Up (+4 Focus) and Minor Agility Up (+4 Agility) until the start of your next turn.</t>
  </si>
  <si>
    <t>Bard Song, Talon Blade and Crystalwind.</t>
  </si>
  <si>
    <t>Supports Verse and Chorus without duplicating its Skill Power option.</t>
  </si>
  <si>
    <t>Hybrid alternation; Critical; protection restoration</t>
  </si>
  <si>
    <t>Azure Court Rhythm: After a Magic damaging skill, your next Finesse damaging skill gains +5 percentage points Critical Chance and restores 1 to the lower protection pool on hit.</t>
  </si>
  <si>
    <t>Ashstep</t>
  </si>
  <si>
    <t>Gain Minor Agility Up (+4 Agility) until the start of your next turn. Your next Day hit attempts to apply 1 Burn stack only if Magic Armour is depleted and Health is damaged.</t>
  </si>
  <si>
    <t>Day weapons, Ember infusion and Rogue Tempo.</t>
  </si>
  <si>
    <t>Burn remains protected by Magic Armour.</t>
  </si>
  <si>
    <t>Magic Armour damage; Burn gate; Critical</t>
  </si>
  <si>
    <t>Kindled Crown: Your first Day damaging skill each turn gains +5 percentage points Critical Chance and deals 2 additional Magic Armour damage.</t>
  </si>
  <si>
    <t>Mocking Step</t>
  </si>
  <si>
    <t>Light shields, Shadowplume and Finesse weapons.</t>
  </si>
  <si>
    <t>Dodge; Agility; Armour restoration; Armour pressure</t>
  </si>
  <si>
    <t>Perilous Last Wag: After an enemy attack resolves against you, gain Minor Agility Up (+4 Agility) until the start of your next turn. If you Dodged the attack, also restore 1 Armour.</t>
  </si>
  <si>
    <t>2-turn cooldown.</t>
  </si>
  <si>
    <t>Shrill Display</t>
  </si>
  <si>
    <t>Deal 3 Magic Armour damage. If it reaches Health, apply Minor Might Down (-4 Might) and Minor Focus Down (-4 Focus) for 1 turn.</t>
  </si>
  <si>
    <t>Bard Song, Lament Song and Crystalwind.</t>
  </si>
  <si>
    <t>Replaces Evasion and generic Damage Down.</t>
  </si>
  <si>
    <t>Songs; Magic Armour restoration; debuff gate</t>
  </si>
  <si>
    <t>Rosefeather Revel: After using a song or call, restore 2 Magic Armour. If Magic Armour is full, gain Minor Agility Up (+4 Agility) until the start of your next turn.</t>
  </si>
  <si>
    <t>Once per turn; Ward follows the normal healing and overflow rules.</t>
  </si>
  <si>
    <t>Crest Guard</t>
  </si>
  <si>
    <t>Restore 3 Armour and 3 Magic Armour, each capped at its normal maximum.</t>
  </si>
  <si>
    <t>Storm weapons, Layered Scale and Judgement Leech.</t>
  </si>
  <si>
    <t>Replaces the legacy Barrier.</t>
  </si>
  <si>
    <t>Ward; Storm; protection restoration; debuffs</t>
  </si>
  <si>
    <t>Cobalt Plunder: The first time each turn a Storm damaging skill hits a debuffed or Marked target, gain 3 Ward Magic Armour for 1 turn.</t>
  </si>
  <si>
    <t>Once per turn; the Skill Power bonus does not increase Health damage.</t>
  </si>
  <si>
    <t>Scarlet Hymn</t>
  </si>
  <si>
    <t>Heal 8% Maximum Health and restore 3 Magic Armour.</t>
  </si>
  <si>
    <t>Ember infusion, Wands and Dawnfeather.</t>
  </si>
  <si>
    <t>Replaces Moderate Damage Up.</t>
  </si>
  <si>
    <t>Burn; Magic Armour pressure; healing</t>
  </si>
  <si>
    <t>Crimson Benediction: Your first Day Magic weapon skill each turn against a Burning target gains +20 Skill Power against Magic Armour. If it damages Health, heal 5% Maximum Health.</t>
  </si>
  <si>
    <t>Once per turn; the additional point follows the original skill's normal cap or overflow rule.</t>
  </si>
  <si>
    <t>Mound Guard</t>
  </si>
  <si>
    <t>Gain 5 Fortified Armour for 2 turns.</t>
  </si>
  <si>
    <t>Ironfeather, shields and Bulwark Oath.</t>
  </si>
  <si>
    <t>Armour Technique and Brace wording removed.</t>
  </si>
  <si>
    <t>Armour restoration; Fortify</t>
  </si>
  <si>
    <t>Mound-King Claim: Once per turn, an Armour Restoration or Fortify skill you use grants 1 additional Armour.</t>
  </si>
  <si>
    <t>Condition is checked before each action; restoration is once per turn.</t>
  </si>
  <si>
    <t>Bone Ward</t>
  </si>
  <si>
    <t>Cleanse 1 damaging ailment and restore 4 to the protection pool that normally blocks that ailment.</t>
  </si>
  <si>
    <t>War Scythe, marks and Judgement Leech.</t>
  </si>
  <si>
    <t>Physical ailments restore Armour; magical ailments restore Magic Armour.</t>
  </si>
  <si>
    <t>Execute pressure; cleansing; matching protection restoration</t>
  </si>
  <si>
    <t>Patient Scavenger: While the target is below 50% Health, gain +10 Precision. The first time each turn you damage that target's Health, restore 1 to the lower protection pool.</t>
  </si>
  <si>
    <t>Silent Glide</t>
  </si>
  <si>
    <t>Gain Minor Agility Up (+4 Agility) until the start of your next turn. Your next Night attack gains +10 Precision.</t>
  </si>
  <si>
    <t>Night Wands, Staffs and Crystalwind.</t>
  </si>
  <si>
    <t>Turn order; Magic Armour pressure; Critical</t>
  </si>
  <si>
    <t>Rafter-Moon Judgement: If acting before the target, your first Night Magic weapon skill each turn gains +5 percentage points Critical Chance and deals 2 additional Magic Armour damage.</t>
  </si>
  <si>
    <t>Plainshield</t>
  </si>
  <si>
    <t>Gain 6 Fortified Armour for 2 turns and cleanse Agility Down.</t>
  </si>
  <si>
    <t>Ironfeather, Greatblade and Bulwark Oath.</t>
  </si>
  <si>
    <t>Brace wording removed.</t>
  </si>
  <si>
    <t>Fortify; Armour restoration; Might</t>
  </si>
  <si>
    <t>Grassland Warlord: While below 50% Health, restoring Armour or gaining Fortify also grants Minor Might Up (+4 Might) until the start of your next turn.</t>
  </si>
  <si>
    <t>Once per turn; condition must be true before the skill.</t>
  </si>
  <si>
    <t>Hunter's Majesty</t>
  </si>
  <si>
    <t>Your next damaging skill gains +10 percentage points Critical Chance.</t>
  </si>
  <si>
    <t>Greatbow, Talon Blade and offensive accessories.</t>
  </si>
  <si>
    <t>Uses matching Armour or Magic Armour according to the skill.</t>
  </si>
  <si>
    <t>Execute; Critical; matching protection damage</t>
  </si>
  <si>
    <t>Sun-Crown Trial: Your first damaging skill each turn against a target below 50% Health gains +10 percentage points Critical Chance and deals 2 additional damage to the matching protection pool.</t>
  </si>
  <si>
    <t>2-turn cooldown; the debuff is consumed on the next Strength hit.</t>
  </si>
  <si>
    <t>Stillwater Reserve</t>
  </si>
  <si>
    <t>Heal 8% Maximum Health, cleanse 1 debuff and restore 4 to the lower protection pool.</t>
  </si>
  <si>
    <t>Heavy Water weapons, Layered Scale and Crushing Momentum.</t>
  </si>
  <si>
    <t>Replaces generic Bastion wording with explicit protection effects.</t>
  </si>
  <si>
    <t>Armour restoration; Water action; physical debuff gate</t>
  </si>
  <si>
    <t>Tidemouth Bastion: After using a Water action, restore 2 Armour. Your next Strength weapon hit may apply Minor Might Down (-4 Might) only if Armour is depleted and Health is damaged.</t>
  </si>
  <si>
    <t>Grave Hunt</t>
  </si>
  <si>
    <t>Apply Carrion Mark for 2 turns. It counts as a qualifying Mark for Judgement Leech but has no stat penalty and is not blocked by protection.</t>
  </si>
  <si>
    <t>War Scythe, Focus Orb and Judgement Leech.</t>
  </si>
  <si>
    <t>Carrion Mark remains a Mark rather than an ailment.</t>
  </si>
  <si>
    <t>Execute; Mark; protection restoration; Skill Power</t>
  </si>
  <si>
    <t>Carrion Opportunist: Your first damaging action each turn against a target below 50% Health gains +10 Skill Power. If it damages Health, restore 2 to the lower protection pool.</t>
  </si>
  <si>
    <t>Streetwise Muster</t>
  </si>
  <si>
    <t>Layered Scale, Bard Song and Earth weapons.</t>
  </si>
  <si>
    <t>Brace and generic Damage Up wording removed.</t>
  </si>
  <si>
    <t>Support utility; Skill Power; dual restoration</t>
  </si>
  <si>
    <t>Cobble-Crown Muster: After using a support utility, your next Earth damaging skill gains +10 Skill Power and restores 1 to the lower protection pool on hit.</t>
  </si>
  <si>
    <t>Quarry Brace</t>
  </si>
  <si>
    <t>Restore 4 Armour and gain Minor Resolve Up (+4 Resolve) until the start of your next turn.</t>
  </si>
  <si>
    <t>Ironfeather, Layered Scale and Earth weapons.</t>
  </si>
  <si>
    <t>Barrier and Brace Down wording removed.</t>
  </si>
  <si>
    <t>Armour restoration; Fortify; Armour damage; Guard debuff</t>
  </si>
  <si>
    <t>Quarrylord Rise: After restoring Armour or gaining Fortify, your next Earth hit deals 2 additional Armour damage. If it damages Health, apply Minor Guard Down (-4 Guard) for 1 turn.</t>
  </si>
  <si>
    <t>Peaceful Refrain</t>
  </si>
  <si>
    <t>Cleanse 1 debuff and gain 6 Ward Magic Armour for 2 turns.</t>
  </si>
  <si>
    <t>Dawnfeather, Runewoven and Bard Song.</t>
  </si>
  <si>
    <t>Support; Ward; Magic Armour restoration</t>
  </si>
  <si>
    <t>White-Feather Covenant: The first support or song skill you use each turn restores 2 Magic Armour. If Magic Armour is full, gain Minor Resolve Up (+4 Resolve) until the start of your next turn.</t>
  </si>
  <si>
    <t>Once per turn; consumed when the song or call resolves.</t>
  </si>
  <si>
    <t>Stone Refrain</t>
  </si>
  <si>
    <t>Gain 4 Fortified Armour for 2 turns.</t>
  </si>
  <si>
    <t>Layered Scale, Ironfeather and Bard support builds.</t>
  </si>
  <si>
    <t>Brace and generic Damage Down wording removed.</t>
  </si>
  <si>
    <t>Armour absorption; Armour restoration; Fortify</t>
  </si>
  <si>
    <t>Stone-Court Oath: After Armour absorbs physical damage, your next song or call restores 3 Armour, capped at its normal maximum.</t>
  </si>
  <si>
    <t>3-turn cooldown; does not trigger from Moss Dream.</t>
  </si>
  <si>
    <t>Moss Dream</t>
  </si>
  <si>
    <t>Dawnfeather, defensive songs and Verse and Chorus.</t>
  </si>
  <si>
    <t>Sustain is split between Health and protection.</t>
  </si>
  <si>
    <t>Low-Health sustain; protection restoration</t>
  </si>
  <si>
    <t>Moss-King Dream: While below 50% Health, the first song you use restores 2 to the lower protection pool and heals 5% Maximum Health.</t>
  </si>
  <si>
    <t>Once per combat.</t>
  </si>
  <si>
    <t>Stubborn Stand</t>
  </si>
  <si>
    <t>Gain 8 Fortified Armour for 2 turns. While Fortify remains, suffer Minor Agility Down (-4 Agility).</t>
  </si>
  <si>
    <t>Replaces generic damage reduction and the legacy Barrier.</t>
  </si>
  <si>
    <t>Armour depletion; Armour restoration; Fortify</t>
  </si>
  <si>
    <t>Fool-King Reckoning: The first time each combat your Armour reaches 0 while below 50% Health, restore 4 Armour and gain Minor Guard Up (+4 Guard) until the start of your next turn.</t>
  </si>
  <si>
    <t>Pine Cover</t>
  </si>
  <si>
    <t>No longer tied to a 1 EN Martial action.</t>
  </si>
  <si>
    <t>Weapon Skill 1; dual restoration; Precision</t>
  </si>
  <si>
    <t>Pine-Nest Covenant: After using Pine Cover, your next Weapon Skill 1 gains +10 Skill Power and +10 Precision.</t>
  </si>
  <si>
    <t>Seed Scatter</t>
  </si>
  <si>
    <t>Deal 2 Armour damage. If the target has no Armour after the effect, apply Minor Agility Down (-4 Agility) for 1 turn.</t>
  </si>
  <si>
    <t>Earth Talon Blade, Bow and light defensive sets.</t>
  </si>
  <si>
    <t>Basic Attack wording standardised to Natural Strike.</t>
  </si>
  <si>
    <t>Natural Strike; weapon skills; Armour restoration; Armour pressure</t>
  </si>
  <si>
    <t>Seed-Crown Flourish: After using Natural Strike, your next Earth Weapon Skill 1 or 2 gains +10 Skill Power and restores 1 Armour on hit.</t>
  </si>
  <si>
    <t>Combat Scaling Model — current runtime</t>
  </si>
  <si>
    <t>Active pipeline. Health conversion is Base Health + Vitality × 3 (not 5% of Base Health).</t>
  </si>
  <si>
    <t>Step</t>
  </si>
  <si>
    <t>Stage</t>
  </si>
  <si>
    <t>Inputs</t>
  </si>
  <si>
    <t>Rounding</t>
  </si>
  <si>
    <t>Purpose</t>
  </si>
  <si>
    <t>Developed Base Health</t>
  </si>
  <si>
    <t>Species Base Health plus approved level/tier health progression</t>
  </si>
  <si>
    <t>Bird Stats; Progression</t>
  </si>
  <si>
    <t>Whole or one decimal</t>
  </si>
  <si>
    <t>Active</t>
  </si>
  <si>
    <t>Health foundation before Vitality</t>
  </si>
  <si>
    <t>40 Base Health</t>
  </si>
  <si>
    <t>Developed Core Stat</t>
  </si>
  <si>
    <t>Base stat + level/star flat changes, then approved tier progression</t>
  </si>
  <si>
    <t>Round once after tier</t>
  </si>
  <si>
    <t>Preserve species/class identity</t>
  </si>
  <si>
    <t>12 Dexterity</t>
  </si>
  <si>
    <t>Equipment Core Stat</t>
  </si>
  <si>
    <t>Developed stat + sum of flat equipment rolls</t>
  </si>
  <si>
    <t>Integer</t>
  </si>
  <si>
    <t>No core-stat percentage multiplier</t>
  </si>
  <si>
    <t>12 Dex + 4 equipment = 16</t>
  </si>
  <si>
    <t>Temporary Core Stat</t>
  </si>
  <si>
    <t>Equipment stat + strongest Up − strongest Down</t>
  </si>
  <si>
    <t>Flat 4 / 10 / 20 effects</t>
  </si>
  <si>
    <t>Minor Dex Up: 16 → 20</t>
  </si>
  <si>
    <t>Maximum Health</t>
  </si>
  <si>
    <t>Developed Base Health + Final Vitality × 3</t>
  </si>
  <si>
    <t>Round once</t>
  </si>
  <si>
    <t>Vitality grants flat Max Health</t>
  </si>
  <si>
    <t>Sparrow L1: 10 + 3×3 = 19</t>
  </si>
  <si>
    <t>Dodge</t>
  </si>
  <si>
    <t>MIN(50%, Final Agility × 0.5%)</t>
  </si>
  <si>
    <t>One decimal %</t>
  </si>
  <si>
    <t>Turn order and Dodge share Agility</t>
  </si>
  <si>
    <t>24 Agility = 12%</t>
  </si>
  <si>
    <t>Weapon Raw Damage</t>
  </si>
  <si>
    <t>Weapon range × ((Skill Power + Final scaling stat × 2.5) ÷ 100)</t>
  </si>
  <si>
    <t>Equipment + Skill + Stat</t>
  </si>
  <si>
    <t>Keep decimals</t>
  </si>
  <si>
    <t>Weapon-first damage</t>
  </si>
  <si>
    <t>2–3 × 120% = 2.4–3.6</t>
  </si>
  <si>
    <t>Effective Defence</t>
  </si>
  <si>
    <t>MAX(0, Defence after flat and percentage penetration)</t>
  </si>
  <si>
    <t>Guard/Resolve/Penetration</t>
  </si>
  <si>
    <t>Penetration before mitigation</t>
  </si>
  <si>
    <t>40 Guard with 25% pen = 30</t>
  </si>
  <si>
    <t>MIN(75%, Rating ÷ (100 + Rating)); Rating = Defence × 2.5</t>
  </si>
  <si>
    <t>Effective Guard/Resolve</t>
  </si>
  <si>
    <t>Diminishing returns</t>
  </si>
  <si>
    <t>24 Defence = 37.5%</t>
  </si>
  <si>
    <t>Final Damage</t>
  </si>
  <si>
    <t>Raw × affinity × critical × (1 − mitigation)</t>
  </si>
  <si>
    <t>All combat modifiers</t>
  </si>
  <si>
    <t>Round once at end</t>
  </si>
  <si>
    <t>Working rounding</t>
  </si>
  <si>
    <t>Avoid repeated rounding</t>
  </si>
  <si>
    <t>2.4–3.6 then defence</t>
  </si>
  <si>
    <t>Progression Rules — Flat Equipment Integration</t>
  </si>
  <si>
    <t>Existing level/star/tier growth remains a separate progression layer. v0.8 changes how equipment and temporary effects enter the pipeline.</t>
  </si>
  <si>
    <t>Core Formula</t>
  </si>
  <si>
    <t>Species Base</t>
  </si>
  <si>
    <t>Bird supplies low Base Health by size and a pre-built tier-budgeted attribute allocation</t>
  </si>
  <si>
    <t>Bird Stats / v0.9 Base Stats</t>
  </si>
  <si>
    <t>None</t>
  </si>
  <si>
    <t>Confirmed 0.9</t>
  </si>
  <si>
    <t>Grey–Purple 30 points; Gold 32; Orange 34. Zero stats allowed.</t>
  </si>
  <si>
    <t>Level/Star Flat</t>
  </si>
  <si>
    <t>Existing progression adds flat values</t>
  </si>
  <si>
    <t>Base + progression flat</t>
  </si>
  <si>
    <t>Retained / migration table</t>
  </si>
  <si>
    <t>Do not add percentage equipment here.</t>
  </si>
  <si>
    <t>Tier Progression</t>
  </si>
  <si>
    <t>Approved tier growth applies to developed species/progression values</t>
  </si>
  <si>
    <t>ROUND(Developed × Tier Multiplier)</t>
  </si>
  <si>
    <t>Before equipment</t>
  </si>
  <si>
    <t>Retained</t>
  </si>
  <si>
    <t>Exact legacy tier multipliers retained as working values.</t>
  </si>
  <si>
    <t>Equipment Flat</t>
  </si>
  <si>
    <t>Add all selected equipment core values</t>
  </si>
  <si>
    <t>Tiered + Equipment Flat</t>
  </si>
  <si>
    <t>All eight slots</t>
  </si>
  <si>
    <t>Confirmed 0.8</t>
  </si>
  <si>
    <t>No normal core-stat percentages.</t>
  </si>
  <si>
    <t>Temporary Flat</t>
  </si>
  <si>
    <t>Apply strongest tiered Up and Down</t>
  </si>
  <si>
    <t>Equipped + Up − Down</t>
  </si>
  <si>
    <t>Minor 4 / Moderate 10 / Major 20</t>
  </si>
  <si>
    <t>Flat change then normal conversion.</t>
  </si>
  <si>
    <t>Health Conversion</t>
  </si>
  <si>
    <t>Convert Final Vitality to Max Health</t>
  </si>
  <si>
    <t>Leveled Base Health + Vitality × 3</t>
  </si>
  <si>
    <t>Vitality equipment included</t>
  </si>
  <si>
    <t>+1 Vitality always adds +3 Max Health after rounding.</t>
  </si>
  <si>
    <t>Progression Data — v0.8 Bridge</t>
  </si>
  <si>
    <t>A compact bridge table for active formulas. Detailed legacy growth is preserved in the original workbook history but no longer drives equipment percentages.</t>
  </si>
  <si>
    <t>Tier Multiplier</t>
  </si>
  <si>
    <t>Reference Level</t>
  </si>
  <si>
    <t>Stars in Tier</t>
  </si>
  <si>
    <t>Total Stars</t>
  </si>
  <si>
    <t>Weapon Damage Factor</t>
  </si>
  <si>
    <t>Working progression value</t>
  </si>
  <si>
    <t>Damage and equipment values are confirmed; tier multiplier remains the carried progression assumption.</t>
  </si>
  <si>
    <t>Bird Progression Directions</t>
  </si>
  <si>
    <t>Class progression directions after Dexterity migration. Exact per-level values remain a separate balance pass.</t>
  </si>
  <si>
    <t>Primary Growth</t>
  </si>
  <si>
    <t>Secondary Growth</t>
  </si>
  <si>
    <t>Defensive Growth</t>
  </si>
  <si>
    <t>Agility Growth</t>
  </si>
  <si>
    <t>Vitality Growth</t>
  </si>
  <si>
    <t>Equipment Priority</t>
  </si>
  <si>
    <t>v0.8 Migration Rule</t>
  </si>
  <si>
    <t>Might, Guard, Vitality</t>
  </si>
  <si>
    <t>Convert any old Might % or Guard % equipment growth to flat lines.</t>
  </si>
  <si>
    <t>Dexterity, Agility, Critical</t>
  </si>
  <si>
    <t>Old offensive Agility growth becomes Dexterity; Agility remains tempo/Dodge.</t>
  </si>
  <si>
    <t>Focus, Resolve, Magic Penetration</t>
  </si>
  <si>
    <t>Core percentage gear removed.</t>
  </si>
  <si>
    <t>Focus, Agility, ailment chance</t>
  </si>
  <si>
    <t>Ailment chance remains a controlled secondary percentage.</t>
  </si>
  <si>
    <t>Resolve / Might</t>
  </si>
  <si>
    <t>Vitality, Resolve, hybrid offence</t>
  </si>
  <si>
    <t>Vitality points scale Base Health by 5% each.</t>
  </si>
  <si>
    <t>Mixed finesse/magic/support</t>
  </si>
  <si>
    <t>Use weapon’s assigned scaling stat.</t>
  </si>
  <si>
    <t>Might, Vitality, Guard</t>
  </si>
  <si>
    <t>Heavy items may reduce flat Agility.</t>
  </si>
  <si>
    <t>Still uses the same conversion formulas.</t>
  </si>
  <si>
    <t>Equipment Budget Grid — Flat Rolls</t>
  </si>
  <si>
    <t>Slot-scaled flat core values used to generate all 240 item rows.</t>
  </si>
  <si>
    <t>Slot Class</t>
  </si>
  <si>
    <t>Core Roll Multiplier</t>
  </si>
  <si>
    <t>Base Core Roll</t>
  </si>
  <si>
    <t>Applied Core Roll</t>
  </si>
  <si>
    <t>Vitality Base</t>
  </si>
  <si>
    <t>Applied Vitality</t>
  </si>
  <si>
    <t>Named Lines</t>
  </si>
  <si>
    <t>Weapon 1H</t>
  </si>
  <si>
    <t>Heavy profiles may replace a positive Agility line with a flat penalty.</t>
  </si>
  <si>
    <t>Weapon 2H</t>
  </si>
  <si>
    <t>Shield</t>
  </si>
  <si>
    <t>Helmet</t>
  </si>
  <si>
    <t>Anklet</t>
  </si>
  <si>
    <t>Necklace</t>
  </si>
  <si>
    <t>Recovery and Defence Rules</t>
  </si>
  <si>
    <t>Confirmed diminishing-return defence and Agility-derived Dodge.</t>
  </si>
  <si>
    <t>Example Input</t>
  </si>
  <si>
    <t>Example Result</t>
  </si>
  <si>
    <t>Cap / Restriction</t>
  </si>
  <si>
    <t>Physical mitigation rating</t>
  </si>
  <si>
    <t>Effective Guard × 2.5</t>
  </si>
  <si>
    <t>24 Guard</t>
  </si>
  <si>
    <t>60 rating</t>
  </si>
  <si>
    <t>Rating is not direct percentage points.</t>
  </si>
  <si>
    <t>Magic mitigation rating</t>
  </si>
  <si>
    <t>Effective Resolve × 2.5</t>
  </si>
  <si>
    <t>24 Resolve</t>
  </si>
  <si>
    <t>Same curve as Guard.</t>
  </si>
  <si>
    <t>Rating ÷ (100 + Rating)</t>
  </si>
  <si>
    <t>37.5%</t>
  </si>
  <si>
    <t>75% final</t>
  </si>
  <si>
    <t>Use MIN(75%, calculated result).</t>
  </si>
  <si>
    <t>Physical final damage</t>
  </si>
  <si>
    <t>Raw Physical × (1 − Physical mitigation)</t>
  </si>
  <si>
    <t>100 raw vs 24 Guard</t>
  </si>
  <si>
    <t>62.5</t>
  </si>
  <si>
    <t>Round once at final damage</t>
  </si>
  <si>
    <t>Finesse and Strength both use Guard.</t>
  </si>
  <si>
    <t>Magic final damage</t>
  </si>
  <si>
    <t>Raw Magic × (1 − Magic mitigation)</t>
  </si>
  <si>
    <t>100 raw vs 24 Resolve</t>
  </si>
  <si>
    <t>Hybrid portions resolve separately.</t>
  </si>
  <si>
    <t>Flat penetration</t>
  </si>
  <si>
    <t>MAX(0, Defence − Flat Penetration)</t>
  </si>
  <si>
    <t>40 Guard − 10</t>
  </si>
  <si>
    <t>30 Guard</t>
  </si>
  <si>
    <t>Cannot go below 0</t>
  </si>
  <si>
    <t>Apply before percentage penetration.</t>
  </si>
  <si>
    <t>Percentage penetration</t>
  </si>
  <si>
    <t>Remaining Defence × (1 − Penetration %)</t>
  </si>
  <si>
    <t>30 Guard with 25%</t>
  </si>
  <si>
    <t>22.5 Guard</t>
  </si>
  <si>
    <t>40% recommended cap</t>
  </si>
  <si>
    <t>Rare/controlled secondary stat.</t>
  </si>
  <si>
    <t>24 Agility</t>
  </si>
  <si>
    <t>12%</t>
  </si>
  <si>
    <t>50% hard cap</t>
  </si>
  <si>
    <t>Dodge is separate from mitigation.</t>
  </si>
  <si>
    <t>Enemy Scaling and AI</t>
  </si>
  <si>
    <t>NPCs now use the same low Base Health and pre-built species attribute row as player birds. Difficulty comes from equipment, progression, AI and explicit encounter rules—not hidden base stats.</t>
  </si>
  <si>
    <t>Profile</t>
  </si>
  <si>
    <t>Level/Tier Treatment</t>
  </si>
  <si>
    <t>Equipment Policy</t>
  </si>
  <si>
    <t>Vitality Treatment</t>
  </si>
  <si>
    <t>Offence Treatment</t>
  </si>
  <si>
    <t>Defence Treatment</t>
  </si>
  <si>
    <t>Agility Treatment</t>
  </si>
  <si>
    <t>Hidden Multipliers?</t>
  </si>
  <si>
    <t>Use</t>
  </si>
  <si>
    <t>Story</t>
  </si>
  <si>
    <t>Up to one milestone below</t>
  </si>
  <si>
    <t>One rarity below when available</t>
  </si>
  <si>
    <t>Same formula</t>
  </si>
  <si>
    <t>No hidden bonus</t>
  </si>
  <si>
    <t>Avoid repeated strongest action; imperfect Energy use</t>
  </si>
  <si>
    <t>Working</t>
  </si>
  <si>
    <t>Optional reduced difficulty</t>
  </si>
  <si>
    <t>Standard</t>
  </si>
  <si>
    <t>Matches player milestone</t>
  </si>
  <si>
    <t>Curated same-rarity Reference Loadout</t>
  </si>
  <si>
    <t>1.00×</t>
  </si>
  <si>
    <t>Balanced legal action selection</t>
  </si>
  <si>
    <t>Confirmed direction</t>
  </si>
  <si>
    <t>Primary campaign baseline</t>
  </si>
  <si>
    <t>Veteran</t>
  </si>
  <si>
    <t>Same milestone or +1 level</t>
  </si>
  <si>
    <t>Same-rarity synergistic loadout</t>
  </si>
  <si>
    <t>Better setup, utility and Energy use</t>
  </si>
  <si>
    <t>Experienced players</t>
  </si>
  <si>
    <t>Elite</t>
  </si>
  <si>
    <t>Same tier; curated encounter</t>
  </si>
  <si>
    <t>Same-rarity or named loadout</t>
  </si>
  <si>
    <t>No general hidden bonus</t>
  </si>
  <si>
    <t>Synergy-aware, telegraphed punishments</t>
  </si>
  <si>
    <t>Rare elite encounters</t>
  </si>
  <si>
    <t>Boss</t>
  </si>
  <si>
    <t>Encounter-specific phases</t>
  </si>
  <si>
    <t>Unique budgeted loadout</t>
  </si>
  <si>
    <t>May use explicit phase health</t>
  </si>
  <si>
    <t>No hidden universal bonus</t>
  </si>
  <si>
    <t>Phase script and telegraphed burst</t>
  </si>
  <si>
    <t>Boss encounters</t>
  </si>
  <si>
    <t>Base Stat Source</t>
  </si>
  <si>
    <t>All normal NPCs</t>
  </si>
  <si>
    <t>Bird Stats species row</t>
  </si>
  <si>
    <t>Same Base Health</t>
  </si>
  <si>
    <t>Same Might/Dexterity/Focus</t>
  </si>
  <si>
    <t>Same Guard/Resolve</t>
  </si>
  <si>
    <t>Same Agility</t>
  </si>
  <si>
    <t>AI varies by profile</t>
  </si>
  <si>
    <t>Implemented 0.9</t>
  </si>
  <si>
    <t>Authoritative for enemies</t>
  </si>
  <si>
    <t>Grey–Purple 30</t>
  </si>
  <si>
    <t>Gold 32; Orange 34</t>
  </si>
  <si>
    <t>Vitality included in budget</t>
  </si>
  <si>
    <t>Offence included in budget</t>
  </si>
  <si>
    <t>Defence included in budget</t>
  </si>
  <si>
    <t>Agility included in budget</t>
  </si>
  <si>
    <t>No reallocation by difficulty</t>
  </si>
  <si>
    <t>Tier cap audit in Bird Stats</t>
  </si>
  <si>
    <t>Health Rule</t>
  </si>
  <si>
    <t>Real-size Base Health</t>
  </si>
  <si>
    <t>No universal +20</t>
  </si>
  <si>
    <t>Vitality = +5% base per point</t>
  </si>
  <si>
    <t>No hidden health multiplier</t>
  </si>
  <si>
    <t>Boss phase health must be explicit</t>
  </si>
  <si>
    <t>Boss exceptions documented separately</t>
  </si>
  <si>
    <t>One-Handed Pairing and Combination Registry</t>
  </si>
  <si>
    <t>Hybrid and paired techniques now store total Skill Power and assigned scaling stats. Each damage component resolves against its matching defence.</t>
  </si>
  <si>
    <t>Pair</t>
  </si>
  <si>
    <t>Technique / Synergy</t>
  </si>
  <si>
    <t>Total Skill Power</t>
  </si>
  <si>
    <t>Primary Stat</t>
  </si>
  <si>
    <t>Secondary Stat</t>
  </si>
  <si>
    <t>Balance Rule</t>
  </si>
  <si>
    <t>Pair Key</t>
  </si>
  <si>
    <t>Skill ID</t>
  </si>
  <si>
    <t>Ailment Arsenal, Orb Focuses &amp; Weapon Access</t>
  </si>
  <si>
    <t>Confirmed v0.6 family rules for Magic ailment builds, Rogue-exclusive weapons, ranged class access, high-tier ailment weapons and armour protection. Item-specific coefficients and future Bow/Hand Crossbow catalogue lines remain Working Draft content.</t>
  </si>
  <si>
    <t>Orb Focus Registry</t>
  </si>
  <si>
    <t>Orb Focus</t>
  </si>
  <si>
    <t>Parent Family</t>
  </si>
  <si>
    <t>2 EN Technique</t>
  </si>
  <si>
    <t>Direct Damage Role</t>
  </si>
  <si>
    <t>Guaranteed Focus Effect</t>
  </si>
  <si>
    <t>Resolved State</t>
  </si>
  <si>
    <t>Class Access</t>
  </si>
  <si>
    <t>Current Exemplar</t>
  </si>
  <si>
    <t>Poison Orb</t>
  </si>
  <si>
    <t>Focus Orb</t>
  </si>
  <si>
    <t>Venom Pulse</t>
  </si>
  <si>
    <t>Reduced Magic damage; focus effect consumes part of the action budget.</t>
  </si>
  <si>
    <t>On hit, apply 2 Poison stacks.</t>
  </si>
  <si>
    <t>Mage / Siren / Inquisitor / Bard</t>
  </si>
  <si>
    <t>EQ-FO-GRN — Mossagate Poison Orb</t>
  </si>
  <si>
    <t>Confirmed structure / Working Draft values</t>
  </si>
  <si>
    <t>Burn Orb</t>
  </si>
  <si>
    <t>Cinder Pulse</t>
  </si>
  <si>
    <t>On hit, apply 2 Burn stacks.</t>
  </si>
  <si>
    <t>Incinerating → Scorched</t>
  </si>
  <si>
    <t>EQ-FO-GLD — Solar Burn Orb</t>
  </si>
  <si>
    <t>Chill Orb</t>
  </si>
  <si>
    <t>Frost Pulse</t>
  </si>
  <si>
    <t>On hit, apply 2 Chilled stacks.</t>
  </si>
  <si>
    <t>EQ-FO-ORG — Orrery of Frozen Tides</t>
  </si>
  <si>
    <t>Shock Orb</t>
  </si>
  <si>
    <t>Storm Pulse</t>
  </si>
  <si>
    <t>On hit, apply 2 Shock stacks.</t>
  </si>
  <si>
    <t>EQ-FO-BLU — Stormglass Shock Orb</t>
  </si>
  <si>
    <t>Bleed Orb</t>
  </si>
  <si>
    <t>Sanguine Pulse</t>
  </si>
  <si>
    <t>On hit, apply 1 Bleed stack.</t>
  </si>
  <si>
    <t>3-stack Bleed cap</t>
  </si>
  <si>
    <t>EQ-FO-PUR — Moonwell Bleed Orb</t>
  </si>
  <si>
    <t>Echo Orb</t>
  </si>
  <si>
    <t>Echo Pulse</t>
  </si>
  <si>
    <t>Deal 75% immediately and store 25% as Delayed damage.</t>
  </si>
  <si>
    <t>EQ-FO-GRY — Clouded Echo Orb</t>
  </si>
  <si>
    <t>Ranged and Specialist Weapon Access</t>
  </si>
  <si>
    <t>Weapon Family</t>
  </si>
  <si>
    <t>Hands</t>
  </si>
  <si>
    <t>Techniques</t>
  </si>
  <si>
    <t>Technique A</t>
  </si>
  <si>
    <t>Technique B / Paired</t>
  </si>
  <si>
    <t>Orb Combination</t>
  </si>
  <si>
    <t>Scaling Identity</t>
  </si>
  <si>
    <t>Catalogue State</t>
  </si>
  <si>
    <t>Dagger Pinion</t>
  </si>
  <si>
    <t>Rogue only</t>
  </si>
  <si>
    <t>Throwing Pinion</t>
  </si>
  <si>
    <t>Two matching weapons unlock Pinion Barrage.</t>
  </si>
  <si>
    <t>Yes — Venom/Ember/Frost/Storm/Blood/Echo Pinion.</t>
  </si>
  <si>
    <t>Agility + smaller Might contribution; hybrid combinations use Agility + Focus.</t>
  </si>
  <si>
    <t>Repurposes the six existing Talon Dagger item rows; stable IDs retained.</t>
  </si>
  <si>
    <t>Bow</t>
  </si>
  <si>
    <t>Rogue / Bard only</t>
  </si>
  <si>
    <t>Quickshot</t>
  </si>
  <si>
    <t>Crescent Volley</t>
  </si>
  <si>
    <t>No off-hand Orb; the weapon occupies both hands.</t>
  </si>
  <si>
    <t>Agility/Might ranged tempo.</t>
  </si>
  <si>
    <t>Family confirmed; six rarity item rows require a separate content-budget pass.</t>
  </si>
  <si>
    <t>Confirmed family / Content Pending</t>
  </si>
  <si>
    <t>Hand Crossbow</t>
  </si>
  <si>
    <t>Pinion Bolt</t>
  </si>
  <si>
    <t>Two matching weapons unlock Twin Bolts.</t>
  </si>
  <si>
    <t>Yes — Venom/Ember/Frost/Storm/Blood/Echo Bolt.</t>
  </si>
  <si>
    <t>High Precision; Agility + Focus in Orb combinations.</t>
  </si>
  <si>
    <t>Greatbow</t>
  </si>
  <si>
    <t>Knight / Brute only</t>
  </si>
  <si>
    <t>Aimed Feather — 3 EN</t>
  </si>
  <si>
    <t>Skyfall Arrow — 4 EN</t>
  </si>
  <si>
    <t>Might, Martial Penetration, Ferocity and deliberate full-turn pressure.</t>
  </si>
  <si>
    <t>The six existing Greatbow rows are re-restricted in v0.6.</t>
  </si>
  <si>
    <t>Confirmed access / Working Draft values</t>
  </si>
  <si>
    <t>Focus Pulse — 2 EN</t>
  </si>
  <si>
    <t>Two Orbs unlock Twin Eclipse.</t>
  </si>
  <si>
    <t>Combines with Talon Blade, Dagger Pinion and Hand Crossbow.</t>
  </si>
  <si>
    <t>Focus plus the chosen Orb Focus.</t>
  </si>
  <si>
    <t>Six existing items are authored as one exemplar of each focus.</t>
  </si>
  <si>
    <t>Ailments on Purple, Gold and Orange Weapons</t>
  </si>
  <si>
    <t>Permission</t>
  </si>
  <si>
    <t>Normal Application</t>
  </si>
  <si>
    <t>Direct Damage Cost</t>
  </si>
  <si>
    <t>Resolved-State Rule</t>
  </si>
  <si>
    <t>Budget Treatment</t>
  </si>
  <si>
    <t>Selected named weapons may add one base-ailment rider.</t>
  </si>
  <si>
    <t>Normally 1 guaranteed stack after a landed action.</t>
  </si>
  <si>
    <t>Reduce direct damage when the rider is added.</t>
  </si>
  <si>
    <t>Cannot apply Toxic, Incinerating, Frozen or Paralysed directly.</t>
  </si>
  <si>
    <t>Consumes the named-bonus budget.</t>
  </si>
  <si>
    <t>Frostbite Bow; Barbed Talon Blade.</t>
  </si>
  <si>
    <t>Confirmed permission</t>
  </si>
  <si>
    <t>Selected named weapons may add ailment payoff or Ultimate synergy.</t>
  </si>
  <si>
    <t>All damage, stacks and utility share one action budget.</t>
  </si>
  <si>
    <t>May accelerate buildup but does not bypass the base threshold.</t>
  </si>
  <si>
    <t>Consumes a named bonus or Ultimate budget.</t>
  </si>
  <si>
    <t>Ember Greatbow; Stormbolt Crossbow.</t>
  </si>
  <si>
    <t>Unique interaction with one ailment family.</t>
  </si>
  <si>
    <t>Still obeys 2 stacks per action and 4 per turn unless explicitly approved.</t>
  </si>
  <si>
    <t>Unique power is paid from the Orange permission and total budget.</t>
  </si>
  <si>
    <t>May modify a resolved state but does not apply it freely.</t>
  </si>
  <si>
    <t>Consumes the unique permission.</t>
  </si>
  <si>
    <t>Venom Pinion; named Incinerating interaction.</t>
  </si>
  <si>
    <t>Ailment Protection on Armour</t>
  </si>
  <si>
    <t>Protection</t>
  </si>
  <si>
    <t>Frequency</t>
  </si>
  <si>
    <t>Base Ailment</t>
  </si>
  <si>
    <t>Direct Damage</t>
  </si>
  <si>
    <t>Resistance</t>
  </si>
  <si>
    <t>Reduce the first application of the named ailment each round by 1 stack.</t>
  </si>
  <si>
    <t>Once per round.</t>
  </si>
  <si>
    <t>Still receives any remaining stacks.</t>
  </si>
  <si>
    <t>Does not automatically prevent the resolved state.</t>
  </si>
  <si>
    <t>Never prevented.</t>
  </si>
  <si>
    <t>Once per battle, prevent the named resolved state and clear its base stacks.</t>
  </si>
  <si>
    <t>Once per battle.</t>
  </si>
  <si>
    <t>Stacks build normally until the Ward triggers.</t>
  </si>
  <si>
    <t>Prevented once.</t>
  </si>
  <si>
    <t>Immunity</t>
  </si>
  <si>
    <t>Cannot gain the named base ailment or its resolved state.</t>
  </si>
  <si>
    <t>Permanent while equipped.</t>
  </si>
  <si>
    <t>Prevented.</t>
  </si>
  <si>
    <t>Consumes the Orange unique permission.</t>
  </si>
  <si>
    <t>Protection Families</t>
  </si>
  <si>
    <t>Protection Family</t>
  </si>
  <si>
    <t>Resolved State Covered</t>
  </si>
  <si>
    <t>Does Not Prevent</t>
  </si>
  <si>
    <t>Direct weapon or Magic damage</t>
  </si>
  <si>
    <t>Chill</t>
  </si>
  <si>
    <t>No separate resolved state</t>
  </si>
  <si>
    <t>Direct weapon or Martial damage</t>
  </si>
  <si>
    <t>Ward clears stacks</t>
  </si>
  <si>
    <t>Implementation Boundaries</t>
  </si>
  <si>
    <t>Authority</t>
  </si>
  <si>
    <t>Content State</t>
  </si>
  <si>
    <t>Orb parent family</t>
  </si>
  <si>
    <t>Focus Orb remains the equipment family; every concrete Orb item declares exactly one Orb Focus.</t>
  </si>
  <si>
    <t>The six current items demonstrate the six focuses. A later content pass may create every focus at every rarity.</t>
  </si>
  <si>
    <t>Dedicated Orb advantage</t>
  </si>
  <si>
    <t>Focus Pulse applies more buildup than a hybrid combination because it sacrifices direct damage.</t>
  </si>
  <si>
    <t>Exact coefficients remain Working Draft.</t>
  </si>
  <si>
    <t>Combination advantage</t>
  </si>
  <si>
    <t>Hybrid techniques deal Martial and Magic portions but normally apply only 1 guaranteed stack.</t>
  </si>
  <si>
    <t>See Combination Techniques and Skill Library.</t>
  </si>
  <si>
    <t>Bow and Hand Crossbow</t>
  </si>
  <si>
    <t>Class access, hand cost and technique roles are confirmed without inventing unapproved item stats.</t>
  </si>
  <si>
    <t>Item names, six-rarity stat packages and bonuses remain a discrete content task.</t>
  </si>
  <si>
    <t>Stable IDs</t>
  </si>
  <si>
    <t>Repurposed Dagger Pinion and focused-Orb display data keep existing item and skill IDs where practical.</t>
  </si>
  <si>
    <t>Use display aliases and save migration rather than deleting identifiers.</t>
  </si>
  <si>
    <t>No automatic hard control</t>
  </si>
  <si>
    <t>Weapons apply Burn, Poison, Bleed, Chilled or Shock; they do not directly apply Incinerating, Toxic, Frozen or Paralysed.</t>
  </si>
  <si>
    <t>Orange exceptions still require explicit approval and telegraphing.</t>
  </si>
  <si>
    <t>Physical Ailment Protection Families</t>
  </si>
  <si>
    <t>Direct physical damage</t>
  </si>
  <si>
    <t>Ward clears stacks / prevents Shattered once</t>
  </si>
  <si>
    <t>Cripple</t>
  </si>
  <si>
    <t>Ward clears stacks / prevents Immobilised once</t>
  </si>
  <si>
    <t>Daze</t>
  </si>
  <si>
    <t>Ward clears stacks / prevents Concussed once</t>
  </si>
  <si>
    <t>Weapon Damage Ranges</t>
  </si>
  <si>
    <t>Every active weapon family now has an intrinsic damage range at each rarity.</t>
  </si>
  <si>
    <t>Family</t>
  </si>
  <si>
    <t>Rarity Factors</t>
  </si>
  <si>
    <t>Talon Blade</t>
  </si>
  <si>
    <t>3–4</t>
  </si>
  <si>
    <t>4–5</t>
  </si>
  <si>
    <t>5–6</t>
  </si>
  <si>
    <t>6–8</t>
  </si>
  <si>
    <t>7–9</t>
  </si>
  <si>
    <t>8–11</t>
  </si>
  <si>
    <t>1.00× / 1.25× / 1.55× / 1.90× / 2.30× / 2.75×</t>
  </si>
  <si>
    <t>Curated whole-number ranges generated from the Grey family profile.</t>
  </si>
  <si>
    <t>2–3</t>
  </si>
  <si>
    <t>3–5</t>
  </si>
  <si>
    <t>4–6</t>
  </si>
  <si>
    <t>5–7</t>
  </si>
  <si>
    <t>Duel Sabre</t>
  </si>
  <si>
    <t>5–8</t>
  </si>
  <si>
    <t>6–10</t>
  </si>
  <si>
    <t>7–12</t>
  </si>
  <si>
    <t>8–14</t>
  </si>
  <si>
    <t>8–12</t>
  </si>
  <si>
    <t>10–15</t>
  </si>
  <si>
    <t>12–18</t>
  </si>
  <si>
    <t>14–22</t>
  </si>
  <si>
    <t>Beak Hammer</t>
  </si>
  <si>
    <t>6–9</t>
  </si>
  <si>
    <t>9–14</t>
  </si>
  <si>
    <t>11–17</t>
  </si>
  <si>
    <t>Lance</t>
  </si>
  <si>
    <t>10–13</t>
  </si>
  <si>
    <t>12–16</t>
  </si>
  <si>
    <t>14–19</t>
  </si>
  <si>
    <t>Greatblade</t>
  </si>
  <si>
    <t>8–10</t>
  </si>
  <si>
    <t>9–12</t>
  </si>
  <si>
    <t>11–15</t>
  </si>
  <si>
    <t>14–18</t>
  </si>
  <si>
    <t>17–22</t>
  </si>
  <si>
    <t>War Scythe</t>
  </si>
  <si>
    <t>Wand</t>
  </si>
  <si>
    <t>2–4</t>
  </si>
  <si>
    <t>3–6</t>
  </si>
  <si>
    <t>4–8</t>
  </si>
  <si>
    <t>5–9</t>
  </si>
  <si>
    <t>6–11</t>
  </si>
  <si>
    <t>Hexwood Wand</t>
  </si>
  <si>
    <t>1–3</t>
  </si>
  <si>
    <t>1–4</t>
  </si>
  <si>
    <t>2–5</t>
  </si>
  <si>
    <t>2–6</t>
  </si>
  <si>
    <t>2–7</t>
  </si>
  <si>
    <t>3–8</t>
  </si>
  <si>
    <t>Bell Sceptre</t>
  </si>
  <si>
    <t>Staff</t>
  </si>
  <si>
    <t>Runic Grimoire</t>
  </si>
  <si>
    <t>Bard Song</t>
  </si>
  <si>
    <t>Lament Song</t>
  </si>
  <si>
    <t>NPC Equipment Attribution Rules</t>
  </si>
  <si>
    <t>NPC stats are no longer a simplified base-stat opponent. They use the same equipment and weapon data as the player.</t>
  </si>
  <si>
    <t>NPC Construction Rule</t>
  </si>
  <si>
    <t>Player Equivalent</t>
  </si>
  <si>
    <t>Formula Source</t>
  </si>
  <si>
    <t>Audit</t>
  </si>
  <si>
    <t>Choose bird/species and class</t>
  </si>
  <si>
    <t>Choose player bird</t>
  </si>
  <si>
    <t>Bird Stats</t>
  </si>
  <si>
    <t>Same base columns</t>
  </si>
  <si>
    <t>Apply level/star/tier progression</t>
  </si>
  <si>
    <t>Apply player progression</t>
  </si>
  <si>
    <t>Progression Rules</t>
  </si>
  <si>
    <t>Same order</t>
  </si>
  <si>
    <t>Select curated equipment IDs</t>
  </si>
  <si>
    <t>Equip player items</t>
  </si>
  <si>
    <t>Reference Loadouts</t>
  </si>
  <si>
    <t>Same rarity and slot rules</t>
  </si>
  <si>
    <t>Sum flat equipment attributes</t>
  </si>
  <si>
    <t>Sum player equipment attributes</t>
  </si>
  <si>
    <t>Same SUMIF pipeline</t>
  </si>
  <si>
    <t>Read weapon min/max range</t>
  </si>
  <si>
    <t>Read player weapon range</t>
  </si>
  <si>
    <t>Same weapon row</t>
  </si>
  <si>
    <t>Read fixed Skill Power</t>
  </si>
  <si>
    <t>Read player skill</t>
  </si>
  <si>
    <t>No rarity multiplier</t>
  </si>
  <si>
    <t>Calculate health, Dodge and mitigation</t>
  </si>
  <si>
    <t>Calculate player derived stats</t>
  </si>
  <si>
    <t>Scaling Model</t>
  </si>
  <si>
    <t>Same formulas</t>
  </si>
  <si>
    <t>Apply difficulty AI policy</t>
  </si>
  <si>
    <t>Player chooses actions</t>
  </si>
  <si>
    <t>Enemy Scaling</t>
  </si>
  <si>
    <t>No hidden Standard stat multiplier</t>
  </si>
  <si>
    <t>GitHub Import Bridge — Passives &amp; Perks v1.0</t>
  </si>
  <si>
    <t>Simple Passive Effect</t>
  </si>
  <si>
    <t>Trigger / Timing</t>
  </si>
  <si>
    <t>Benefit Type</t>
  </si>
  <si>
    <t>Ability Alignment Notes</t>
  </si>
  <si>
    <t>Class Perk Effect</t>
  </si>
  <si>
    <t>Overflow Effect</t>
  </si>
  <si>
    <t>Precision, Critical</t>
  </si>
  <si>
    <t>Fortify/Ward effects heal current protection and raise temporary maximum; restoration cannot exceed normal maximum.</t>
  </si>
  <si>
    <t>Armour, Magic Armour, Restoration</t>
  </si>
  <si>
    <t>Armour, Magic Armour, Ailment, Skill Power, Precision</t>
  </si>
  <si>
    <t>Restoration, Precision</t>
  </si>
  <si>
    <t>Precision</t>
  </si>
  <si>
    <t>Armour, Magic Armour, Ailment, Skill Power</t>
  </si>
  <si>
    <t>Armour, Magic Armour, Precision</t>
  </si>
  <si>
    <t>Armour, Restoration</t>
  </si>
  <si>
    <t>Armour, Magic Armour, Ailment, Precision</t>
  </si>
  <si>
    <t>Armour, Skill Power, Precision</t>
  </si>
  <si>
    <t>Armour, Magic Armour, Restoration, Skill Power</t>
  </si>
  <si>
    <t>Armour, Magic Armour, Ailment</t>
  </si>
  <si>
    <t>Armour, Magic Armour, Restoration, Ward</t>
  </si>
  <si>
    <t>Armour, Magic Armour, Restoration, Precision</t>
  </si>
  <si>
    <t>Armour, Fortify, Skill Power</t>
  </si>
  <si>
    <t>Armour, Precision</t>
  </si>
  <si>
    <t>Armour, Magic Armour, Restoration, Fortify, Ward, Precision</t>
  </si>
  <si>
    <t>Armour, Magic Armour, Restoration, Ward, Ailment</t>
  </si>
  <si>
    <t>Skill Power, Precision</t>
  </si>
  <si>
    <t>Armour, Ailment, Precision, Critical</t>
  </si>
  <si>
    <t>Armour, Restoration, Precision</t>
  </si>
  <si>
    <t>Restoration, Critical</t>
  </si>
  <si>
    <t>Armour, Magic Armour, Ailment, Critical</t>
  </si>
  <si>
    <t>Armour, Magic Armour, Restoration, Ailment, Skill Power</t>
  </si>
  <si>
    <t>Armour, Fortify</t>
  </si>
  <si>
    <t>Restoration, Ailment, Precision</t>
  </si>
  <si>
    <t>Armour, Magic Armour, Precision, Critical</t>
  </si>
  <si>
    <t>Critical</t>
  </si>
  <si>
    <t>Restoration, Skill Power</t>
  </si>
  <si>
    <t>Armour, Restoration, Fortify</t>
  </si>
  <si>
    <t>Armour, Magic Armour, Restoration, Skill Power, Precision</t>
  </si>
  <si>
    <t>Armour, Restoration, Skill Power</t>
  </si>
  <si>
    <t>Avian Ascent Equipment System v1.3 — Basic Starting Weapons</t>
  </si>
  <si>
    <t>Standalone equipment workbook with weapon-first damage, two granted weapon skills, expanded equipment skill pools, Physical Armour, Magic Armour, Fortify, Ward, set families, materials, infusions and ailment gating.</t>
  </si>
  <si>
    <t>Slot</t>
  </si>
  <si>
    <t>Item Count</t>
  </si>
  <si>
    <t>Total catalogue items</t>
  </si>
  <si>
    <t>Unified Catalogue count</t>
  </si>
  <si>
    <t>Includes 5 Basic starting weapons.</t>
  </si>
  <si>
    <t>Weapon</t>
  </si>
  <si>
    <t>Weapons</t>
  </si>
  <si>
    <t>108 standard weapons + 5 Basic starting weapons</t>
  </si>
  <si>
    <t>Basic weapons grant no extra skills.</t>
  </si>
  <si>
    <t>Armour/Plumage</t>
  </si>
  <si>
    <t>18 standard families × 2 skills</t>
  </si>
  <si>
    <t>Basic starting weapons provide only the 1 EN Basic Attack.</t>
  </si>
  <si>
    <t>48 defensive + 16 accessory skills</t>
  </si>
  <si>
    <t>Skill pools appear by rarity</t>
  </si>
  <si>
    <t>8 sets × 6 rarities</t>
  </si>
  <si>
    <t>Largest protection contribution</t>
  </si>
  <si>
    <t>Helmets</t>
  </si>
  <si>
    <t>Secondary protection contribution</t>
  </si>
  <si>
    <t>Shields</t>
  </si>
  <si>
    <t>Optional major protection contribution</t>
  </si>
  <si>
    <t>Accessories</t>
  </si>
  <si>
    <t>8 families × 6 rarities</t>
  </si>
  <si>
    <t>4 Anklet and 4 Necklace families</t>
  </si>
  <si>
    <t>Active Barrier skills</t>
  </si>
  <si>
    <t>Barrier removed as an active pool</t>
  </si>
  <si>
    <t>All skills use Armour, Magic Armour, Fortify or Ward</t>
  </si>
  <si>
    <t>Confirmed Core Rules and Skill Structure</t>
  </si>
  <si>
    <t>Skill 1 = 2 EN, no cooldown; Skill 2 = 3 EN, 1-turn cooldown</t>
  </si>
  <si>
    <t>Basic Attack</t>
  </si>
  <si>
    <t>The equipped weapon provides the 1 EN, 100% weapon-damage Basic Attack; there is no separate universal Natural Strike.</t>
  </si>
  <si>
    <t>Basic starting weapons</t>
  </si>
  <si>
    <t>Tail Wand, Beak Stab, Broken Song, Talon Scratch and Plume Syphon are starting gear and grant no additional skills.</t>
  </si>
  <si>
    <t>Standard weapon skills</t>
  </si>
  <si>
    <t>Later weapons replace the Basic weapon and can add a 2 EN Skill 1 and 3 EN Skill 2.</t>
  </si>
  <si>
    <t>Heals current Armour and raises temporary maximum by the same amount; standard 3 EN with a 2-turn cooldown</t>
  </si>
  <si>
    <t>Heals current Magic Armour and raises temporary maximum by the same amount; standard 3 EN with a 2-turn cooldown</t>
  </si>
  <si>
    <t>Barrier</t>
  </si>
  <si>
    <t>Removed as an active pool; rare dual protection uses Bastion/Aegis with a 3-turn cooldown</t>
  </si>
  <si>
    <t>Buff tiers</t>
  </si>
  <si>
    <t>Minor ±4; Moderate ±10; Major ±20 flat stat</t>
  </si>
  <si>
    <t>Core Equipment, Armour and Skill Rules v1.2</t>
  </si>
  <si>
    <t>Section</t>
  </si>
  <si>
    <t>Formula / Value</t>
  </si>
  <si>
    <t>Applies To</t>
  </si>
  <si>
    <t>Design Purpose</t>
  </si>
  <si>
    <t>The equipped weapon supplies minimum and maximum damage for the Basic Attack and weapon techniques.</t>
  </si>
  <si>
    <t>Weapon × ((Power + Stat×2.5)÷100)</t>
  </si>
  <si>
    <t>All attacks using a weapon</t>
  </si>
  <si>
    <t>Tail Wand 1–2, 8 Focus, 100% Basic Attack = 1.2–2.4 raw</t>
  </si>
  <si>
    <t>Makes weapon upgrades directly replace and improve the basic attack.</t>
  </si>
  <si>
    <t>Basic weapons grant no extra skills; later weapons may grant additional techniques.</t>
  </si>
  <si>
    <t>Equipped Basic Attack</t>
  </si>
  <si>
    <t>Every equipped weapon provides a 1 EN, 100% weapon-damage Basic Attack. It replaces the old universal Natural Strike.</t>
  </si>
  <si>
    <t>1 EN / no cooldown / 100% weapon damage</t>
  </si>
  <si>
    <t>All equipped weapons</t>
  </si>
  <si>
    <t>Talon Scratch uses Dexterity; Beak Stab uses Might; Tail Wand uses Focus.</t>
  </si>
  <si>
    <t>Matches a weapon-first RPG model where the weapon and its scaling attribute determine normal attacks.</t>
  </si>
  <si>
    <t>Design reference: https://divinity.fandom.com/wiki/Attributes_and_Abilities_%28Original_Sin_2%29</t>
  </si>
  <si>
    <t>Strength scaling</t>
  </si>
  <si>
    <t>Might scales Strength weapons.</t>
  </si>
  <si>
    <t>+2.5% per Might</t>
  </si>
  <si>
    <t>8 Might = +20%</t>
  </si>
  <si>
    <t>Heavy physical identity.</t>
  </si>
  <si>
    <t>Finesse scaling</t>
  </si>
  <si>
    <t>Dexterity scales Finesse weapons.</t>
  </si>
  <si>
    <t>+2.5% per Dexterity</t>
  </si>
  <si>
    <t>10 Dexterity = +25%</t>
  </si>
  <si>
    <t>Rogue and bow identity.</t>
  </si>
  <si>
    <t>Magic scaling</t>
  </si>
  <si>
    <t>Focus scales Magic weapons.</t>
  </si>
  <si>
    <t>+2.5% per Focus</t>
  </si>
  <si>
    <t>Magical</t>
  </si>
  <si>
    <t>12 Focus = +30%</t>
  </si>
  <si>
    <t>Mage and spell identity.</t>
  </si>
  <si>
    <t>Vitality increases Max Health.</t>
  </si>
  <si>
    <t>Base Health + Vitality × 3</t>
  </si>
  <si>
    <t>All birds</t>
  </si>
  <si>
    <t>10 Base Health, 3 Vitality = 19 Health</t>
  </si>
  <si>
    <t>Low starting Health with a visible +3 HP per Vitality.</t>
  </si>
  <si>
    <t>Turn order</t>
  </si>
  <si>
    <t>Higher Agility acts first.</t>
  </si>
  <si>
    <t>Direct comparison</t>
  </si>
  <si>
    <t>10 Agility acts before 6</t>
  </si>
  <si>
    <t>No separate Speed stat.</t>
  </si>
  <si>
    <t>Agility grants Dodge.</t>
  </si>
  <si>
    <t>MIN(50%, Agility×0.5%)</t>
  </si>
  <si>
    <t>20 Agility = 10% Dodge</t>
  </si>
  <si>
    <t>Speed and avoidance identity.</t>
  </si>
  <si>
    <t>Physical mitigation</t>
  </si>
  <si>
    <t>Guard generates mitigation rating.</t>
  </si>
  <si>
    <t>MIN(75%, Guard×2.5 ÷ (100+Guard×2.5))</t>
  </si>
  <si>
    <t>Physical damage</t>
  </si>
  <si>
    <t>8 Guard = 16.7%</t>
  </si>
  <si>
    <t>Diminishing returns.</t>
  </si>
  <si>
    <t>Magical mitigation</t>
  </si>
  <si>
    <t>Resolve generates mitigation rating.</t>
  </si>
  <si>
    <t>MIN(75%, Resolve×2.5 ÷ (100+Resolve×2.5))</t>
  </si>
  <si>
    <t>Magical damage</t>
  </si>
  <si>
    <t>4 Resolve = 9.1%</t>
  </si>
  <si>
    <t>Physical Armour</t>
  </si>
  <si>
    <t>Absorbs post-mitigation physical damage.</t>
  </si>
  <si>
    <t>Flat pool</t>
  </si>
  <si>
    <t>Overflow reaches Health</t>
  </si>
  <si>
    <t>Adds equipment durability layer.</t>
  </si>
  <si>
    <t>Absorbs post-mitigation magical damage.</t>
  </si>
  <si>
    <t>Adds equipment warding layer.</t>
  </si>
  <si>
    <t>Armour restoration</t>
  </si>
  <si>
    <t>Restores current Armour only to normal maximum.</t>
  </si>
  <si>
    <t>MIN(Max Armour, Current + Restore); standard 2 EN / 1-turn cooldown</t>
  </si>
  <si>
    <t>Physical protection</t>
  </si>
  <si>
    <t>18/24 + Restore 8 = 24/24</t>
  </si>
  <si>
    <t>Frequent persistent repair without overflow.</t>
  </si>
  <si>
    <t>Restoration has a shorter cooldown than Fortify.</t>
  </si>
  <si>
    <t>Magic Armour restoration</t>
  </si>
  <si>
    <t>Restores current Magic Armour only to normal maximum.</t>
  </si>
  <si>
    <t>MIN(Max Magic Armour, Current + Restore); standard 2 EN / 1-turn cooldown</t>
  </si>
  <si>
    <t>Magical protection</t>
  </si>
  <si>
    <t>10/18 + Restore 6 = 16/18</t>
  </si>
  <si>
    <t>Restoration has a shorter cooldown than Ward.</t>
  </si>
  <si>
    <t>Adds its full value to current Armour and raises temporary Maximum Armour by the same amount.</t>
  </si>
  <si>
    <t>New Current = MIN(Normal Max + Fortify, Current + Fortify); 3 EN / 2-turn cooldown</t>
  </si>
  <si>
    <t>20/24 + Fortify 12 = 32/36; after damage at 27/36, expiry becomes 24/24</t>
  </si>
  <si>
    <t>Heals missing Armour, creates overflow and restores physical ailment protection.</t>
  </si>
  <si>
    <t>Usually lasts 2 turns. On expiry: MIN(Current Armour, Normal Max).</t>
  </si>
  <si>
    <t>Adds its full value to current Magic Armour and raises temporary Maximum Magic Armour by the same amount.</t>
  </si>
  <si>
    <t>New Current = MIN(Normal Max + Ward, Current + Ward); 3 EN / 2-turn cooldown</t>
  </si>
  <si>
    <t>15/18 + Ward 8 = 23/26; after damage at 21/26, expiry becomes 18/18</t>
  </si>
  <si>
    <t>Heals missing Magic Armour, creates overflow and restores magical ailment protection.</t>
  </si>
  <si>
    <t>Usually lasts 2 turns. On expiry: MIN(Current Magic Armour, Normal Max).</t>
  </si>
  <si>
    <t>Barrier removal</t>
  </si>
  <si>
    <t>Barrier is not an active protection pool.</t>
  </si>
  <si>
    <t>Physical → Armour/Fortify; Magical → Magic Armour/Ward</t>
  </si>
  <si>
    <t>All legacy skills</t>
  </si>
  <si>
    <t>Universal effects use rare Bastion/Aegis wording.</t>
  </si>
  <si>
    <t>Avoids overlapping defensive pools.</t>
  </si>
  <si>
    <t>Ailment gate</t>
  </si>
  <si>
    <t>Matching protection must be zero and the hit must damage Health.</t>
  </si>
  <si>
    <t>Same-hit overflow rule</t>
  </si>
  <si>
    <t>Hostile ailments</t>
  </si>
  <si>
    <t>Bleed uses Armour; Poison uses Magic Armour</t>
  </si>
  <si>
    <t>Prevents immediate control chains.</t>
  </si>
  <si>
    <t>Temporary protection counts.</t>
  </si>
  <si>
    <t>Buffs and debuffs change flat stats.</t>
  </si>
  <si>
    <t>Minor ±4; Moderate ±10; Major ±20</t>
  </si>
  <si>
    <t>All core stats</t>
  </si>
  <si>
    <t>Minor Dex Up = +10% finesse rating</t>
  </si>
  <si>
    <t>Consistent tier language.</t>
  </si>
  <si>
    <t>Equipment Slot and Granted-Skill Rules</t>
  </si>
  <si>
    <t>Quantity</t>
  </si>
  <si>
    <t>Damage / Protection</t>
  </si>
  <si>
    <t>Granted Skills</t>
  </si>
  <si>
    <t>Typical Stats</t>
  </si>
  <si>
    <t>Restrictions</t>
  </si>
  <si>
    <t>Skill Identity</t>
  </si>
  <si>
    <t>Armour and/or Magic Armour</t>
  </si>
  <si>
    <t>May grant one 2 EN or 3 EN utility skill</t>
  </si>
  <si>
    <t>Guard, Resolve, Vitality, Agility</t>
  </si>
  <si>
    <t>Heavy helms may reduce Agility</t>
  </si>
  <si>
    <t>Buffs, mental defence, restoration, Ward/Fortify</t>
  </si>
  <si>
    <t>Secondary protection and identity</t>
  </si>
  <si>
    <t>Largest Armour/Magic Armour contribution</t>
  </si>
  <si>
    <t>May grant one 2 EN or 3 EN defensive skill</t>
  </si>
  <si>
    <t>All core stats by family</t>
  </si>
  <si>
    <t>Weight determines protection and Agility trade-off</t>
  </si>
  <si>
    <t>Restoration, Fortify, Ward, dual Bastion/Aegis</t>
  </si>
  <si>
    <t>Main defensive set piece</t>
  </si>
  <si>
    <t>Weapon damage range; named protection only</t>
  </si>
  <si>
    <t>Always grants Skill 1 (2 EN) and Skill 2 (3 EN)</t>
  </si>
  <si>
    <t>Might, Dexterity, Focus and secondary stats</t>
  </si>
  <si>
    <t>2H occupies both weapon slots</t>
  </si>
  <si>
    <t>Damage, ailments, setup, restoration, Fortify or Ward</t>
  </si>
  <si>
    <t>Primary combat actions</t>
  </si>
  <si>
    <t>Major Armour/Magic Armour contribution</t>
  </si>
  <si>
    <t>Requires free weapon slot</t>
  </si>
  <si>
    <t>High restoration, Fortify, Ward, Bastion/Aegis</t>
  </si>
  <si>
    <t>Optional major defence</t>
  </si>
  <si>
    <t>Normally no protection pool</t>
  </si>
  <si>
    <t>May grant one movement, buff or warding skill</t>
  </si>
  <si>
    <t>Flat attributes and utility</t>
  </si>
  <si>
    <t>Two together approximate one full slot</t>
  </si>
  <si>
    <t>Agility, offence buffs, restoration</t>
  </si>
  <si>
    <t>Build tuning</t>
  </si>
  <si>
    <t>May grant one buff, setup or defensive skill</t>
  </si>
  <si>
    <t>Flat attributes, Critical, resistance</t>
  </si>
  <si>
    <t>One equipped</t>
  </si>
  <si>
    <t>Offensive setup, Fortify, Ward, mixed defence</t>
  </si>
  <si>
    <t>Build identity and resistance</t>
  </si>
  <si>
    <t>Rarity, Attribute, Damage and Protection Budgets</t>
  </si>
  <si>
    <t>Flat Stat Budget</t>
  </si>
  <si>
    <t>Light Multiplier</t>
  </si>
  <si>
    <t>Medium Multiplier</t>
  </si>
  <si>
    <t>Heavy Multiplier</t>
  </si>
  <si>
    <t>Typical Identity</t>
  </si>
  <si>
    <t>Core identity; one attribute line.</t>
  </si>
  <si>
    <t>Improved values; second point.</t>
  </si>
  <si>
    <t>Set bonus active; first affix.</t>
  </si>
  <si>
    <t>Named conditional effect.</t>
  </si>
  <si>
    <t>Strong set identity and rare affix.</t>
  </si>
  <si>
    <t>Unique, build-defining effect.</t>
  </si>
  <si>
    <t>Buff/Debuff Tier</t>
  </si>
  <si>
    <t>Flat Change</t>
  </si>
  <si>
    <t>Offensive Rating Change</t>
  </si>
  <si>
    <t>Agility Dodge Change</t>
  </si>
  <si>
    <t>Equipment Skill Availability</t>
  </si>
  <si>
    <t>±10%</t>
  </si>
  <si>
    <t>±2% Dodge</t>
  </si>
  <si>
    <t>Default Granted Skill</t>
  </si>
  <si>
    <t>Eligible Pool</t>
  </si>
  <si>
    <t>Cooldown Pattern</t>
  </si>
  <si>
    <t>±25%</t>
  </si>
  <si>
    <t>±5% Dodge</t>
  </si>
  <si>
    <t>No bonus active skill</t>
  </si>
  <si>
    <t>Base equipment statistics and set identity only.</t>
  </si>
  <si>
    <t>±50%</t>
  </si>
  <si>
    <t>±10% Dodge</t>
  </si>
  <si>
    <t>Pool A</t>
  </si>
  <si>
    <t>2 EN skill</t>
  </si>
  <si>
    <t>Usually none</t>
  </si>
  <si>
    <t>Common utility skill.</t>
  </si>
  <si>
    <t>2 EN skill; variants may roll Pool B where specifically allowed</t>
  </si>
  <si>
    <t>Set bonus and first meaningful skill variation.</t>
  </si>
  <si>
    <t>Pool B</t>
  </si>
  <si>
    <t>2 EN or 3 EN</t>
  </si>
  <si>
    <t>3 EN uses 1-turn cooldown</t>
  </si>
  <si>
    <t>Advanced family skill.</t>
  </si>
  <si>
    <t>Strong set identity and named effects.</t>
  </si>
  <si>
    <t>2 EN or 3 EN plus unique item effect</t>
  </si>
  <si>
    <t>Build-defining equipment.</t>
  </si>
  <si>
    <t>Weapon Family Profiles — Basic Starting Weapons and Standard Skill Weapons</t>
  </si>
  <si>
    <t>Damage Category</t>
  </si>
  <si>
    <t>Grey Min</t>
  </si>
  <si>
    <t>Grey Max</t>
  </si>
  <si>
    <t>Skill 1 EN</t>
  </si>
  <si>
    <t>Skill 1</t>
  </si>
  <si>
    <t>Skill 1 Power %</t>
  </si>
  <si>
    <t>Skill 1 Cooldown</t>
  </si>
  <si>
    <t>Skill 1 Effect</t>
  </si>
  <si>
    <t>Skill 2 EN</t>
  </si>
  <si>
    <t>Skill 2</t>
  </si>
  <si>
    <t>Skill 2 Power %</t>
  </si>
  <si>
    <t>Skill 2 Cooldown</t>
  </si>
  <si>
    <t>Skill 2 Effect</t>
  </si>
  <si>
    <t>Tertiary Stat</t>
  </si>
  <si>
    <t>Identity</t>
  </si>
  <si>
    <t>Rules Note</t>
  </si>
  <si>
    <t>1H</t>
  </si>
  <si>
    <t>Quick Pinion</t>
  </si>
  <si>
    <t>Deal 110% Finesse weapon damage. Gain +10 Precision if the user has higher Agility than the target.</t>
  </si>
  <si>
    <t>Pinion Flurry</t>
  </si>
  <si>
    <t>Strike twice for 60% weapon damage per hit. If both hits damage Health, roll a 50% chance to apply Bleed.</t>
  </si>
  <si>
    <t>Fast, precise finesse strike.</t>
  </si>
  <si>
    <t>The equipped weapon provides a 1 EN Basic Attack at 100% weapon damage. Standard weapons also grant a 2 EN Skill 1 and 3 EN Skill 2; normal Skill 2 cooldown is 1 turn, Fortify/Ward uses 2 turns, and dual Bastion/Aegis uses 3 turns.</t>
  </si>
  <si>
    <t>Rogue, Bard, Knight</t>
  </si>
  <si>
    <t>Talon Cut</t>
  </si>
  <si>
    <t>Deal 110% Finesse weapon damage.</t>
  </si>
  <si>
    <t>Rending Talon</t>
  </si>
  <si>
    <t>Deal 120% Finesse weapon damage. If Armour is broken and Health is damaged, roll a 50% chance to apply Bleed.</t>
  </si>
  <si>
    <t>Balanced finesse attack.</t>
  </si>
  <si>
    <t>Riposte Slash</t>
  </si>
  <si>
    <t>Deal 100% Finesse weapon damage. Gain +20 Skill Power if the user Dodged the opponent’s previous attack.</t>
  </si>
  <si>
    <t>Duellist’s Tempo</t>
  </si>
  <si>
    <t>Deal 115% Finesse weapon damage. On hit, gain Minor Agility Up for 2 turns.</t>
  </si>
  <si>
    <t>Wide range; improves after avoiding an attack.</t>
  </si>
  <si>
    <t>Rogue and Bard</t>
  </si>
  <si>
    <t>Snap Bolt</t>
  </si>
  <si>
    <t>Barbed Bolt</t>
  </si>
  <si>
    <t>Deal 115% Finesse weapon damage. If Armour is broken and Health is damaged, roll a 50% chance to apply Bleed.</t>
  </si>
  <si>
    <t>One-handed ranged finesse weapon.</t>
  </si>
  <si>
    <t>Knight, Brute, Inquisitor</t>
  </si>
  <si>
    <t>Crushing Peck</t>
  </si>
  <si>
    <t>Deal 100% Strength weapon damage. If Armour is broken and Health is damaged, apply 1 Dazed stack.</t>
  </si>
  <si>
    <t>Fortifying Slam</t>
  </si>
  <si>
    <t>Deal 85% Strength weapon damage and gain 6 Fortified Armour (add 6 to current Armour and temporary Maximum Armour) for 2 turns.</t>
  </si>
  <si>
    <t>Heavy impact and Armour pressure.</t>
  </si>
  <si>
    <t>Mage, Siren, Bard, Inquisitor</t>
  </si>
  <si>
    <t>Arc Bolt</t>
  </si>
  <si>
    <t>Deal 110% Magic weapon damage.</t>
  </si>
  <si>
    <t>Arcane Ward</t>
  </si>
  <si>
    <t>Gain 8 Ward Magic Armour (add 8 to current Magic Armour and temporary Maximum Magic Armour) for 2 turns. Ward heals missing Magic Armour and may exceed normal Maximum Magic Armour.</t>
  </si>
  <si>
    <t>Reliable basic magical attack.</t>
  </si>
  <si>
    <t>Mage and Siren</t>
  </si>
  <si>
    <t>Hex Needle</t>
  </si>
  <si>
    <t>Deal 90% Magic weapon damage. If Magic Armour is broken and Health is damaged, roll the weapon’s magical ailment chance.</t>
  </si>
  <si>
    <t>Withering Hex</t>
  </si>
  <si>
    <t>Deal 75% Magic weapon damage. If Magic Armour is broken and Health is damaged, apply Minor Focus Down for 2 turns.</t>
  </si>
  <si>
    <t>Lower damage; ailment utility.</t>
  </si>
  <si>
    <t>Orb Pulse</t>
  </si>
  <si>
    <t>Deal 80% Magic weapon damage. If Magic Armour is broken and Health is damaged, roll a 60% chance to apply 1 stack of the Orb’s ailment.</t>
  </si>
  <si>
    <t>Orb Ward</t>
  </si>
  <si>
    <t>Gain 8 Ward Magic Armour (add 8 to current Magic Armour and temporary Maximum Magic Armour) for 2 turns and reduce application chance of the Orb’s matching ailment by 10 percentage points while active.</t>
  </si>
  <si>
    <t>Combination catalyst and ailment carrier.</t>
  </si>
  <si>
    <t>Mage, Bard, Inquisitor</t>
  </si>
  <si>
    <t>Resonant Toll</t>
  </si>
  <si>
    <t>Harmonic Renewal</t>
  </si>
  <si>
    <t>Restore 5 Armour and 5 Magic Armour, each capped at its normal maximum.</t>
  </si>
  <si>
    <t>Stable magical damage and resonance utility.</t>
  </si>
  <si>
    <t>2H</t>
  </si>
  <si>
    <t>Pinion Shot</t>
  </si>
  <si>
    <t>Deal 115% Finesse weapon damage.</t>
  </si>
  <si>
    <t>Crippling Shot</t>
  </si>
  <si>
    <t>Deal 95% Finesse weapon damage. If Armour is broken and Health is damaged, apply 2 Crippled stacks.</t>
  </si>
  <si>
    <t>Standard ranged finesse weapon.</t>
  </si>
  <si>
    <t>Knight and Brute</t>
  </si>
  <si>
    <t>Skyward Thrust</t>
  </si>
  <si>
    <t>Deal 120% Strength weapon damage.</t>
  </si>
  <si>
    <t>Piercing Charge</t>
  </si>
  <si>
    <t>Deal 135% Strength weapon damage and ignore 4 Guard for this attack.</t>
  </si>
  <si>
    <t>Physical penetration identity.</t>
  </si>
  <si>
    <t>Mage, Siren, Bard</t>
  </si>
  <si>
    <t>Runic Sweep</t>
  </si>
  <si>
    <t>Grand Ward</t>
  </si>
  <si>
    <t>Gain 10 Ward Magic Armour (add 10 to current Magic Armour and temporary Maximum Magic Armour) for 2 turns.</t>
  </si>
  <si>
    <t>Strong two-handed magic.</t>
  </si>
  <si>
    <t>Greatwing Slash</t>
  </si>
  <si>
    <t>Sundering Wing</t>
  </si>
  <si>
    <t>Deal 125% Strength weapon damage. If Armour is broken and Health is damaged, apply 2 Fracture stacks.</t>
  </si>
  <si>
    <t>Highest direct Strength profile.</t>
  </si>
  <si>
    <t>Brute and Knight</t>
  </si>
  <si>
    <t>Piercing Flight</t>
  </si>
  <si>
    <t>Deal 120% Finesse weapon damage.</t>
  </si>
  <si>
    <t>Raptor’s Draw</t>
  </si>
  <si>
    <t>Deal 140% Finesse weapon damage with +10 Precision.</t>
  </si>
  <si>
    <t>High ranged finesse damage.</t>
  </si>
  <si>
    <t>Inquisitor and Brute</t>
  </si>
  <si>
    <t>Reaping Arc</t>
  </si>
  <si>
    <t>Deal 100% Strength weapon damage and heal Health equal to 20% of Health damage dealt.</t>
  </si>
  <si>
    <t>Death’s Harvest</t>
  </si>
  <si>
    <t>Deal 125% Strength weapon damage. Gain +20 Skill Power if the target is below 30% Health.</t>
  </si>
  <si>
    <t>Execution and recovery identity.</t>
  </si>
  <si>
    <t>Inscribed Burst</t>
  </si>
  <si>
    <t>Deal 100% Magic weapon damage and resolve the Grimoire’s selected rune rider.</t>
  </si>
  <si>
    <t>Runic Bastion</t>
  </si>
  <si>
    <t>Gain 5 Fortified Armour (add 5 to current Armour and temporary Maximum Armour) and 7 Ward Magic Armour (add 7 to current Magic Armour and temporary Maximum Magic Armour) for 2 turns.</t>
  </si>
  <si>
    <t>Spell utility and named runes.</t>
  </si>
  <si>
    <t>Bard only</t>
  </si>
  <si>
    <t>Rallying Chorus</t>
  </si>
  <si>
    <t>Deal 70% Magic weapon damage, then choose Might, Dexterity, or Focus and gain Minor Up for 2 turns.</t>
  </si>
  <si>
    <t>Resonant Refrain</t>
  </si>
  <si>
    <t>Deal 90% Magic weapon damage, restore 4 Magic Armour, and gain Minor Resolve Up for 2 turns.</t>
  </si>
  <si>
    <t>Support-oriented magic damage.</t>
  </si>
  <si>
    <t>Bard and Siren</t>
  </si>
  <si>
    <t>Mourning Note</t>
  </si>
  <si>
    <t>Deal 85% Magic weapon damage. If Magic Armour is broken and Health is damaged, apply Minor Resolve Down for 2 turns.</t>
  </si>
  <si>
    <t>Dirge of Fracture</t>
  </si>
  <si>
    <t>Deal 100% Magic weapon damage. If Magic Armour is broken and Health is damaged, apply Moderate Resolve Down for 1 turn.</t>
  </si>
  <si>
    <t>Debuff-oriented magic damage.</t>
  </si>
  <si>
    <t>Tail Wand</t>
  </si>
  <si>
    <t>Deal 100% Magic weapon damage using Focus. This is the equipped basic attack.</t>
  </si>
  <si>
    <t>No additional skill.</t>
  </si>
  <si>
    <t>Starter magical implement.</t>
  </si>
  <si>
    <t>Starting weapon. Grants no extra weapon skills. Its Basic Attack replaces the universal basic attack and costs 1 EN, using 100% of the weapon's damage range plus the listed scaling stat.</t>
  </si>
  <si>
    <t>Beak Stab</t>
  </si>
  <si>
    <t>Natural</t>
  </si>
  <si>
    <t>Deal 100% Strength weapon damage using Might. This is the equipped basic attack.</t>
  </si>
  <si>
    <t>Starter heavy physical strike.</t>
  </si>
  <si>
    <t>Broken Song</t>
  </si>
  <si>
    <t>Starter resonant attack.</t>
  </si>
  <si>
    <t>Talon Scratch</t>
  </si>
  <si>
    <t>Deal 100% Finesse weapon damage using Dexterity. This is the equipped basic attack.</t>
  </si>
  <si>
    <t>Starter finesse attack.</t>
  </si>
  <si>
    <t>Plume Syphon</t>
  </si>
  <si>
    <t>Inquisitor only</t>
  </si>
  <si>
    <t>Starter siphoning attack.</t>
  </si>
  <si>
    <t>Weapons Catalogue — 5 Basic Starting Weapons + 18 Standard Families</t>
  </si>
  <si>
    <t>Item ID</t>
  </si>
  <si>
    <t>Item Name</t>
  </si>
  <si>
    <t>Damage Min</t>
  </si>
  <si>
    <t>Damage Max</t>
  </si>
  <si>
    <t>Physical Pen.</t>
  </si>
  <si>
    <t>Magic Pen.</t>
  </si>
  <si>
    <t>WPN-001</t>
  </si>
  <si>
    <t>Every weapon grants both listed skills. No weapon-granted skill costs 4 EN. Restoration uses a 1-turn cooldown; Fortify/Ward use 2 turns; dual Bastion/Aegis uses 3 turns.</t>
  </si>
  <si>
    <t>WPN-002</t>
  </si>
  <si>
    <t>Sturdy Dagger Pinion</t>
  </si>
  <si>
    <t>WPN-003</t>
  </si>
  <si>
    <t>Tempered Dagger Pinion</t>
  </si>
  <si>
    <t>WPN-004</t>
  </si>
  <si>
    <t>Masterwork Dagger Pinion</t>
  </si>
  <si>
    <t>WPN-005</t>
  </si>
  <si>
    <t>Regal Dagger Pinion</t>
  </si>
  <si>
    <t>WPN-006</t>
  </si>
  <si>
    <t>Mythic Dagger Pinion</t>
  </si>
  <si>
    <t>WPN-007</t>
  </si>
  <si>
    <t>WPN-008</t>
  </si>
  <si>
    <t>Sturdy Talon Blade</t>
  </si>
  <si>
    <t>WPN-009</t>
  </si>
  <si>
    <t>Tempered Talon Blade</t>
  </si>
  <si>
    <t>WPN-010</t>
  </si>
  <si>
    <t>Masterwork Talon Blade</t>
  </si>
  <si>
    <t>WPN-011</t>
  </si>
  <si>
    <t>Regal Talon Blade</t>
  </si>
  <si>
    <t>WPN-012</t>
  </si>
  <si>
    <t>Mythic Talon Blade</t>
  </si>
  <si>
    <t>WPN-013</t>
  </si>
  <si>
    <t>WPN-014</t>
  </si>
  <si>
    <t>Sturdy Duel Sabre</t>
  </si>
  <si>
    <t>WPN-015</t>
  </si>
  <si>
    <t>Tempered Duel Sabre</t>
  </si>
  <si>
    <t>WPN-016</t>
  </si>
  <si>
    <t>Masterwork Duel Sabre</t>
  </si>
  <si>
    <t>WPN-017</t>
  </si>
  <si>
    <t>Regal Duel Sabre</t>
  </si>
  <si>
    <t>WPN-018</t>
  </si>
  <si>
    <t>Mythic Duel Sabre</t>
  </si>
  <si>
    <t>WPN-019</t>
  </si>
  <si>
    <t>WPN-020</t>
  </si>
  <si>
    <t>Sturdy Hand Crossbow</t>
  </si>
  <si>
    <t>WPN-021</t>
  </si>
  <si>
    <t>Tempered Hand Crossbow</t>
  </si>
  <si>
    <t>WPN-022</t>
  </si>
  <si>
    <t>Masterwork Hand Crossbow</t>
  </si>
  <si>
    <t>WPN-023</t>
  </si>
  <si>
    <t>Regal Hand Crossbow</t>
  </si>
  <si>
    <t>WPN-024</t>
  </si>
  <si>
    <t>Mythic Hand Crossbow</t>
  </si>
  <si>
    <t>WPN-025</t>
  </si>
  <si>
    <t>WPN-026</t>
  </si>
  <si>
    <t>Sturdy Beak Hammer</t>
  </si>
  <si>
    <t>WPN-027</t>
  </si>
  <si>
    <t>Tempered Beak Hammer</t>
  </si>
  <si>
    <t>WPN-028</t>
  </si>
  <si>
    <t>Masterwork Beak Hammer</t>
  </si>
  <si>
    <t>WPN-029</t>
  </si>
  <si>
    <t>Regal Beak Hammer</t>
  </si>
  <si>
    <t>WPN-030</t>
  </si>
  <si>
    <t>Mythic Beak Hammer</t>
  </si>
  <si>
    <t>WPN-031</t>
  </si>
  <si>
    <t>WPN-032</t>
  </si>
  <si>
    <t>Sturdy Wand</t>
  </si>
  <si>
    <t>WPN-033</t>
  </si>
  <si>
    <t>Tempered Wand</t>
  </si>
  <si>
    <t>WPN-034</t>
  </si>
  <si>
    <t>Masterwork Wand</t>
  </si>
  <si>
    <t>WPN-035</t>
  </si>
  <si>
    <t>Regal Wand</t>
  </si>
  <si>
    <t>WPN-036</t>
  </si>
  <si>
    <t>Mythic Wand</t>
  </si>
  <si>
    <t>WPN-037</t>
  </si>
  <si>
    <t>WPN-038</t>
  </si>
  <si>
    <t>Sturdy Hexwood Wand</t>
  </si>
  <si>
    <t>WPN-039</t>
  </si>
  <si>
    <t>Tempered Hexwood Wand</t>
  </si>
  <si>
    <t>WPN-040</t>
  </si>
  <si>
    <t>Masterwork Hexwood Wand</t>
  </si>
  <si>
    <t>WPN-041</t>
  </si>
  <si>
    <t>Regal Hexwood Wand</t>
  </si>
  <si>
    <t>WPN-042</t>
  </si>
  <si>
    <t>Mythic Hexwood Wand</t>
  </si>
  <si>
    <t>WPN-043</t>
  </si>
  <si>
    <t>WPN-044</t>
  </si>
  <si>
    <t>Sturdy Focus Orb</t>
  </si>
  <si>
    <t>WPN-045</t>
  </si>
  <si>
    <t>Tempered Focus Orb</t>
  </si>
  <si>
    <t>WPN-046</t>
  </si>
  <si>
    <t>Masterwork Focus Orb</t>
  </si>
  <si>
    <t>WPN-047</t>
  </si>
  <si>
    <t>Regal Focus Orb</t>
  </si>
  <si>
    <t>WPN-048</t>
  </si>
  <si>
    <t>Mythic Focus Orb</t>
  </si>
  <si>
    <t>WPN-049</t>
  </si>
  <si>
    <t>WPN-050</t>
  </si>
  <si>
    <t>Sturdy Bell Sceptre</t>
  </si>
  <si>
    <t>WPN-051</t>
  </si>
  <si>
    <t>Tempered Bell Sceptre</t>
  </si>
  <si>
    <t>WPN-052</t>
  </si>
  <si>
    <t>Masterwork Bell Sceptre</t>
  </si>
  <si>
    <t>WPN-053</t>
  </si>
  <si>
    <t>Regal Bell Sceptre</t>
  </si>
  <si>
    <t>WPN-054</t>
  </si>
  <si>
    <t>Mythic Bell Sceptre</t>
  </si>
  <si>
    <t>WPN-055</t>
  </si>
  <si>
    <t>WPN-056</t>
  </si>
  <si>
    <t>Sturdy Bow</t>
  </si>
  <si>
    <t>WPN-057</t>
  </si>
  <si>
    <t>Tempered Bow</t>
  </si>
  <si>
    <t>WPN-058</t>
  </si>
  <si>
    <t>Masterwork Bow</t>
  </si>
  <si>
    <t>WPN-059</t>
  </si>
  <si>
    <t>Regal Bow</t>
  </si>
  <si>
    <t>WPN-060</t>
  </si>
  <si>
    <t>Mythic Bow</t>
  </si>
  <si>
    <t>WPN-061</t>
  </si>
  <si>
    <t>WPN-062</t>
  </si>
  <si>
    <t>Sturdy Lance</t>
  </si>
  <si>
    <t>WPN-063</t>
  </si>
  <si>
    <t>Tempered Lance</t>
  </si>
  <si>
    <t>WPN-064</t>
  </si>
  <si>
    <t>Masterwork Lance</t>
  </si>
  <si>
    <t>WPN-065</t>
  </si>
  <si>
    <t>Regal Lance</t>
  </si>
  <si>
    <t>WPN-066</t>
  </si>
  <si>
    <t>Mythic Lance</t>
  </si>
  <si>
    <t>WPN-067</t>
  </si>
  <si>
    <t>WPN-068</t>
  </si>
  <si>
    <t>Sturdy Staff</t>
  </si>
  <si>
    <t>WPN-069</t>
  </si>
  <si>
    <t>Tempered Staff</t>
  </si>
  <si>
    <t>WPN-070</t>
  </si>
  <si>
    <t>Masterwork Staff</t>
  </si>
  <si>
    <t>WPN-071</t>
  </si>
  <si>
    <t>Regal Staff</t>
  </si>
  <si>
    <t>WPN-072</t>
  </si>
  <si>
    <t>Mythic Staff</t>
  </si>
  <si>
    <t>WPN-073</t>
  </si>
  <si>
    <t>WPN-074</t>
  </si>
  <si>
    <t>Sturdy Greatblade</t>
  </si>
  <si>
    <t>WPN-075</t>
  </si>
  <si>
    <t>Tempered Greatblade</t>
  </si>
  <si>
    <t>WPN-076</t>
  </si>
  <si>
    <t>Masterwork Greatblade</t>
  </si>
  <si>
    <t>WPN-077</t>
  </si>
  <si>
    <t>Regal Greatblade</t>
  </si>
  <si>
    <t>WPN-078</t>
  </si>
  <si>
    <t>Mythic Greatblade</t>
  </si>
  <si>
    <t>WPN-079</t>
  </si>
  <si>
    <t>WPN-080</t>
  </si>
  <si>
    <t>Sturdy Greatbow</t>
  </si>
  <si>
    <t>WPN-081</t>
  </si>
  <si>
    <t>Tempered Greatbow</t>
  </si>
  <si>
    <t>WPN-082</t>
  </si>
  <si>
    <t>Masterwork Greatbow</t>
  </si>
  <si>
    <t>WPN-083</t>
  </si>
  <si>
    <t>Regal Greatbow</t>
  </si>
  <si>
    <t>WPN-084</t>
  </si>
  <si>
    <t>Mythic Greatbow</t>
  </si>
  <si>
    <t>WPN-085</t>
  </si>
  <si>
    <t>WPN-086</t>
  </si>
  <si>
    <t>Sturdy War Scythe</t>
  </si>
  <si>
    <t>WPN-087</t>
  </si>
  <si>
    <t>Tempered War Scythe</t>
  </si>
  <si>
    <t>WPN-088</t>
  </si>
  <si>
    <t>Masterwork War Scythe</t>
  </si>
  <si>
    <t>WPN-089</t>
  </si>
  <si>
    <t>Regal War Scythe</t>
  </si>
  <si>
    <t>WPN-090</t>
  </si>
  <si>
    <t>Mythic War Scythe</t>
  </si>
  <si>
    <t>WPN-091</t>
  </si>
  <si>
    <t>WPN-092</t>
  </si>
  <si>
    <t>Sturdy Runic Grimoire</t>
  </si>
  <si>
    <t>WPN-093</t>
  </si>
  <si>
    <t>Tempered Runic Grimoire</t>
  </si>
  <si>
    <t>WPN-094</t>
  </si>
  <si>
    <t>Masterwork Runic Grimoire</t>
  </si>
  <si>
    <t>WPN-095</t>
  </si>
  <si>
    <t>Regal Runic Grimoire</t>
  </si>
  <si>
    <t>WPN-096</t>
  </si>
  <si>
    <t>Mythic Runic Grimoire</t>
  </si>
  <si>
    <t>WPN-097</t>
  </si>
  <si>
    <t>WPN-098</t>
  </si>
  <si>
    <t>Sturdy Bard Song</t>
  </si>
  <si>
    <t>WPN-099</t>
  </si>
  <si>
    <t>Tempered Bard Song</t>
  </si>
  <si>
    <t>WPN-100</t>
  </si>
  <si>
    <t>Masterwork Bard Song</t>
  </si>
  <si>
    <t>WPN-101</t>
  </si>
  <si>
    <t>Regal Bard Song</t>
  </si>
  <si>
    <t>WPN-102</t>
  </si>
  <si>
    <t>Mythic Bard Song</t>
  </si>
  <si>
    <t>WPN-103</t>
  </si>
  <si>
    <t>WPN-104</t>
  </si>
  <si>
    <t>Sturdy Lament Song</t>
  </si>
  <si>
    <t>WPN-105</t>
  </si>
  <si>
    <t>Tempered Lament Song</t>
  </si>
  <si>
    <t>WPN-106</t>
  </si>
  <si>
    <t>Masterwork Lament Song</t>
  </si>
  <si>
    <t>WPN-107</t>
  </si>
  <si>
    <t>Regal Lament Song</t>
  </si>
  <si>
    <t>WPN-108</t>
  </si>
  <si>
    <t>Mythic Lament Song</t>
  </si>
  <si>
    <t>WPN-B01</t>
  </si>
  <si>
    <t>Basic</t>
  </si>
  <si>
    <t>Deal 100% Magic weapon damage using Focus.</t>
  </si>
  <si>
    <t>Starting weapon. Grants no extra weapon skills. Its Basic Attack replaces the universal basic attack and costs 1 EN, using 100% of the weapon's damage range plus the listed scaling stat. Design reference: https://divinity.fandom.com/wiki/Attributes_and_Abilities_%28Original_Sin_2%29</t>
  </si>
  <si>
    <t>WPN-B02</t>
  </si>
  <si>
    <t>Deal 100% Strength weapon damage using Might.</t>
  </si>
  <si>
    <t>WPN-B03</t>
  </si>
  <si>
    <t>WPN-B04</t>
  </si>
  <si>
    <t>Deal 100% Finesse weapon damage using Dexterity.</t>
  </si>
  <si>
    <t>WPN-B05</t>
  </si>
  <si>
    <t>Armour-Plumage Catalogue — Expanded Equipment Skills</t>
  </si>
  <si>
    <t>Set</t>
  </si>
  <si>
    <t>Weight</t>
  </si>
  <si>
    <t>Best Suited</t>
  </si>
  <si>
    <t>Agility Penalty</t>
  </si>
  <si>
    <t>2-Piece Bonus</t>
  </si>
  <si>
    <t>3-Piece Bonus</t>
  </si>
  <si>
    <t>Eligible Infusions</t>
  </si>
  <si>
    <t>Skill Pool A (2 EN)</t>
  </si>
  <si>
    <t>Skill Pool B (3 EN)</t>
  </si>
  <si>
    <t>Skill EN</t>
  </si>
  <si>
    <t>Granted Skill Effect</t>
  </si>
  <si>
    <t>ARM-001</t>
  </si>
  <si>
    <t>Ironfeather Harness</t>
  </si>
  <si>
    <t>Ironfeather Bastion</t>
  </si>
  <si>
    <t>Heavy</t>
  </si>
  <si>
    <t>Knight, Brute, physical Inquisitor</t>
  </si>
  <si>
    <t>While Armour remains, gain +2 Guard.</t>
  </si>
  <si>
    <t>First time Armour is depleted each combat, restore 1 Armour.</t>
  </si>
  <si>
    <t>Ember; Frost; Storm; Venom; Blood; Lunar; Solar</t>
  </si>
  <si>
    <t>Heavy physical protection; Armour-focused.</t>
  </si>
  <si>
    <t>Matching protection blocks its ailments. Restoration: 1-turn cooldown and no overflow. Fortify/Ward: heal and overflow with 2-turn cooldown. Dual Bastion/Aegis: 3-turn cooldown.</t>
  </si>
  <si>
    <t>Reinforce Plumage</t>
  </si>
  <si>
    <t>Iron Fortify</t>
  </si>
  <si>
    <t>No granted equipment skill at Grey rarity.</t>
  </si>
  <si>
    <t>ARM-002</t>
  </si>
  <si>
    <t>Sturdy Ironfeather Harness</t>
  </si>
  <si>
    <t>ARM-003</t>
  </si>
  <si>
    <t>Tempered Ironfeather Harness</t>
  </si>
  <si>
    <t>While Armour remains, gain +3 Guard.</t>
  </si>
  <si>
    <t>First time Armour is depleted each combat, restore 2 Armour.</t>
  </si>
  <si>
    <t>ARM-004</t>
  </si>
  <si>
    <t>Masterwork Ironfeather Harness</t>
  </si>
  <si>
    <t>Gain 8 Fortified Armour (add 8 to current Armour and temporary Maximum Armour) for 2 turns.</t>
  </si>
  <si>
    <t>ARM-005</t>
  </si>
  <si>
    <t>Regal Ironfeather Harness</t>
  </si>
  <si>
    <t>While Armour remains, gain +4 Guard.</t>
  </si>
  <si>
    <t>First time Armour is depleted each combat, restore 3 Armour.</t>
  </si>
  <si>
    <t>ARM-006</t>
  </si>
  <si>
    <t>Mythic Ironfeather Harness</t>
  </si>
  <si>
    <t>While Armour remains, gain +5 Guard.</t>
  </si>
  <si>
    <t>First time Armour is depleted each combat, restore 4 Armour.</t>
  </si>
  <si>
    <t>ARM-007</t>
  </si>
  <si>
    <t>Runewoven Mantle</t>
  </si>
  <si>
    <t>Runewoven Aegis</t>
  </si>
  <si>
    <t>Mage, Siren, magical Bard</t>
  </si>
  <si>
    <t>While Magic Armour remains, gain +2 Resolve.</t>
  </si>
  <si>
    <t>First time Magic Armour is depleted each combat, restore 1 Magic Armour.</t>
  </si>
  <si>
    <t>Heavy magical protection; Magic Armour-focused.</t>
  </si>
  <si>
    <t>Mend Weave</t>
  </si>
  <si>
    <t>Runic Ward</t>
  </si>
  <si>
    <t>ARM-008</t>
  </si>
  <si>
    <t>Sturdy Runewoven Mantle</t>
  </si>
  <si>
    <t>Restore 4 Magic Armour, capped at normal Maximum Magic Armour.</t>
  </si>
  <si>
    <t>ARM-009</t>
  </si>
  <si>
    <t>Tempered Runewoven Mantle</t>
  </si>
  <si>
    <t>While Magic Armour remains, gain +3 Resolve.</t>
  </si>
  <si>
    <t>First time Magic Armour is depleted each combat, restore 2 Magic Armour.</t>
  </si>
  <si>
    <t>ARM-010</t>
  </si>
  <si>
    <t>Masterwork Runewoven Mantle</t>
  </si>
  <si>
    <t>Gain 8 Ward Magic Armour (add 8 to current Magic Armour and temporary Maximum Magic Armour) for 2 turns.</t>
  </si>
  <si>
    <t>ARM-011</t>
  </si>
  <si>
    <t>Regal Runewoven Mantle</t>
  </si>
  <si>
    <t>While Magic Armour remains, gain +4 Resolve.</t>
  </si>
  <si>
    <t>First time Magic Armour is depleted each combat, restore 3 Magic Armour.</t>
  </si>
  <si>
    <t>ARM-012</t>
  </si>
  <si>
    <t>Mythic Runewoven Mantle</t>
  </si>
  <si>
    <t>While Magic Armour remains, gain +5 Resolve.</t>
  </si>
  <si>
    <t>First time Magic Armour is depleted each combat, restore 4 Magic Armour.</t>
  </si>
  <si>
    <t>ARM-013</t>
  </si>
  <si>
    <t>Layered Scale Plumage</t>
  </si>
  <si>
    <t>Layered Scale</t>
  </si>
  <si>
    <t>Generalist, Inquisitor, Bard</t>
  </si>
  <si>
    <t>Begin combat with +1 Maximum Armour and +1 Maximum Magic Armour.</t>
  </si>
  <si>
    <t>Once per combat when either protection pool is depleted, restore 1 to both pools.</t>
  </si>
  <si>
    <t>Balanced physical and magical protection.</t>
  </si>
  <si>
    <t>Rebalance Plates</t>
  </si>
  <si>
    <t>Dual Bastion</t>
  </si>
  <si>
    <t>ARM-014</t>
  </si>
  <si>
    <t>Sturdy Layered Scale Plumage</t>
  </si>
  <si>
    <t>Restore 3 Armour and 3 Magic Armour.</t>
  </si>
  <si>
    <t>ARM-015</t>
  </si>
  <si>
    <t>Tempered Layered Scale Plumage</t>
  </si>
  <si>
    <t>Begin combat with +2 Maximum Armour and +2 Maximum Magic Armour.</t>
  </si>
  <si>
    <t>ARM-016</t>
  </si>
  <si>
    <t>Masterwork Layered Scale Plumage</t>
  </si>
  <si>
    <t>Gain 5 Fortified Armour (add 5 to current Armour and temporary Maximum Armour) and 5 Ward Magic Armour (add 5 to current Magic Armour and temporary Maximum Magic Armour) for 2 turns.</t>
  </si>
  <si>
    <t>ARM-017</t>
  </si>
  <si>
    <t>Regal Layered Scale Plumage</t>
  </si>
  <si>
    <t>Begin combat with +3 Maximum Armour and +3 Maximum Magic Armour.</t>
  </si>
  <si>
    <t>Once per combat when either protection pool is depleted, restore 2 to both pools.</t>
  </si>
  <si>
    <t>ARM-018</t>
  </si>
  <si>
    <t>Mythic Layered Scale Plumage</t>
  </si>
  <si>
    <t>Begin combat with +4 Maximum Armour and +4 Maximum Magic Armour.</t>
  </si>
  <si>
    <t>ARM-019</t>
  </si>
  <si>
    <t>Shadowplume Vest</t>
  </si>
  <si>
    <t>Shadowplume</t>
  </si>
  <si>
    <t>Light</t>
  </si>
  <si>
    <t>Rogue, Dexterity Bard, bow user</t>
  </si>
  <si>
    <t>While both protection pools remain above zero, gain +2 Agility.</t>
  </si>
  <si>
    <t>First successful Dodge each combat restores 1 to the lower protection pool.</t>
  </si>
  <si>
    <t>Light finesse and mobility equipment.</t>
  </si>
  <si>
    <t>Featherstep</t>
  </si>
  <si>
    <t>Vanishing Plumage</t>
  </si>
  <si>
    <t>ARM-020</t>
  </si>
  <si>
    <t>Sturdy Shadowplume Vest</t>
  </si>
  <si>
    <t>Gain Minor Agility Up for 2 turns and restore 2 Magic Armour.</t>
  </si>
  <si>
    <t>ARM-021</t>
  </si>
  <si>
    <t>Tempered Shadowplume Vest</t>
  </si>
  <si>
    <t>While both protection pools remain above zero, gain +3 Agility.</t>
  </si>
  <si>
    <t>ARM-022</t>
  </si>
  <si>
    <t>Masterwork Shadowplume Vest</t>
  </si>
  <si>
    <t>Gain 5 Ward Magic Armour (add 5 to current Magic Armour and temporary Maximum Magic Armour) and Minor Agility Up for 2 turns.</t>
  </si>
  <si>
    <t>ARM-023</t>
  </si>
  <si>
    <t>Regal Shadowplume Vest</t>
  </si>
  <si>
    <t>While both protection pools remain above zero, gain +4 Agility.</t>
  </si>
  <si>
    <t>First successful Dodge each combat restores 2 to the lower protection pool.</t>
  </si>
  <si>
    <t>ARM-024</t>
  </si>
  <si>
    <t>Mythic Shadowplume Vest</t>
  </si>
  <si>
    <t>While both protection pools remain above zero, gain +5 Agility.</t>
  </si>
  <si>
    <t>ARM-025</t>
  </si>
  <si>
    <t>Bone-Laced Warplumage</t>
  </si>
  <si>
    <t>Bonecrest Warplate</t>
  </si>
  <si>
    <t>Brute, offensive Knight, Might Inquisitor</t>
  </si>
  <si>
    <t>While Armour remains, gain +2 Might.</t>
  </si>
  <si>
    <t>First physical attack that breaks enemy Armour each combat gains +10 Skill Power.</t>
  </si>
  <si>
    <t>Aggressive physical armour and Armour-break synergy.</t>
  </si>
  <si>
    <t>Battle Brace</t>
  </si>
  <si>
    <t>Warplate Surge</t>
  </si>
  <si>
    <t>ARM-026</t>
  </si>
  <si>
    <t>Sturdy Bone-Laced Warplumage</t>
  </si>
  <si>
    <t>Restore 4 Armour, gain Minor Might Up for 1 turn, and remove 1 Fracture stack. Does not remove Shattered.</t>
  </si>
  <si>
    <t>ARM-027</t>
  </si>
  <si>
    <t>Tempered Bone-Laced Warplumage</t>
  </si>
  <si>
    <t>While Armour remains, gain +3 Might.</t>
  </si>
  <si>
    <t>ARM-028</t>
  </si>
  <si>
    <t>Masterwork Bone-Laced Warplumage</t>
  </si>
  <si>
    <t>First physical attack that breaks enemy Armour each combat gains +15 Skill Power.</t>
  </si>
  <si>
    <t>Gain 6 Fortified Armour (add 6 to current Armour and temporary Maximum Armour) and Minor Might Up for 2 turns.</t>
  </si>
  <si>
    <t>ARM-029</t>
  </si>
  <si>
    <t>Regal Bone-Laced Warplumage</t>
  </si>
  <si>
    <t>While Armour remains, gain +4 Might.</t>
  </si>
  <si>
    <t>First physical attack that breaks enemy Armour each combat gains +20 Skill Power.</t>
  </si>
  <si>
    <t>ARM-030</t>
  </si>
  <si>
    <t>Mythic Bone-Laced Warplumage</t>
  </si>
  <si>
    <t>While Armour remains, gain +5 Might.</t>
  </si>
  <si>
    <t>ARM-031</t>
  </si>
  <si>
    <t>Crystalwind Vestments</t>
  </si>
  <si>
    <t>Crystalwind Regalia</t>
  </si>
  <si>
    <t>Fast Mage, Siren, magical Bard</t>
  </si>
  <si>
    <t>While Magic Armour remains, gain +2 Agility.</t>
  </si>
  <si>
    <t>First magical attack that breaks enemy Magic Armour grants Minor Focus Up until the end of the next turn.</t>
  </si>
  <si>
    <t>Light magical equipment combining Focus and Agility.</t>
  </si>
  <si>
    <t>Crystal Mend</t>
  </si>
  <si>
    <t>Gale Ward</t>
  </si>
  <si>
    <t>ARM-032</t>
  </si>
  <si>
    <t>Sturdy Crystalwind Vestments</t>
  </si>
  <si>
    <t>Restore 4 Magic Armour.</t>
  </si>
  <si>
    <t>ARM-033</t>
  </si>
  <si>
    <t>Tempered Crystalwind Vestments</t>
  </si>
  <si>
    <t>While Magic Armour remains, gain +3 Agility.</t>
  </si>
  <si>
    <t>ARM-034</t>
  </si>
  <si>
    <t>Masterwork Crystalwind Vestments</t>
  </si>
  <si>
    <t>Gain 7 Ward Magic Armour (add 7 to current Magic Armour and temporary Maximum Magic Armour) and Minor Agility Up for 2 turns.</t>
  </si>
  <si>
    <t>ARM-035</t>
  </si>
  <si>
    <t>Regal Crystalwind Vestments</t>
  </si>
  <si>
    <t>While Magic Armour remains, gain +4 Agility.</t>
  </si>
  <si>
    <t>ARM-036</t>
  </si>
  <si>
    <t>Mythic Crystalwind Vestments</t>
  </si>
  <si>
    <t>While Magic Armour remains, gain +5 Agility.</t>
  </si>
  <si>
    <t>ARM-037</t>
  </si>
  <si>
    <t>Dawnfeather Robes</t>
  </si>
  <si>
    <t>Dawnfeather Vestments</t>
  </si>
  <si>
    <t>Inquisitor, support Bard, defensive Mage</t>
  </si>
  <si>
    <t>First time Health is healed each combat, restore 1 Armour and 1 Magic Armour.</t>
  </si>
  <si>
    <t>Once per combat below 30% Health, restore 1 to the lower protection pool.</t>
  </si>
  <si>
    <t>Restoration, survivability, and mixed defence.</t>
  </si>
  <si>
    <t>Mend Plumage</t>
  </si>
  <si>
    <t>Radiant Bastion</t>
  </si>
  <si>
    <t>ARM-038</t>
  </si>
  <si>
    <t>Sturdy Dawnfeather Robes</t>
  </si>
  <si>
    <t>ARM-039</t>
  </si>
  <si>
    <t>Tempered Dawnfeather Robes</t>
  </si>
  <si>
    <t>First time Health is healed each combat, restore 2 Armour and 2 Magic Armour.</t>
  </si>
  <si>
    <t>Once per combat below 30% Health, restore 2 to the lower protection pool.</t>
  </si>
  <si>
    <t>ARM-040</t>
  </si>
  <si>
    <t>Masterwork Dawnfeather Robes</t>
  </si>
  <si>
    <t>ARM-041</t>
  </si>
  <si>
    <t>Regal Dawnfeather Robes</t>
  </si>
  <si>
    <t>Once per combat below 30% Health, restore 3 to the lower protection pool.</t>
  </si>
  <si>
    <t>ARM-042</t>
  </si>
  <si>
    <t>Mythic Dawnfeather Robes</t>
  </si>
  <si>
    <t>Once per combat below 30% Health, restore 4 to the lower protection pool.</t>
  </si>
  <si>
    <t>ARM-043</t>
  </si>
  <si>
    <t>Nightweave Mantle</t>
  </si>
  <si>
    <t>Nightweave Vestments</t>
  </si>
  <si>
    <t>Siren, Mage, Bard, anti-ailment build</t>
  </si>
  <si>
    <t>After Magic Armour is depleted, hostile magical ailment chance is reduced by 5 percentage points.</t>
  </si>
  <si>
    <t>First magical ailment successfully applied each combat has its duration reduced by 1 turn, minimum 1.</t>
  </si>
  <si>
    <t>Debuff resistance and magical survival.</t>
  </si>
  <si>
    <t>Veil Stitch</t>
  </si>
  <si>
    <t>Night Ward</t>
  </si>
  <si>
    <t>ARM-044</t>
  </si>
  <si>
    <t>Sturdy Nightweave Mantle</t>
  </si>
  <si>
    <t>Restore 5 Magic Armour.</t>
  </si>
  <si>
    <t>ARM-045</t>
  </si>
  <si>
    <t>Tempered Nightweave Mantle</t>
  </si>
  <si>
    <t>After Magic Armour is depleted, hostile magical ailment chance is reduced by 10 percentage points.</t>
  </si>
  <si>
    <t>ARM-046</t>
  </si>
  <si>
    <t>Masterwork Nightweave Mantle</t>
  </si>
  <si>
    <t>Gain 8 Ward Magic Armour (add 8 to current Magic Armour and temporary Maximum Magic Armour) and reduce hostile magical ailment application chance by 10 percentage points for 2 turns.</t>
  </si>
  <si>
    <t>ARM-047</t>
  </si>
  <si>
    <t>Regal Nightweave Mantle</t>
  </si>
  <si>
    <t>After Magic Armour is depleted, hostile magical ailment chance is reduced by 15 percentage points.</t>
  </si>
  <si>
    <t>ARM-048</t>
  </si>
  <si>
    <t>Mythic Nightweave Mantle</t>
  </si>
  <si>
    <t>After Magic Armour is depleted, hostile magical ailment chance is reduced by 20 percentage points.</t>
  </si>
  <si>
    <t>Helmets Catalogue — Expanded Equipment Skills</t>
  </si>
  <si>
    <t>HLM-001</t>
  </si>
  <si>
    <t>Ironfeather Beak Helm</t>
  </si>
  <si>
    <t>Braced Brow</t>
  </si>
  <si>
    <t>Unyielding Crest</t>
  </si>
  <si>
    <t>HLM-002</t>
  </si>
  <si>
    <t>Sturdy Ironfeather Beak Helm</t>
  </si>
  <si>
    <t>Gain Minor Guard Up for 2 turns and remove 1 Dazed stack. Does not remove Concussed.</t>
  </si>
  <si>
    <t>HLM-003</t>
  </si>
  <si>
    <t>Tempered Ironfeather Beak Helm</t>
  </si>
  <si>
    <t>HLM-004</t>
  </si>
  <si>
    <t>Masterwork Ironfeather Beak Helm</t>
  </si>
  <si>
    <t>Gain 5 Fortified Armour (add 5 to current Armour and temporary Maximum Armour) and Minor Guard Up for 2 turns.</t>
  </si>
  <si>
    <t>HLM-005</t>
  </si>
  <si>
    <t>Regal Ironfeather Beak Helm</t>
  </si>
  <si>
    <t>HLM-006</t>
  </si>
  <si>
    <t>Mythic Ironfeather Beak Helm</t>
  </si>
  <si>
    <t>HLM-007</t>
  </si>
  <si>
    <t>Runic Feather Circlet</t>
  </si>
  <si>
    <t>Clear Mind</t>
  </si>
  <si>
    <t>Arcane Focus</t>
  </si>
  <si>
    <t>HLM-008</t>
  </si>
  <si>
    <t>Sturdy Runic Feather Circlet</t>
  </si>
  <si>
    <t>Restore 3 Magic Armour. If affected by a magical stat debuff, reduce its remaining duration by 1 turn.</t>
  </si>
  <si>
    <t>HLM-009</t>
  </si>
  <si>
    <t>Tempered Runic Feather Circlet</t>
  </si>
  <si>
    <t>HLM-010</t>
  </si>
  <si>
    <t>Masterwork Runic Feather Circlet</t>
  </si>
  <si>
    <t>Gain 5 Ward Magic Armour (add 5 to current Magic Armour and temporary Maximum Magic Armour) and Minor Focus Up for 2 turns.</t>
  </si>
  <si>
    <t>HLM-011</t>
  </si>
  <si>
    <t>Regal Runic Feather Circlet</t>
  </si>
  <si>
    <t>HLM-012</t>
  </si>
  <si>
    <t>Mythic Runic Feather Circlet</t>
  </si>
  <si>
    <t>HLM-013</t>
  </si>
  <si>
    <t>Layered Scale Visor</t>
  </si>
  <si>
    <t>Balanced Guard</t>
  </si>
  <si>
    <t>Equalised Defence</t>
  </si>
  <si>
    <t>HLM-014</t>
  </si>
  <si>
    <t>Sturdy Layered Scale Visor</t>
  </si>
  <si>
    <t>Restore 4 to whichever protection pool is currently lower.</t>
  </si>
  <si>
    <t>HLM-015</t>
  </si>
  <si>
    <t>Tempered Layered Scale Visor</t>
  </si>
  <si>
    <t>HLM-016</t>
  </si>
  <si>
    <t>Masterwork Layered Scale Visor</t>
  </si>
  <si>
    <t>Gain 4 Fortified Armour (add 4 to current Armour and temporary Maximum Armour) and 4 Ward Magic Armour (add 4 to current Magic Armour and temporary Maximum Magic Armour) for 2 turns.</t>
  </si>
  <si>
    <t>HLM-017</t>
  </si>
  <si>
    <t>Regal Layered Scale Visor</t>
  </si>
  <si>
    <t>HLM-018</t>
  </si>
  <si>
    <t>Mythic Layered Scale Visor</t>
  </si>
  <si>
    <t>HLM-019</t>
  </si>
  <si>
    <t>Shadowplume Hood</t>
  </si>
  <si>
    <t>Keen Sight</t>
  </si>
  <si>
    <t>Evasive Read</t>
  </si>
  <si>
    <t>HLM-020</t>
  </si>
  <si>
    <t>Sturdy Shadowplume Hood</t>
  </si>
  <si>
    <t>Gain Minor Dexterity Up for 2 turns.</t>
  </si>
  <si>
    <t>HLM-021</t>
  </si>
  <si>
    <t>Tempered Shadowplume Hood</t>
  </si>
  <si>
    <t>HLM-022</t>
  </si>
  <si>
    <t>Masterwork Shadowplume Hood</t>
  </si>
  <si>
    <t>Gain 4 Fortified Armour (add 4 to current Armour and temporary Maximum Armour), 4 Ward Magic Armour (add 4 to current Magic Armour and temporary Maximum Magic Armour), and Minor Agility Up for 1 turn.</t>
  </si>
  <si>
    <t>HLM-023</t>
  </si>
  <si>
    <t>Regal Shadowplume Hood</t>
  </si>
  <si>
    <t>HLM-024</t>
  </si>
  <si>
    <t>Mythic Shadowplume Hood</t>
  </si>
  <si>
    <t>HLM-025</t>
  </si>
  <si>
    <t>Bonecrest Mask</t>
  </si>
  <si>
    <t>Predator’s Gaze</t>
  </si>
  <si>
    <t>Breaker’s Focus</t>
  </si>
  <si>
    <t>HLM-026</t>
  </si>
  <si>
    <t>Sturdy Bonecrest Mask</t>
  </si>
  <si>
    <t>Gain Minor Might Up for 2 turns.</t>
  </si>
  <si>
    <t>HLM-027</t>
  </si>
  <si>
    <t>Tempered Bonecrest Mask</t>
  </si>
  <si>
    <t>HLM-028</t>
  </si>
  <si>
    <t>Masterwork Bonecrest Mask</t>
  </si>
  <si>
    <t>The next Strength skill before the end of the next turn gains +15 Skill Power and ignores 4 Guard.</t>
  </si>
  <si>
    <t>HLM-029</t>
  </si>
  <si>
    <t>Regal Bonecrest Mask</t>
  </si>
  <si>
    <t>HLM-030</t>
  </si>
  <si>
    <t>Mythic Bonecrest Mask</t>
  </si>
  <si>
    <t>HLM-031</t>
  </si>
  <si>
    <t>Crystalwind Circlet</t>
  </si>
  <si>
    <t>Storm Sight</t>
  </si>
  <si>
    <t>Arcane Wind</t>
  </si>
  <si>
    <t>HLM-032</t>
  </si>
  <si>
    <t>Sturdy Crystalwind Circlet</t>
  </si>
  <si>
    <t>Gain Minor Focus Up for 2 turns.</t>
  </si>
  <si>
    <t>HLM-033</t>
  </si>
  <si>
    <t>Tempered Crystalwind Circlet</t>
  </si>
  <si>
    <t>HLM-034</t>
  </si>
  <si>
    <t>Masterwork Crystalwind Circlet</t>
  </si>
  <si>
    <t>HLM-035</t>
  </si>
  <si>
    <t>Regal Crystalwind Circlet</t>
  </si>
  <si>
    <t>HLM-036</t>
  </si>
  <si>
    <t>Mythic Crystalwind Circlet</t>
  </si>
  <si>
    <t>HLM-037</t>
  </si>
  <si>
    <t>Suncrest Circlet</t>
  </si>
  <si>
    <t>Renewing Light</t>
  </si>
  <si>
    <t>Protective Prayer</t>
  </si>
  <si>
    <t>HLM-038</t>
  </si>
  <si>
    <t>Sturdy Suncrest Circlet</t>
  </si>
  <si>
    <t>HLM-039</t>
  </si>
  <si>
    <t>Tempered Suncrest Circlet</t>
  </si>
  <si>
    <t>HLM-040</t>
  </si>
  <si>
    <t>Masterwork Suncrest Circlet</t>
  </si>
  <si>
    <t>Gain Minor Guard Up and Minor Resolve Up for 2 turns.</t>
  </si>
  <si>
    <t>HLM-041</t>
  </si>
  <si>
    <t>Regal Suncrest Circlet</t>
  </si>
  <si>
    <t>HLM-042</t>
  </si>
  <si>
    <t>Mythic Suncrest Circlet</t>
  </si>
  <si>
    <t>HLM-043</t>
  </si>
  <si>
    <t>Moonveil Hood</t>
  </si>
  <si>
    <t>Veiled Mind</t>
  </si>
  <si>
    <t>Hex Guard</t>
  </si>
  <si>
    <t>HLM-044</t>
  </si>
  <si>
    <t>Sturdy Moonveil Hood</t>
  </si>
  <si>
    <t>Gain Minor Resolve Up for 2 turns.</t>
  </si>
  <si>
    <t>HLM-045</t>
  </si>
  <si>
    <t>Tempered Moonveil Hood</t>
  </si>
  <si>
    <t>HLM-046</t>
  </si>
  <si>
    <t>Masterwork Moonveil Hood</t>
  </si>
  <si>
    <t>Gain 5 Ward Magic Armour (add 5 to current Magic Armour and temporary Maximum Magic Armour). The next magical debuff applied has its duration reduced by 1 turn, minimum 1.</t>
  </si>
  <si>
    <t>HLM-047</t>
  </si>
  <si>
    <t>Regal Moonveil Hood</t>
  </si>
  <si>
    <t>HLM-048</t>
  </si>
  <si>
    <t>Mythic Moonveil Hood</t>
  </si>
  <si>
    <t>Shields Catalogue — Expanded Equipment Skills</t>
  </si>
  <si>
    <t>SHD-001</t>
  </si>
  <si>
    <t>Ironwing Bastion Shield</t>
  </si>
  <si>
    <t>Guarded Wing</t>
  </si>
  <si>
    <t>Bastion Stance</t>
  </si>
  <si>
    <t>SHD-002</t>
  </si>
  <si>
    <t>Sturdy Ironwing Bastion Shield</t>
  </si>
  <si>
    <t>Restore 5 Armour, capped at normal Maximum Armour.</t>
  </si>
  <si>
    <t>SHD-003</t>
  </si>
  <si>
    <t>Tempered Ironwing Bastion Shield</t>
  </si>
  <si>
    <t>SHD-004</t>
  </si>
  <si>
    <t>Masterwork Ironwing Bastion Shield</t>
  </si>
  <si>
    <t>Gain 10 Fortified Armour (add 10 to current Armour and temporary Maximum Armour) for 2 turns.</t>
  </si>
  <si>
    <t>SHD-005</t>
  </si>
  <si>
    <t>Regal Ironwing Bastion Shield</t>
  </si>
  <si>
    <t>SHD-006</t>
  </si>
  <si>
    <t>Mythic Ironwing Bastion Shield</t>
  </si>
  <si>
    <t>SHD-007</t>
  </si>
  <si>
    <t>Runewoven Wing Ward</t>
  </si>
  <si>
    <t>Warding Wing</t>
  </si>
  <si>
    <t>Aegis of Runes</t>
  </si>
  <si>
    <t>SHD-008</t>
  </si>
  <si>
    <t>Sturdy Runewoven Wing Ward</t>
  </si>
  <si>
    <t>Restore 5 Magic Armour, capped at normal Maximum Magic Armour.</t>
  </si>
  <si>
    <t>SHD-009</t>
  </si>
  <si>
    <t>Tempered Runewoven Wing Ward</t>
  </si>
  <si>
    <t>SHD-010</t>
  </si>
  <si>
    <t>Masterwork Runewoven Wing Ward</t>
  </si>
  <si>
    <t>SHD-011</t>
  </si>
  <si>
    <t>Regal Runewoven Wing Ward</t>
  </si>
  <si>
    <t>SHD-012</t>
  </si>
  <si>
    <t>Mythic Runewoven Wing Ward</t>
  </si>
  <si>
    <t>SHD-013</t>
  </si>
  <si>
    <t>Layered Scale Shield</t>
  </si>
  <si>
    <t>Split Guard</t>
  </si>
  <si>
    <t>Layered Bastion</t>
  </si>
  <si>
    <t>SHD-014</t>
  </si>
  <si>
    <t>Sturdy Layered Scale Shield</t>
  </si>
  <si>
    <t>Restore 5 to whichever protection pool is currently lower.</t>
  </si>
  <si>
    <t>SHD-015</t>
  </si>
  <si>
    <t>Tempered Layered Scale Shield</t>
  </si>
  <si>
    <t>SHD-016</t>
  </si>
  <si>
    <t>Masterwork Layered Scale Shield</t>
  </si>
  <si>
    <t>Gain 6 Fortified Armour (add 6 to current Armour and temporary Maximum Armour) and 6 Ward Magic Armour (add 6 to current Magic Armour and temporary Maximum Magic Armour) for 2 turns.</t>
  </si>
  <si>
    <t>SHD-017</t>
  </si>
  <si>
    <t>Regal Layered Scale Shield</t>
  </si>
  <si>
    <t>SHD-018</t>
  </si>
  <si>
    <t>Mythic Layered Scale Shield</t>
  </si>
  <si>
    <t>SHD-019</t>
  </si>
  <si>
    <t>Featherwood Buckler</t>
  </si>
  <si>
    <t>Buckler Shift</t>
  </si>
  <si>
    <t>Featherwood Deflection</t>
  </si>
  <si>
    <t>SHD-020</t>
  </si>
  <si>
    <t>Sturdy Featherwood Buckler</t>
  </si>
  <si>
    <t>Restore 3 to the lower protection pool, gain Minor Agility Up for 1 turn, and remove 1 Crippled stack. Does not remove Immobilised.</t>
  </si>
  <si>
    <t>SHD-021</t>
  </si>
  <si>
    <t>Tempered Featherwood Buckler</t>
  </si>
  <si>
    <t>SHD-022</t>
  </si>
  <si>
    <t>Masterwork Featherwood Buckler</t>
  </si>
  <si>
    <t>Gain 5 Fortified Armour (add 5 to current Armour and temporary Maximum Armour) and 5 Ward Magic Armour (add 5 to current Magic Armour and temporary Maximum Magic Armour) for 1 turn.</t>
  </si>
  <si>
    <t>SHD-023</t>
  </si>
  <si>
    <t>Regal Featherwood Buckler</t>
  </si>
  <si>
    <t>SHD-024</t>
  </si>
  <si>
    <t>Mythic Featherwood Buckler</t>
  </si>
  <si>
    <t>SHD-025</t>
  </si>
  <si>
    <t>Bonecrest War Shield</t>
  </si>
  <si>
    <t>Offensive Guard</t>
  </si>
  <si>
    <t>Bonewall Rush</t>
  </si>
  <si>
    <t>SHD-026</t>
  </si>
  <si>
    <t>Sturdy Bonecrest War Shield</t>
  </si>
  <si>
    <t>Restore 4 Armour. The next Strength skill before the end of the turn gains +10 Skill Power.</t>
  </si>
  <si>
    <t>SHD-027</t>
  </si>
  <si>
    <t>Tempered Bonecrest War Shield</t>
  </si>
  <si>
    <t>SHD-028</t>
  </si>
  <si>
    <t>Masterwork Bonecrest War Shield</t>
  </si>
  <si>
    <t>Gain 8 Fortified Armour (add 8 to current Armour and temporary Maximum Armour) for 2 turns. The next Strength skill before the end of the next turn gains +10 Skill Power.</t>
  </si>
  <si>
    <t>SHD-029</t>
  </si>
  <si>
    <t>Regal Bonecrest War Shield</t>
  </si>
  <si>
    <t>SHD-030</t>
  </si>
  <si>
    <t>Mythic Bonecrest War Shield</t>
  </si>
  <si>
    <t>SHD-031</t>
  </si>
  <si>
    <t>Crystal Wing Ward</t>
  </si>
  <si>
    <t>Crystal Screen</t>
  </si>
  <si>
    <t>Windglass Ward</t>
  </si>
  <si>
    <t>SHD-032</t>
  </si>
  <si>
    <t>Sturdy Crystal Wing Ward</t>
  </si>
  <si>
    <t>SHD-033</t>
  </si>
  <si>
    <t>Tempered Crystal Wing Ward</t>
  </si>
  <si>
    <t>SHD-034</t>
  </si>
  <si>
    <t>Masterwork Crystal Wing Ward</t>
  </si>
  <si>
    <t>Gain 9 Ward Magic Armour (add 9 to current Magic Armour and temporary Maximum Magic Armour) for 2 turns. The next Magic skill before the end of the next turn gains +10 Skill Power.</t>
  </si>
  <si>
    <t>SHD-035</t>
  </si>
  <si>
    <t>Regal Crystal Wing Ward</t>
  </si>
  <si>
    <t>SHD-036</t>
  </si>
  <si>
    <t>Mythic Crystal Wing Ward</t>
  </si>
  <si>
    <t>SHD-037</t>
  </si>
  <si>
    <t>Dawnward Shield</t>
  </si>
  <si>
    <t>Dawnward Mend</t>
  </si>
  <si>
    <t>Solar Aegis</t>
  </si>
  <si>
    <t>SHD-038</t>
  </si>
  <si>
    <t>Sturdy Dawnward Shield</t>
  </si>
  <si>
    <t>SHD-039</t>
  </si>
  <si>
    <t>Tempered Dawnward Shield</t>
  </si>
  <si>
    <t>SHD-040</t>
  </si>
  <si>
    <t>Masterwork Dawnward Shield</t>
  </si>
  <si>
    <t>SHD-041</t>
  </si>
  <si>
    <t>Regal Dawnward Shield</t>
  </si>
  <si>
    <t>SHD-042</t>
  </si>
  <si>
    <t>Mythic Dawnward Shield</t>
  </si>
  <si>
    <t>SHD-043</t>
  </si>
  <si>
    <t>Nightward Shield</t>
  </si>
  <si>
    <t>Moonward</t>
  </si>
  <si>
    <t>Night Aegis</t>
  </si>
  <si>
    <t>SHD-044</t>
  </si>
  <si>
    <t>Sturdy Nightward Shield</t>
  </si>
  <si>
    <t>SHD-045</t>
  </si>
  <si>
    <t>Tempered Nightward Shield</t>
  </si>
  <si>
    <t>SHD-046</t>
  </si>
  <si>
    <t>Masterwork Nightward Shield</t>
  </si>
  <si>
    <t>Gain 9 Ward Magic Armour (add 9 to current Magic Armour and temporary Maximum Magic Armour) and reduce hostile magical ailment application chance by 10 percentage points for 2 turns.</t>
  </si>
  <si>
    <t>SHD-047</t>
  </si>
  <si>
    <t>Regal Nightward Shield</t>
  </si>
  <si>
    <t>SHD-048</t>
  </si>
  <si>
    <t>Mythic Nightward Shield</t>
  </si>
  <si>
    <t>Accessory Catalogue — Expanded Equipment Skills</t>
  </si>
  <si>
    <t>Ailment Resistance %</t>
  </si>
  <si>
    <t>ACC-001</t>
  </si>
  <si>
    <t>Fleetstep Anklet</t>
  </si>
  <si>
    <t>Mobility and finesse.</t>
  </si>
  <si>
    <t>Accessories do not normally grant base Armour or Magic Armour. Restoration skills use 1-turn cooldowns; Fortify/Ward use 2; dual Bastion/Aegis uses 3.</t>
  </si>
  <si>
    <t>Quickstep</t>
  </si>
  <si>
    <t>Slipstream</t>
  </si>
  <si>
    <t>ACC-002</t>
  </si>
  <si>
    <t>Sturdy Fleetstep Anklet</t>
  </si>
  <si>
    <t>Gain Minor Agility Up for 2 turns.</t>
  </si>
  <si>
    <t>ACC-003</t>
  </si>
  <si>
    <t>Tempered Fleetstep Anklet</t>
  </si>
  <si>
    <t>ACC-004</t>
  </si>
  <si>
    <t>Masterwork Fleetstep Anklet</t>
  </si>
  <si>
    <t>Gain Moderate Agility Up for 1 turn.</t>
  </si>
  <si>
    <t>ACC-005</t>
  </si>
  <si>
    <t>Regal Fleetstep Anklet</t>
  </si>
  <si>
    <t>ACC-006</t>
  </si>
  <si>
    <t>Mythic Fleetstep Anklet</t>
  </si>
  <si>
    <t>ACC-007</t>
  </si>
  <si>
    <t>Ironspur Anklet</t>
  </si>
  <si>
    <t>Strength and physical durability.</t>
  </si>
  <si>
    <t>Battle Readiness</t>
  </si>
  <si>
    <t>Iron Stance</t>
  </si>
  <si>
    <t>ACC-008</t>
  </si>
  <si>
    <t>Sturdy Ironspur Anklet</t>
  </si>
  <si>
    <t>ACC-009</t>
  </si>
  <si>
    <t>Tempered Ironspur Anklet</t>
  </si>
  <si>
    <t>ACC-010</t>
  </si>
  <si>
    <t>Masterwork Ironspur Anklet</t>
  </si>
  <si>
    <t>Gain Minor Might Up and Minor Guard Up for 2 turns.</t>
  </si>
  <si>
    <t>ACC-011</t>
  </si>
  <si>
    <t>Regal Ironspur Anklet</t>
  </si>
  <si>
    <t>ACC-012</t>
  </si>
  <si>
    <t>Mythic Ironspur Anklet</t>
  </si>
  <si>
    <t>ACC-013</t>
  </si>
  <si>
    <t>Runeclasp Anklet</t>
  </si>
  <si>
    <t>Magic and warding.</t>
  </si>
  <si>
    <t>Rune Mend</t>
  </si>
  <si>
    <t>Focused Ward</t>
  </si>
  <si>
    <t>ACC-014</t>
  </si>
  <si>
    <t>Sturdy Runeclasp Anklet</t>
  </si>
  <si>
    <t>ACC-015</t>
  </si>
  <si>
    <t>Tempered Runeclasp Anklet</t>
  </si>
  <si>
    <t>ACC-016</t>
  </si>
  <si>
    <t>Masterwork Runeclasp Anklet</t>
  </si>
  <si>
    <t>Gain 6 Ward Magic Armour (add 6 to current Magic Armour and temporary Maximum Magic Armour) and Minor Focus Up for 2 turns.</t>
  </si>
  <si>
    <t>ACC-017</t>
  </si>
  <si>
    <t>Regal Runeclasp Anklet</t>
  </si>
  <si>
    <t>ACC-018</t>
  </si>
  <si>
    <t>Mythic Runeclasp Anklet</t>
  </si>
  <si>
    <t>ACC-019</t>
  </si>
  <si>
    <t>Heartloop Anklet</t>
  </si>
  <si>
    <t>Health and mixed defence.</t>
  </si>
  <si>
    <t>Heartening Pulse</t>
  </si>
  <si>
    <t>Enduring Rhythm</t>
  </si>
  <si>
    <t>ACC-020</t>
  </si>
  <si>
    <t>Sturdy Heartloop Anklet</t>
  </si>
  <si>
    <t>ACC-021</t>
  </si>
  <si>
    <t>Tempered Heartloop Anklet</t>
  </si>
  <si>
    <t>ACC-022</t>
  </si>
  <si>
    <t>Masterwork Heartloop Anklet</t>
  </si>
  <si>
    <t>ACC-023</t>
  </si>
  <si>
    <t>Regal Heartloop Anklet</t>
  </si>
  <si>
    <t>ACC-024</t>
  </si>
  <si>
    <t>Mythic Heartloop Anklet</t>
  </si>
  <si>
    <t>ACC-025</t>
  </si>
  <si>
    <t>Talonmark Pendant</t>
  </si>
  <si>
    <t>Finesse and Critical identity.</t>
  </si>
  <si>
    <t>Keen Edge</t>
  </si>
  <si>
    <t>Marked Opening</t>
  </si>
  <si>
    <t>ACC-026</t>
  </si>
  <si>
    <t>Sturdy Talonmark Pendant</t>
  </si>
  <si>
    <t>ACC-027</t>
  </si>
  <si>
    <t>Tempered Talonmark Pendant</t>
  </si>
  <si>
    <t>ACC-028</t>
  </si>
  <si>
    <t>Masterwork Talonmark Pendant</t>
  </si>
  <si>
    <t>The next Finesse skill before the end of the next turn gains +15 Skill Power and +10 Precision.</t>
  </si>
  <si>
    <t>ACC-029</t>
  </si>
  <si>
    <t>Regal Talonmark Pendant</t>
  </si>
  <si>
    <t>ACC-030</t>
  </si>
  <si>
    <t>Mythic Talonmark Pendant</t>
  </si>
  <si>
    <t>ACC-031</t>
  </si>
  <si>
    <t>Warcrest Torque</t>
  </si>
  <si>
    <t>Strength and survivability.</t>
  </si>
  <si>
    <t>War Cry</t>
  </si>
  <si>
    <t>Unbroken Crest</t>
  </si>
  <si>
    <t>ACC-032</t>
  </si>
  <si>
    <t>Sturdy Warcrest Torque</t>
  </si>
  <si>
    <t>ACC-033</t>
  </si>
  <si>
    <t>Tempered Warcrest Torque</t>
  </si>
  <si>
    <t>ACC-034</t>
  </si>
  <si>
    <t>Masterwork Warcrest Torque</t>
  </si>
  <si>
    <t>Gain 6 Fortified Armour (add 6 to current Armour and temporary Maximum Armour) and Minor Guard Up for 2 turns.</t>
  </si>
  <si>
    <t>ACC-035</t>
  </si>
  <si>
    <t>Regal Warcrest Torque</t>
  </si>
  <si>
    <t>ACC-036</t>
  </si>
  <si>
    <t>Mythic Warcrest Torque</t>
  </si>
  <si>
    <t>ACC-037</t>
  </si>
  <si>
    <t>Runesong Locket</t>
  </si>
  <si>
    <t>Magic and magical protection.</t>
  </si>
  <si>
    <t>Arcane Clarity</t>
  </si>
  <si>
    <t>Runic Crescendo</t>
  </si>
  <si>
    <t>ACC-038</t>
  </si>
  <si>
    <t>Sturdy Runesong Locket</t>
  </si>
  <si>
    <t>ACC-039</t>
  </si>
  <si>
    <t>Tempered Runesong Locket</t>
  </si>
  <si>
    <t>ACC-040</t>
  </si>
  <si>
    <t>Masterwork Runesong Locket</t>
  </si>
  <si>
    <t>ACC-041</t>
  </si>
  <si>
    <t>Regal Runesong Locket</t>
  </si>
  <si>
    <t>ACC-042</t>
  </si>
  <si>
    <t>Mythic Runesong Locket</t>
  </si>
  <si>
    <t>ACC-043</t>
  </si>
  <si>
    <t>Aegis Charm</t>
  </si>
  <si>
    <t>Balanced defensive utility.</t>
  </si>
  <si>
    <t>Balance Armour</t>
  </si>
  <si>
    <t>Dual Aegis</t>
  </si>
  <si>
    <t>ACC-044</t>
  </si>
  <si>
    <t>Sturdy Aegis Charm</t>
  </si>
  <si>
    <t>ACC-045</t>
  </si>
  <si>
    <t>Tempered Aegis Charm</t>
  </si>
  <si>
    <t>ACC-046</t>
  </si>
  <si>
    <t>Masterwork Aegis Charm</t>
  </si>
  <si>
    <t>ACC-047</t>
  </si>
  <si>
    <t>Regal Aegis Charm</t>
  </si>
  <si>
    <t>ACC-048</t>
  </si>
  <si>
    <t>Mythic Aegis Charm</t>
  </si>
  <si>
    <t>Defensive Set Families and Bonuses</t>
  </si>
  <si>
    <t>Protection Split</t>
  </si>
  <si>
    <t>Primary Stats</t>
  </si>
  <si>
    <t>Armour Piece</t>
  </si>
  <si>
    <t>2-Piece Identity</t>
  </si>
  <si>
    <t>3-Piece Identity</t>
  </si>
  <si>
    <t>85% Armour / 15% Magic Armour</t>
  </si>
  <si>
    <t>Guard, Vitality, Might</t>
  </si>
  <si>
    <t>15% Armour / 85% Magic Armour</t>
  </si>
  <si>
    <t>Resolve, Focus, Vitality</t>
  </si>
  <si>
    <t>50% Armour / 50% Magic Armour</t>
  </si>
  <si>
    <t>Vitality, Guard, Resolve</t>
  </si>
  <si>
    <t>40% Armour / 60% Magic Armour</t>
  </si>
  <si>
    <t>Dexterity, Agility, Resolve</t>
  </si>
  <si>
    <t>70% Armour / 30% Magic Armour</t>
  </si>
  <si>
    <t>25% Armour / 75% Magic Armour</t>
  </si>
  <si>
    <t>Focus, Agility, Resolve</t>
  </si>
  <si>
    <t>Vitality, Resolve, Guard</t>
  </si>
  <si>
    <t>30% Armour / 70% Magic Armour</t>
  </si>
  <si>
    <t>Materials, Infusions and Variant Rules</t>
  </si>
  <si>
    <t>Material</t>
  </si>
  <si>
    <t>Protection Identity</t>
  </si>
  <si>
    <t>Common Stats</t>
  </si>
  <si>
    <t>Typical Weight</t>
  </si>
  <si>
    <t>Infusion</t>
  </si>
  <si>
    <t>Protects Against</t>
  </si>
  <si>
    <t>Typical Effects</t>
  </si>
  <si>
    <t>Example Variant</t>
  </si>
  <si>
    <t>Availability</t>
  </si>
  <si>
    <t>Ironfeather</t>
  </si>
  <si>
    <t>Armour-heavy</t>
  </si>
  <si>
    <t>Guard, Might, Vitality</t>
  </si>
  <si>
    <t>Ember</t>
  </si>
  <si>
    <t>Burn / Scorched</t>
  </si>
  <si>
    <t>Resistance, Magic Armour restoration, anti-Burn effects</t>
  </si>
  <si>
    <t>Ember-Infused Runewoven Mantle</t>
  </si>
  <si>
    <t>Green+</t>
  </si>
  <si>
    <t>Bone-laced</t>
  </si>
  <si>
    <t>Physical-balanced</t>
  </si>
  <si>
    <t>Vitality, Might, Guard</t>
  </si>
  <si>
    <t>Frost</t>
  </si>
  <si>
    <t>Chill / Frozen</t>
  </si>
  <si>
    <t>Stack reduction, Magic Armour restoration</t>
  </si>
  <si>
    <t>Frostbound Layered Scale Plumage</t>
  </si>
  <si>
    <t>Leathered Plumage</t>
  </si>
  <si>
    <t>Light-balanced</t>
  </si>
  <si>
    <t>Dexterity, Agility</t>
  </si>
  <si>
    <t>Shock / Paralysis</t>
  </si>
  <si>
    <t>Resistance, Agility, ward restoration</t>
  </si>
  <si>
    <t>Storm-Infused Shadowplume Hood</t>
  </si>
  <si>
    <t>Runewoven Feather</t>
  </si>
  <si>
    <t>Magic-heavy</t>
  </si>
  <si>
    <t>Focus, Resolve</t>
  </si>
  <si>
    <t>Venom</t>
  </si>
  <si>
    <t>Poison / Toxic</t>
  </si>
  <si>
    <t>Application resistance, Magic Armour restoration</t>
  </si>
  <si>
    <t>Venomward Nightweave Mantle</t>
  </si>
  <si>
    <t>Crystal-threaded</t>
  </si>
  <si>
    <t>Magic and speed</t>
  </si>
  <si>
    <t>Focus, Agility</t>
  </si>
  <si>
    <t>Blood</t>
  </si>
  <si>
    <t>Bleed resistance, Armour restoration, martial retaliation</t>
  </si>
  <si>
    <t>Bloodbound Bonecrest Warplumage</t>
  </si>
  <si>
    <t>Lunar</t>
  </si>
  <si>
    <t>Magical debuffs</t>
  </si>
  <si>
    <t>Resolve, Magic Armour, night interactions</t>
  </si>
  <si>
    <t>Lunar Runewoven Circlet</t>
  </si>
  <si>
    <t>Blue+</t>
  </si>
  <si>
    <t>Low protection, high mobility</t>
  </si>
  <si>
    <t>Solar</t>
  </si>
  <si>
    <t>Mixed attrition</t>
  </si>
  <si>
    <t>Vitality, protection restoration, healing efficiency</t>
  </si>
  <si>
    <t>Solar Dawnfeather Robes</t>
  </si>
  <si>
    <t>Blessed Plumage</t>
  </si>
  <si>
    <t>Balanced magical defence</t>
  </si>
  <si>
    <t>Resolve, Vitality</t>
  </si>
  <si>
    <t>Variant Naming Formula</t>
  </si>
  <si>
    <t>Rarity + Infusion + Material/Set + Slot</t>
  </si>
  <si>
    <t>Blue Storm-Infused Shadowplume Hood</t>
  </si>
  <si>
    <t>Core catalogue rows are uninfused bases. Infusions create loot variety without multiplying the base register.</t>
  </si>
  <si>
    <t>Ailment Protection and Application Rules</t>
  </si>
  <si>
    <t>Ailment / Effect</t>
  </si>
  <si>
    <t>Protection Pool</t>
  </si>
  <si>
    <t>Application Requirement</t>
  </si>
  <si>
    <t>Tick Interaction</t>
  </si>
  <si>
    <t>Restoring Protection</t>
  </si>
  <si>
    <t>Bypass Rule</t>
  </si>
  <si>
    <t>Physical</t>
  </si>
  <si>
    <t>Armour was already zero, or hit breaks Armour and damages Health</t>
  </si>
  <si>
    <t>Ticks are physical and hit restored Armour first</t>
  </si>
  <si>
    <t>Does not cleanse Bleed</t>
  </si>
  <si>
    <t>Piercing Health damage does not bypass ailment gate</t>
  </si>
  <si>
    <t>Reduces healing according to ailment rules</t>
  </si>
  <si>
    <t>Magic Armour was already zero, or hit breaks it and damages Health</t>
  </si>
  <si>
    <t>Ticks are magical and hit restored Magic Armour first</t>
  </si>
  <si>
    <t>Does not cleanse Burn</t>
  </si>
  <si>
    <t>Bypass damage alone does not permit Burn</t>
  </si>
  <si>
    <t>Does not cleanse Poison</t>
  </si>
  <si>
    <t>Bypass damage alone does not permit Poison</t>
  </si>
  <si>
    <t>Chilled / Frozen</t>
  </si>
  <si>
    <t>Magic Armour must be broken before stacks apply</t>
  </si>
  <si>
    <t>No damage unless skill states otherwise</t>
  </si>
  <si>
    <t>Does not remove stacks</t>
  </si>
  <si>
    <t>Bypass damage does not bypass gate</t>
  </si>
  <si>
    <t>Frozen occurs through its confirmed stack rule</t>
  </si>
  <si>
    <t>Magic Armour must be broken before stacks/effect apply</t>
  </si>
  <si>
    <t>Does not remove effect</t>
  </si>
  <si>
    <t>Physical stat debuff</t>
  </si>
  <si>
    <t>Source hit must reach Health</t>
  </si>
  <si>
    <t>No tick unless defined</t>
  </si>
  <si>
    <t>Does not cleanse debuff</t>
  </si>
  <si>
    <t>Source type determines pool</t>
  </si>
  <si>
    <t>Example: physical Guard Down</t>
  </si>
  <si>
    <t>Magical stat debuff</t>
  </si>
  <si>
    <t>Example: magical Guard Down</t>
  </si>
  <si>
    <t>Delayed Damage</t>
  </si>
  <si>
    <t>Source Type</t>
  </si>
  <si>
    <t>Matching pool</t>
  </si>
  <si>
    <t>Apply only after matching protection condition is met</t>
  </si>
  <si>
    <t>Damage uses original source type</t>
  </si>
  <si>
    <t>Does not remove delayed effect</t>
  </si>
  <si>
    <t>Fracture / Shattered</t>
  </si>
  <si>
    <t>Armour was already zero, or the hit breaks Armour and damages Health.</t>
  </si>
  <si>
    <t>No damage tick; effects modify Guard and Armour recovery.</t>
  </si>
  <si>
    <t>Restoring Armour does not remove stacks or Shattered.</t>
  </si>
  <si>
    <t>Piercing Health damage does not bypass the gate.</t>
  </si>
  <si>
    <t>Blunt and heavy breaking weapon family.</t>
  </si>
  <si>
    <t>Crippled / Immobilised</t>
  </si>
  <si>
    <t>No damage tick; effects modify Agility, Dodge and mobility access.</t>
  </si>
  <si>
    <t>Restoring Armour does not remove stacks or Immobilised.</t>
  </si>
  <si>
    <t>Bow and precision disable family.</t>
  </si>
  <si>
    <t>Dazed / Concussed</t>
  </si>
  <si>
    <t>No damage tick; effects modify Precision, Skill Power and next offensive EN cost.</t>
  </si>
  <si>
    <t>Restoring Armour does not remove stacks or Concussed.</t>
  </si>
  <si>
    <t>Blunt impact and concussion family.</t>
  </si>
  <si>
    <t>Unified Equipment Catalogue — Weapon and Equipment Skills</t>
  </si>
  <si>
    <t>Family / Set</t>
  </si>
  <si>
    <t>Hands / Weight</t>
  </si>
  <si>
    <t>Class / Best Suited</t>
  </si>
  <si>
    <t>Agility Net</t>
  </si>
  <si>
    <t>Skill 1 / Pool A</t>
  </si>
  <si>
    <t>Skill 2 / Pool B</t>
  </si>
  <si>
    <t>Skill Effect / Default</t>
  </si>
  <si>
    <t>Set Bonus</t>
  </si>
  <si>
    <t>Variant / Resistance</t>
  </si>
  <si>
    <t>Weapon Skill 2 normally has a 1-turn cooldown; Fortify/Ward use 2 turns; dual Bastion/Aegis uses 3 turns.</t>
  </si>
  <si>
    <t>Crushing Peck applies 1 Dazed stack after Armour is broken and Health is damaged. Weapon Skill 2 follows its listed cooldown.</t>
  </si>
  <si>
    <t>Default: None. A: Restore 4 Armour, capped at normal Maximum Armour. B: Gain 8 Fortified Armour (add 8 to current Armour and temporary Maximum Armour) for 2 turns.</t>
  </si>
  <si>
    <t>2pc: While Armour remains, gain +2 Guard. | 3pc: First time Armour is depleted each combat, restore 1 Armour.</t>
  </si>
  <si>
    <t>Restoration repairs only to normal maximum with a 1-turn cooldown. Fortify/Ward heal and overflow with 2-turn cooldowns; dual effects use 3 turns.</t>
  </si>
  <si>
    <t>Default: Reinforce Plumage. A: Restore 4 Armour, capped at normal Maximum Armour. B: Gain 8 Fortified Armour (add 8 to current Armour and temporary Maximum Armour) for 2 turns.</t>
  </si>
  <si>
    <t>2pc: While Armour remains, gain +3 Guard. | 3pc: First time Armour is depleted each combat, restore 2 Armour.</t>
  </si>
  <si>
    <t>Default: Iron Fortify. A: Restore 4 Armour, capped at normal Maximum Armour. B: Gain 8 Fortified Armour (add 8 to current Armour and temporary Maximum Armour) for 2 turns.</t>
  </si>
  <si>
    <t>2pc: While Armour remains, gain +4 Guard. | 3pc: First time Armour is depleted each combat, restore 3 Armour.</t>
  </si>
  <si>
    <t>2pc: While Armour remains, gain +5 Guard. | 3pc: First time Armour is depleted each combat, restore 4 Armour.</t>
  </si>
  <si>
    <t>Default: None. A: Restore 4 Magic Armour, capped at normal Maximum Magic Armour. B: Gain 8 Ward Magic Armour (add 8 to current Magic Armour and temporary Maximum Magic Armour) for 2 turns.</t>
  </si>
  <si>
    <t>2pc: While Magic Armour remains, gain +2 Resolve. | 3pc: First time Magic Armour is depleted each combat, restore 1 Magic Armour.</t>
  </si>
  <si>
    <t>Default: Mend Weave. A: Restore 4 Magic Armour, capped at normal Maximum Magic Armour. B: Gain 8 Ward Magic Armour (add 8 to current Magic Armour and temporary Maximum Magic Armour) for 2 turns.</t>
  </si>
  <si>
    <t>2pc: While Magic Armour remains, gain +3 Resolve. | 3pc: First time Magic Armour is depleted each combat, restore 2 Magic Armour.</t>
  </si>
  <si>
    <t>Default: Runic Ward. A: Restore 4 Magic Armour, capped at normal Maximum Magic Armour. B: Gain 8 Ward Magic Armour (add 8 to current Magic Armour and temporary Maximum Magic Armour) for 2 turns.</t>
  </si>
  <si>
    <t>2pc: While Magic Armour remains, gain +4 Resolve. | 3pc: First time Magic Armour is depleted each combat, restore 3 Magic Armour.</t>
  </si>
  <si>
    <t>2pc: While Magic Armour remains, gain +5 Resolve. | 3pc: First time Magic Armour is depleted each combat, restore 4 Magic Armour.</t>
  </si>
  <si>
    <t>Default: None. A: Restore 3 Armour and 3 Magic Armour. B: Gain 5 Fortified Armour (add 5 to current Armour and temporary Maximum Armour) and 5 Ward Magic Armour (add 5 to current Magic Armour and temporary Maximum Magic Armour) for 2 turns.</t>
  </si>
  <si>
    <t>2pc: Begin combat with +1 Maximum Armour and +1 Maximum Magic Armour. | 3pc: Once per combat when either protection pool is depleted, restore 1 to both pools.</t>
  </si>
  <si>
    <t>Default: Rebalance Plates. A: Restore 3 Armour and 3 Magic Armour. B: Gain 5 Fortified Armour (add 5 to current Armour and temporary Maximum Armour) and 5 Ward Magic Armour (add 5 to current Magic Armour and temporary Maximum Magic Armour) for 2 turns.</t>
  </si>
  <si>
    <t>2pc: Begin combat with +2 Maximum Armour and +2 Maximum Magic Armour. | 3pc: Once per combat when either protection pool is depleted, restore 1 to both pools.</t>
  </si>
  <si>
    <t>Default: Dual Bastion. A: Restore 3 Armour and 3 Magic Armour. B: Gain 5 Fortified Armour (add 5 to current Armour and temporary Maximum Armour) and 5 Ward Magic Armour (add 5 to current Magic Armour and temporary Maximum Magic Armour) for 2 turns.</t>
  </si>
  <si>
    <t>2pc: Begin combat with +3 Maximum Armour and +3 Maximum Magic Armour. | 3pc: Once per combat when either protection pool is depleted, restore 2 to both pools.</t>
  </si>
  <si>
    <t>2pc: Begin combat with +4 Maximum Armour and +4 Maximum Magic Armour. | 3pc: Once per combat when either protection pool is depleted, restore 2 to both pools.</t>
  </si>
  <si>
    <t>Default: None. A: Gain Minor Agility Up for 2 turns and restore 2 Magic Armour. B: Gain 5 Ward Magic Armour (add 5 to current Magic Armour and temporary Maximum Magic Armour) and Minor Agility Up for 2 turns.</t>
  </si>
  <si>
    <t>2pc: While both protection pools remain above zero, gain +2 Agility. | 3pc: First successful Dodge each combat restores 1 to the lower protection pool.</t>
  </si>
  <si>
    <t>Default: Featherstep. A: Gain Minor Agility Up for 2 turns and restore 2 Magic Armour. B: Gain 5 Ward Magic Armour (add 5 to current Magic Armour and temporary Maximum Magic Armour) and Minor Agility Up for 2 turns.</t>
  </si>
  <si>
    <t>2pc: While both protection pools remain above zero, gain +3 Agility. | 3pc: First successful Dodge each combat restores 1 to the lower protection pool.</t>
  </si>
  <si>
    <t>Default: Vanishing Plumage. A: Gain Minor Agility Up for 2 turns and restore 2 Magic Armour. B: Gain 5 Ward Magic Armour (add 5 to current Magic Armour and temporary Maximum Magic Armour) and Minor Agility Up for 2 turns.</t>
  </si>
  <si>
    <t>2pc: While both protection pools remain above zero, gain +4 Agility. | 3pc: First successful Dodge each combat restores 2 to the lower protection pool.</t>
  </si>
  <si>
    <t>2pc: While both protection pools remain above zero, gain +5 Agility. | 3pc: First successful Dodge each combat restores 2 to the lower protection pool.</t>
  </si>
  <si>
    <t>Default: None. A: Restore 4 Armour and gain Minor Might Up for 1 turn. B: Gain 6 Fortified Armour (add 6 to current Armour and temporary Maximum Armour) and Minor Might Up for 2 turns.</t>
  </si>
  <si>
    <t>2pc: While Armour remains, gain +2 Might. | 3pc: First physical attack that breaks enemy Armour each combat gains +10 Skill Power.</t>
  </si>
  <si>
    <t>Default: Battle Brace. A: Restore 4 Armour, gain Minor Might Up for 1 turn, and remove 1 Fracture stack; does not remove Shattered. B: Gain 6 Fortified Armour and Minor Might Up for 2 turns.</t>
  </si>
  <si>
    <t>2pc: While Armour remains, gain +3 Might. | 3pc: First physical attack that breaks enemy Armour each combat gains +10 Skill Power.</t>
  </si>
  <si>
    <t>Default: Warplate Surge. A: Restore 4 Armour and gain Minor Might Up for 1 turn. B: Gain 6 Fortified Armour (add 6 to current Armour and temporary Maximum Armour) and Minor Might Up for 2 turns.</t>
  </si>
  <si>
    <t>2pc: While Armour remains, gain +3 Might. | 3pc: First physical attack that breaks enemy Armour each combat gains +15 Skill Power.</t>
  </si>
  <si>
    <t>2pc: While Armour remains, gain +4 Might. | 3pc: First physical attack that breaks enemy Armour each combat gains +20 Skill Power.</t>
  </si>
  <si>
    <t>2pc: While Armour remains, gain +5 Might. | 3pc: First physical attack that breaks enemy Armour each combat gains +20 Skill Power.</t>
  </si>
  <si>
    <t>Default: None. A: Restore 4 Magic Armour. B: Gain 7 Ward Magic Armour (add 7 to current Magic Armour and temporary Maximum Magic Armour) and Minor Agility Up for 2 turns.</t>
  </si>
  <si>
    <t>2pc: While Magic Armour remains, gain +2 Agility. | 3pc: First magical attack that breaks enemy Magic Armour grants Minor Focus Up until the end of the next turn.</t>
  </si>
  <si>
    <t>Default: Crystal Mend. A: Restore 4 Magic Armour. B: Gain 7 Ward Magic Armour (add 7 to current Magic Armour and temporary Maximum Magic Armour) and Minor Agility Up for 2 turns.</t>
  </si>
  <si>
    <t>2pc: While Magic Armour remains, gain +3 Agility. | 3pc: First magical attack that breaks enemy Magic Armour grants Minor Focus Up until the end of the next turn.</t>
  </si>
  <si>
    <t>Default: Gale Ward. A: Restore 4 Magic Armour. B: Gain 7 Ward Magic Armour (add 7 to current Magic Armour and temporary Maximum Magic Armour) and Minor Agility Up for 2 turns.</t>
  </si>
  <si>
    <t>2pc: While Magic Armour remains, gain +4 Agility. | 3pc: First magical attack that breaks enemy Magic Armour grants Minor Focus Up until the end of the next turn.</t>
  </si>
  <si>
    <t>2pc: While Magic Armour remains, gain +5 Agility. | 3pc: First magical attack that breaks enemy Magic Armour grants Minor Focus Up until the end of the next turn.</t>
  </si>
  <si>
    <t>2pc: First time Health is healed each combat, restore 1 Armour and 1 Magic Armour. | 3pc: Once per combat below 30% Health, restore 1 to the lower protection pool.</t>
  </si>
  <si>
    <t>Default: Mend Plumage. A: Restore 3 Armour and 3 Magic Armour. B: Gain 5 Fortified Armour (add 5 to current Armour and temporary Maximum Armour) and 5 Ward Magic Armour (add 5 to current Magic Armour and temporary Maximum Magic Armour) for 2 turns.</t>
  </si>
  <si>
    <t>2pc: First time Health is healed each combat, restore 2 Armour and 2 Magic Armour. | 3pc: Once per combat below 30% Health, restore 2 to the lower protection pool.</t>
  </si>
  <si>
    <t>Default: Radiant Bastion. A: Restore 3 Armour and 3 Magic Armour. B: Gain 5 Fortified Armour (add 5 to current Armour and temporary Maximum Armour) and 5 Ward Magic Armour (add 5 to current Magic Armour and temporary Maximum Magic Armour) for 2 turns.</t>
  </si>
  <si>
    <t>2pc: First time Health is healed each combat, restore 2 Armour and 2 Magic Armour. | 3pc: Once per combat below 30% Health, restore 3 to the lower protection pool.</t>
  </si>
  <si>
    <t>2pc: First time Health is healed each combat, restore 2 Armour and 2 Magic Armour. | 3pc: Once per combat below 30% Health, restore 4 to the lower protection pool.</t>
  </si>
  <si>
    <t>Default: None. A: Restore 5 Magic Armour. B: Gain 8 Ward Magic Armour (add 8 to current Magic Armour and temporary Maximum Magic Armour) and reduce hostile magical ailment application chance by 10 percentage points for 2 turns.</t>
  </si>
  <si>
    <t>2pc: After Magic Armour is depleted, hostile magical ailment chance is reduced by 5 percentage points. | 3pc: First magical ailment successfully applied each combat has its duration reduced by 1 turn, minimum 1.</t>
  </si>
  <si>
    <t>Default: Veil Stitch. A: Restore 5 Magic Armour. B: Gain 8 Ward Magic Armour (add 8 to current Magic Armour and temporary Maximum Magic Armour) and reduce hostile magical ailment application chance by 10 percentage points for 2 turns.</t>
  </si>
  <si>
    <t>2pc: After Magic Armour is depleted, hostile magical ailment chance is reduced by 10 percentage points. | 3pc: First magical ailment successfully applied each combat has its duration reduced by 1 turn, minimum 1.</t>
  </si>
  <si>
    <t>Default: Night Ward. A: Restore 5 Magic Armour. B: Gain 8 Ward Magic Armour (add 8 to current Magic Armour and temporary Maximum Magic Armour) and reduce hostile magical ailment application chance by 10 percentage points for 2 turns.</t>
  </si>
  <si>
    <t>2pc: After Magic Armour is depleted, hostile magical ailment chance is reduced by 15 percentage points. | 3pc: First magical ailment successfully applied each combat has its duration reduced by 1 turn, minimum 1.</t>
  </si>
  <si>
    <t>2pc: After Magic Armour is depleted, hostile magical ailment chance is reduced by 20 percentage points. | 3pc: First magical ailment successfully applied each combat has its duration reduced by 1 turn, minimum 1.</t>
  </si>
  <si>
    <t>Default: None. A: Gain Minor Guard Up for 2 turns. B: Gain 5 Fortified Armour (add 5 to current Armour and temporary Maximum Armour) and Minor Guard Up for 2 turns.</t>
  </si>
  <si>
    <t>Default: Braced Brow. A: Gain Minor Guard Up for 2 turns and remove 1 Dazed stack; does not remove Concussed. B: Gain 5 Fortified Armour (add 5 to current Armour and temporary Maximum Armour) and Minor Guard Up for 2 turns.</t>
  </si>
  <si>
    <t>Default: Unyielding Crest. A: Gain Minor Guard Up for 2 turns. B: Gain 5 Fortified Armour (add 5 to current Armour and temporary Maximum Armour) and Minor Guard Up for 2 turns.</t>
  </si>
  <si>
    <t>Default: None. A: Restore 3 Magic Armour. If affected by a magical stat debuff, reduce its remaining duration by 1 turn. B: Gain 5 Ward Magic Armour (add 5 to current Magic Armour and temporary Maximum Magic Armour) and Minor Focus Up for 2 turns.</t>
  </si>
  <si>
    <t>Default: Clear Mind. A: Restore 3 Magic Armour. If affected by a magical stat debuff, reduce its remaining duration by 1 turn. B: Gain 5 Ward Magic Armour (add 5 to current Magic Armour and temporary Maximum Magic Armour) and Minor Focus Up for 2 turns.</t>
  </si>
  <si>
    <t>Default: Arcane Focus. A: Restore 3 Magic Armour. If affected by a magical stat debuff, reduce its remaining duration by 1 turn. B: Gain 5 Ward Magic Armour (add 5 to current Magic Armour and temporary Maximum Magic Armour) and Minor Focus Up for 2 turns.</t>
  </si>
  <si>
    <t>Default: None. A: Restore 4 to whichever protection pool is currently lower. B: Gain 4 Fortified Armour (add 4 to current Armour and temporary Maximum Armour) and 4 Ward Magic Armour (add 4 to current Magic Armour and temporary Maximum Magic Armour) for 2 turns.</t>
  </si>
  <si>
    <t>Default: Balanced Guard. A: Restore 4 to whichever protection pool is currently lower. B: Gain 4 Fortified Armour (add 4 to current Armour and temporary Maximum Armour) and 4 Ward Magic Armour (add 4 to current Magic Armour and temporary Maximum Magic Armour) for 2 turns.</t>
  </si>
  <si>
    <t>Default: Equalised Defence. A: Restore 4 to whichever protection pool is currently lower. B: Gain 4 Fortified Armour (add 4 to current Armour and temporary Maximum Armour) and 4 Ward Magic Armour (add 4 to current Magic Armour and temporary Maximum Magic Armour) for 2 turns.</t>
  </si>
  <si>
    <t>Default: None. A: Gain Minor Dexterity Up for 2 turns. B: Gain 4 Fortified Armour (add 4 to current Armour and temporary Maximum Armour), 4 Ward Magic Armour (add 4 to current Magic Armour and temporary Maximum Magic Armour), and Minor Agility Up for 1 turn.</t>
  </si>
  <si>
    <t>Default: Keen Sight. A: Gain Minor Dexterity Up for 2 turns. B: Gain 4 Fortified Armour (add 4 to current Armour and temporary Maximum Armour), 4 Ward Magic Armour (add 4 to current Magic Armour and temporary Maximum Magic Armour), and Minor Agility Up for 1 turn.</t>
  </si>
  <si>
    <t>Default: Evasive Read. A: Gain Minor Dexterity Up for 2 turns. B: Gain 4 Fortified Armour (add 4 to current Armour and temporary Maximum Armour), 4 Ward Magic Armour (add 4 to current Magic Armour and temporary Maximum Magic Armour), and Minor Agility Up for 1 turn.</t>
  </si>
  <si>
    <t>Default: None. A: Gain Minor Might Up for 2 turns. B: The next Strength skill before the end of the next turn gains +15 Skill Power and ignores 4 Guard.</t>
  </si>
  <si>
    <t>Default: Predator’s Gaze. A: Gain Minor Might Up for 2 turns. B: The next Strength skill before the end of the next turn gains +15 Skill Power and ignores 4 Guard.</t>
  </si>
  <si>
    <t>Default: Breaker’s Focus. A: Gain Minor Might Up for 2 turns. B: The next Strength skill before the end of the next turn gains +15 Skill Power and ignores 4 Guard.</t>
  </si>
  <si>
    <t>Default: None. A: Gain Minor Focus Up for 2 turns. B: Gain 5 Ward Magic Armour (add 5 to current Magic Armour and temporary Maximum Magic Armour) and Minor Focus Up for 2 turns.</t>
  </si>
  <si>
    <t>Default: Storm Sight. A: Gain Minor Focus Up for 2 turns. B: Gain 5 Ward Magic Armour (add 5 to current Magic Armour and temporary Maximum Magic Armour) and Minor Focus Up for 2 turns.</t>
  </si>
  <si>
    <t>Default: Arcane Wind. A: Gain Minor Focus Up for 2 turns. B: Gain 5 Ward Magic Armour (add 5 to current Magic Armour and temporary Maximum Magic Armour) and Minor Focus Up for 2 turns.</t>
  </si>
  <si>
    <t>Default: None. A: Restore 4 to whichever protection pool is currently lower. B: Gain Minor Guard Up and Minor Resolve Up for 2 turns.</t>
  </si>
  <si>
    <t>Default: Renewing Light. A: Restore 4 to whichever protection pool is currently lower. B: Gain Minor Guard Up and Minor Resolve Up for 2 turns.</t>
  </si>
  <si>
    <t>Default: Protective Prayer. A: Restore 4 to whichever protection pool is currently lower. B: Gain Minor Guard Up and Minor Resolve Up for 2 turns.</t>
  </si>
  <si>
    <t>Default: None. A: Gain Minor Resolve Up for 2 turns. B: Gain 5 Ward Magic Armour (add 5 to current Magic Armour and temporary Maximum Magic Armour). The next magical debuff applied has its duration reduced by 1 turn, minimum 1.</t>
  </si>
  <si>
    <t>Default: Veiled Mind. A: Gain Minor Resolve Up for 2 turns. B: Gain 5 Ward Magic Armour (add 5 to current Magic Armour and temporary Maximum Magic Armour). The next magical debuff applied has its duration reduced by 1 turn, minimum 1.</t>
  </si>
  <si>
    <t>Default: Hex Guard. A: Gain Minor Resolve Up for 2 turns. B: Gain 5 Ward Magic Armour (add 5 to current Magic Armour and temporary Maximum Magic Armour). The next magical debuff applied has its duration reduced by 1 turn, minimum 1.</t>
  </si>
  <si>
    <t>Default: None. A: Restore 5 Armour, capped at normal Maximum Armour. B: Gain 10 Fortified Armour (add 10 to current Armour and temporary Maximum Armour) for 2 turns.</t>
  </si>
  <si>
    <t>Default: Guarded Wing. A: Restore 5 Armour, capped at normal Maximum Armour. B: Gain 10 Fortified Armour (add 10 to current Armour and temporary Maximum Armour) for 2 turns.</t>
  </si>
  <si>
    <t>Default: Bastion Stance. A: Restore 5 Armour, capped at normal Maximum Armour. B: Gain 10 Fortified Armour (add 10 to current Armour and temporary Maximum Armour) for 2 turns.</t>
  </si>
  <si>
    <t>Default: None. A: Restore 5 Magic Armour, capped at normal Maximum Magic Armour. B: Gain 10 Ward Magic Armour (add 10 to current Magic Armour and temporary Maximum Magic Armour) for 2 turns.</t>
  </si>
  <si>
    <t>Default: Warding Wing. A: Restore 5 Magic Armour, capped at normal Maximum Magic Armour. B: Gain 10 Ward Magic Armour (add 10 to current Magic Armour and temporary Maximum Magic Armour) for 2 turns.</t>
  </si>
  <si>
    <t>Default: Aegis of Runes. A: Restore 5 Magic Armour, capped at normal Maximum Magic Armour. B: Gain 10 Ward Magic Armour (add 10 to current Magic Armour and temporary Maximum Magic Armour) for 2 turns.</t>
  </si>
  <si>
    <t>Default: None. A: Restore 5 to whichever protection pool is currently lower. B: Gain 6 Fortified Armour (add 6 to current Armour and temporary Maximum Armour) and 6 Ward Magic Armour (add 6 to current Magic Armour and temporary Maximum Magic Armour) for 2 turns.</t>
  </si>
  <si>
    <t>Default: Split Guard. A: Restore 5 to whichever protection pool is currently lower. B: Gain 6 Fortified Armour (add 6 to current Armour and temporary Maximum Armour) and 6 Ward Magic Armour (add 6 to current Magic Armour and temporary Maximum Magic Armour) for 2 turns.</t>
  </si>
  <si>
    <t>Default: Layered Bastion. A: Restore 5 to whichever protection pool is currently lower. B: Gain 6 Fortified Armour (add 6 to current Armour and temporary Maximum Armour) and 6 Ward Magic Armour (add 6 to current Magic Armour and temporary Maximum Magic Armour) for 2 turns.</t>
  </si>
  <si>
    <t>Default: None. A: Restore 3 to the lower protection pool and gain Minor Agility Up for 1 turn. B: Gain 5 Fortified Armour (add 5 to current Armour and temporary Maximum Armour) and 5 Ward Magic Armour (add 5 to current Magic Armour and temporary Maximum Magic Armour) for 1 turn.</t>
  </si>
  <si>
    <t>Default: Buckler Shift. A: Restore 3 to the lower protection pool, gain Minor Agility Up for 1 turn, and remove 1 Crippled stack; does not remove Immobilised. B: Gain 5 Fortified Armour and 5 Ward Magic Armour for 1 turn.</t>
  </si>
  <si>
    <t>Default: Featherwood Deflection. A: Restore 3 to the lower protection pool and gain Minor Agility Up for 1 turn. B: Gain 5 Fortified Armour (add 5 to current Armour and temporary Maximum Armour) and 5 Ward Magic Armour (add 5 to current Magic Armour and temporary Maximum Magic Armour) for 1 turn.</t>
  </si>
  <si>
    <t>Default: None. A: Restore 4 Armour. The next Strength skill before the end of the turn gains +10 Skill Power. B: Gain 8 Fortified Armour (add 8 to current Armour and temporary Maximum Armour) for 2 turns. The next Strength skill before the end of the next turn gains +10 Skill Power.</t>
  </si>
  <si>
    <t>Default: Offensive Guard. A: Restore 4 Armour. The next Strength skill before the end of the turn gains +10 Skill Power. B: Gain 8 Fortified Armour (add 8 to current Armour and temporary Maximum Armour) for 2 turns. The next Strength skill before the end of the next turn gains +10 Skill Power.</t>
  </si>
  <si>
    <t>Default: Bonewall Rush. A: Restore 4 Armour. The next Strength skill before the end of the turn gains +10 Skill Power. B: Gain 8 Fortified Armour (add 8 to current Armour and temporary Maximum Armour) for 2 turns. The next Strength skill before the end of the next turn gains +10 Skill Power.</t>
  </si>
  <si>
    <t>Default: None. A: Restore 5 Magic Armour. B: Gain 9 Ward Magic Armour (add 9 to current Magic Armour and temporary Maximum Magic Armour) for 2 turns. The next Magic skill before the end of the next turn gains +10 Skill Power.</t>
  </si>
  <si>
    <t>Default: Crystal Screen. A: Restore 5 Magic Armour. B: Gain 9 Ward Magic Armour (add 9 to current Magic Armour and temporary Maximum Magic Armour) for 2 turns. The next Magic skill before the end of the next turn gains +10 Skill Power.</t>
  </si>
  <si>
    <t>Default: Windglass Ward. A: Restore 5 Magic Armour. B: Gain 9 Ward Magic Armour (add 9 to current Magic Armour and temporary Maximum Magic Armour) for 2 turns. The next Magic skill before the end of the next turn gains +10 Skill Power.</t>
  </si>
  <si>
    <t>Default: None. A: Restore 3 Armour and 3 Magic Armour. B: Gain 6 Fortified Armour (add 6 to current Armour and temporary Maximum Armour) and 6 Ward Magic Armour (add 6 to current Magic Armour and temporary Maximum Magic Armour) for 2 turns.</t>
  </si>
  <si>
    <t>Default: Dawnward Mend. A: Restore 3 Armour and 3 Magic Armour. B: Gain 6 Fortified Armour (add 6 to current Armour and temporary Maximum Armour) and 6 Ward Magic Armour (add 6 to current Magic Armour and temporary Maximum Magic Armour) for 2 turns.</t>
  </si>
  <si>
    <t>Default: Solar Aegis. A: Restore 3 Armour and 3 Magic Armour. B: Gain 6 Fortified Armour (add 6 to current Armour and temporary Maximum Armour) and 6 Ward Magic Armour (add 6 to current Magic Armour and temporary Maximum Magic Armour) for 2 turns.</t>
  </si>
  <si>
    <t>Default: None. A: Restore 5 Magic Armour. B: Gain 9 Ward Magic Armour (add 9 to current Magic Armour and temporary Maximum Magic Armour) and reduce hostile magical ailment application chance by 10 percentage points for 2 turns.</t>
  </si>
  <si>
    <t>Default: Moonward. A: Restore 5 Magic Armour. B: Gain 9 Ward Magic Armour (add 9 to current Magic Armour and temporary Maximum Magic Armour) and reduce hostile magical ailment application chance by 10 percentage points for 2 turns.</t>
  </si>
  <si>
    <t>Default: Night Aegis. A: Restore 5 Magic Armour. B: Gain 9 Ward Magic Armour (add 9 to current Magic Armour and temporary Maximum Magic Armour) and reduce hostile magical ailment application chance by 10 percentage points for 2 turns.</t>
  </si>
  <si>
    <t>Default: None. A: Gain Minor Agility Up for 2 turns. B: Gain Moderate Agility Up for 1 turn.</t>
  </si>
  <si>
    <t>Ailment Resistance: 0%</t>
  </si>
  <si>
    <t>Default: Quickstep. A: Gain Minor Agility Up for 2 turns. B: Gain Moderate Agility Up for 1 turn.</t>
  </si>
  <si>
    <t>Default: Slipstream. A: Gain Minor Agility Up for 2 turns. B: Gain Moderate Agility Up for 1 turn.</t>
  </si>
  <si>
    <t>Default: None. A: Gain Minor Might Up for 2 turns. B: Gain Minor Might Up and Minor Guard Up for 2 turns.</t>
  </si>
  <si>
    <t>Default: Battle Readiness. A: Gain Minor Might Up for 2 turns. B: Gain Minor Might Up and Minor Guard Up for 2 turns.</t>
  </si>
  <si>
    <t>Default: Iron Stance. A: Gain Minor Might Up for 2 turns. B: Gain Minor Might Up and Minor Guard Up for 2 turns.</t>
  </si>
  <si>
    <t>Default: None. A: Restore 4 Magic Armour. B: Gain 6 Ward Magic Armour (add 6 to current Magic Armour and temporary Maximum Magic Armour) and Minor Focus Up for 2 turns.</t>
  </si>
  <si>
    <t>Default: Rune Mend. A: Restore 4 Magic Armour. B: Gain 6 Ward Magic Armour (add 6 to current Magic Armour and temporary Maximum Magic Armour) and Minor Focus Up for 2 turns.</t>
  </si>
  <si>
    <t>Default: Focused Ward. A: Restore 4 Magic Armour. B: Gain 6 Ward Magic Armour (add 6 to current Magic Armour and temporary Maximum Magic Armour) and Minor Focus Up for 2 turns.</t>
  </si>
  <si>
    <t>Default: Heartening Pulse. A: Restore 4 to whichever protection pool is currently lower. B: Gain Minor Guard Up and Minor Resolve Up for 2 turns.</t>
  </si>
  <si>
    <t>Default: Enduring Rhythm. A: Restore 4 to whichever protection pool is currently lower. B: Gain Minor Guard Up and Minor Resolve Up for 2 turns.</t>
  </si>
  <si>
    <t>Default: None. A: Gain Minor Dexterity Up for 2 turns. B: The next Finesse skill before the end of the next turn gains +15 Skill Power and +10 Precision.</t>
  </si>
  <si>
    <t>Default: Keen Edge. A: Gain Minor Dexterity Up for 2 turns. B: The next Finesse skill before the end of the next turn gains +15 Skill Power and +10 Precision.</t>
  </si>
  <si>
    <t>Default: Marked Opening. A: Gain Minor Dexterity Up for 2 turns. B: The next Finesse skill before the end of the next turn gains +15 Skill Power and +10 Precision.</t>
  </si>
  <si>
    <t>Default: None. A: Gain Minor Might Up for 2 turns. B: Gain 6 Fortified Armour (add 6 to current Armour and temporary Maximum Armour) and Minor Guard Up for 2 turns.</t>
  </si>
  <si>
    <t>Default: War Cry. A: Gain Minor Might Up for 2 turns. B: Gain 6 Fortified Armour (add 6 to current Armour and temporary Maximum Armour) and Minor Guard Up for 2 turns.</t>
  </si>
  <si>
    <t>Default: Unbroken Crest. A: Gain Minor Might Up for 2 turns. B: Gain 6 Fortified Armour (add 6 to current Armour and temporary Maximum Armour) and Minor Guard Up for 2 turns.</t>
  </si>
  <si>
    <t>Default: None. A: Gain Minor Focus Up for 2 turns. B: Gain 6 Ward Magic Armour (add 6 to current Magic Armour and temporary Maximum Magic Armour) and Minor Focus Up for 2 turns.</t>
  </si>
  <si>
    <t>Default: Arcane Clarity. A: Gain Minor Focus Up for 2 turns. B: Gain 6 Ward Magic Armour (add 6 to current Magic Armour and temporary Maximum Magic Armour) and Minor Focus Up for 2 turns.</t>
  </si>
  <si>
    <t>Default: Runic Crescendo. A: Gain Minor Focus Up for 2 turns. B: Gain 6 Ward Magic Armour (add 6 to current Magic Armour and temporary Maximum Magic Armour) and Minor Focus Up for 2 turns.</t>
  </si>
  <si>
    <t>Default: None. A: Restore 4 to whichever protection pool is currently lower. B: Gain 5 Fortified Armour (add 5 to current Armour and temporary Maximum Armour) and 5 Ward Magic Armour (add 5 to current Magic Armour and temporary Maximum Magic Armour) for 2 turns.</t>
  </si>
  <si>
    <t>Default: Balance Armour. A: Restore 4 to whichever protection pool is currently lower. B: Gain 5 Fortified Armour (add 5 to current Armour and temporary Maximum Armour) and 5 Ward Magic Armour (add 5 to current Magic Armour and temporary Maximum Magic Armour) for 2 turns.</t>
  </si>
  <si>
    <t>Ailment Resistance: 5%</t>
  </si>
  <si>
    <t>Default: Dual Aegis. A: Restore 4 to whichever protection pool is currently lower. B: Gain 5 Fortified Armour (add 5 to current Armour and temporary Maximum Armour) and 5 Ward Magic Armour (add 5 to current Magic Armour and temporary Maximum Magic Armour) for 2 turns.</t>
  </si>
  <si>
    <t>Ailment Resistance: 10%</t>
  </si>
  <si>
    <t>Ailment Resistance: 15%</t>
  </si>
  <si>
    <t>Ailment Resistance: 20%</t>
  </si>
  <si>
    <t>Weapon Damage Calculator</t>
  </si>
  <si>
    <t>Input</t>
  </si>
  <si>
    <t>Output</t>
  </si>
  <si>
    <t>Result</t>
  </si>
  <si>
    <t>Weapon Minimum</t>
  </si>
  <si>
    <t>Stat Damage Rating</t>
  </si>
  <si>
    <t>Scaling Stat × 2.5%</t>
  </si>
  <si>
    <t>Weapon Maximum</t>
  </si>
  <si>
    <t>Total Weapon Percentage</t>
  </si>
  <si>
    <t>Skill Power + Stat Rating</t>
  </si>
  <si>
    <t>Skill Power %</t>
  </si>
  <si>
    <t>Raw Minimum Damage</t>
  </si>
  <si>
    <t>Weapon Min × Total %</t>
  </si>
  <si>
    <t>Raw Maximum Damage</t>
  </si>
  <si>
    <t>Weapon Max × Total %</t>
  </si>
  <si>
    <t>Affinity Multiplier</t>
  </si>
  <si>
    <t>MAX(0, Defence − Penetration)</t>
  </si>
  <si>
    <t>Critical Multiplier</t>
  </si>
  <si>
    <t>Mitigation Rating</t>
  </si>
  <si>
    <t>Effective Defence × 2.5</t>
  </si>
  <si>
    <t>Defensive Stat</t>
  </si>
  <si>
    <t>Mitigation %</t>
  </si>
  <si>
    <t>Flat Penetration</t>
  </si>
  <si>
    <t>Post-Mitigation Minimum</t>
  </si>
  <si>
    <t>Raw Min × Affinity × Crit × (1 − Mitigation)</t>
  </si>
  <si>
    <t>Current Matching Armour</t>
  </si>
  <si>
    <t>Post-Mitigation Maximum</t>
  </si>
  <si>
    <t>Raw Max × Affinity × Crit × (1 − Mitigation)</t>
  </si>
  <si>
    <t>Current Health</t>
  </si>
  <si>
    <t>Minimum Health Damage</t>
  </si>
  <si>
    <t>MAX(0, Post-Min − Matching Armour)</t>
  </si>
  <si>
    <t>Maximum Health Damage</t>
  </si>
  <si>
    <t>MAX(0, Post-Max − Matching Armour)</t>
  </si>
  <si>
    <t>Ailment Roll Permitted?</t>
  </si>
  <si>
    <t>Yes if pool is zero or maximum hit overflows</t>
  </si>
  <si>
    <t>Armour, Magic Armour and Ailment-Gate Simulator</t>
  </si>
  <si>
    <t>Guard or Resolve after matching penetration</t>
  </si>
  <si>
    <t>Incoming Raw Damage</t>
  </si>
  <si>
    <t>Diminishing-return mitigation</t>
  </si>
  <si>
    <t>Post-Mitigation Damage</t>
  </si>
  <si>
    <t>Raw × (1 − Mitigation)</t>
  </si>
  <si>
    <t>Matching Pool Before</t>
  </si>
  <si>
    <t>Armour for Physical; Magic Armour for Magical</t>
  </si>
  <si>
    <t>Matching Pool After</t>
  </si>
  <si>
    <t>MAX(0, Pool − Damage)</t>
  </si>
  <si>
    <t>Health Damage</t>
  </si>
  <si>
    <t>MAX(0, Damage − Pool)</t>
  </si>
  <si>
    <t>Current Armour</t>
  </si>
  <si>
    <t>Health After</t>
  </si>
  <si>
    <t>MAX(0, Health − Health Damage)</t>
  </si>
  <si>
    <t>Current Magic Armour</t>
  </si>
  <si>
    <t>Permitted only if damage reaches Health</t>
  </si>
  <si>
    <t>Physical Armour After</t>
  </si>
  <si>
    <t>Updated physical pool</t>
  </si>
  <si>
    <t>Ailment Type</t>
  </si>
  <si>
    <t>Magic Armour After</t>
  </si>
  <si>
    <t>Updated magical pool</t>
  </si>
  <si>
    <t>Skill Rules — Weapon Skills, Restoration, Fortify and Ward v1.2</t>
  </si>
  <si>
    <t>Skill Power Guidance</t>
  </si>
  <si>
    <t>Armour Interaction</t>
  </si>
  <si>
    <t>Expiry</t>
  </si>
  <si>
    <t>The equipped weapon supplies the basic attack. Starting Basic weapons grant only this attack; later weapons replace it and may also grant extra skills.</t>
  </si>
  <si>
    <t>1</t>
  </si>
  <si>
    <t>100% of equipped weapon damage</t>
  </si>
  <si>
    <t>Normal damage resolution</t>
  </si>
  <si>
    <t>Tail Wand uses its 1–2 damage range plus Focus scaling.</t>
  </si>
  <si>
    <t>Weapon Skill 1</t>
  </si>
  <si>
    <t>Non-Basic weapons may grant a reliable first technique in addition to the equipped Basic Attack.</t>
  </si>
  <si>
    <t>2</t>
  </si>
  <si>
    <t>Pure damage 100–120%; utility skills proportionally lower</t>
  </si>
  <si>
    <t>May restore Armour/Magic Armour or include limited utility</t>
  </si>
  <si>
    <t>As stated</t>
  </si>
  <si>
    <t>Talon Cut: 110% Finesse weapon damage.</t>
  </si>
  <si>
    <t>Weapon Skill 2</t>
  </si>
  <si>
    <t>Non-Basic weapons may grant a stronger or utility second technique in addition to the equipped Basic Attack.</t>
  </si>
  <si>
    <t>3</t>
  </si>
  <si>
    <t>1 turn normally; 2 turns for Fortify/Ward; 3 turns for dual Bastion/Aegis</t>
  </si>
  <si>
    <t>Pure damage 130–150%; utility skills proportionally lower</t>
  </si>
  <si>
    <t>May grant restoration, Fortify, Ward, buffs, debuffs or ailments; overflow defence uses longer cooldowns</t>
  </si>
  <si>
    <t>Fortifying Slam: 85% damage + 6 Fortified Armour, 2-turn cooldown.</t>
  </si>
  <si>
    <t>No 4 EN weapon skill</t>
  </si>
  <si>
    <t>Weapon-granted Skill 2 is not a 4 EN skill.</t>
  </si>
  <si>
    <t>4 EN remains outside the standard weapon-granted pair.</t>
  </si>
  <si>
    <t>Weapon catalogue uses only 2 EN and 3 EN skills.</t>
  </si>
  <si>
    <t>Restore current Armour up to normal Maximum Armour; cannot exceed it.</t>
  </si>
  <si>
    <t>Usually 2</t>
  </si>
  <si>
    <t>1 turn</t>
  </si>
  <si>
    <t>No damage unless stated</t>
  </si>
  <si>
    <t>Does not exceed normal maximum</t>
  </si>
  <si>
    <t>Permanent until damaged</t>
  </si>
  <si>
    <t>No expiry</t>
  </si>
  <si>
    <t>18/24 + Restore 8 = 24/24.</t>
  </si>
  <si>
    <t>Restore current Magic Armour up to normal Maximum Magic Armour; cannot exceed it.</t>
  </si>
  <si>
    <t>10/18 + Restore 6 = 16/18.</t>
  </si>
  <si>
    <t>Add the Fortify value to current Armour and temporary Maximum Armour for the duration.</t>
  </si>
  <si>
    <t>Usually 3</t>
  </si>
  <si>
    <t>2 turns</t>
  </si>
  <si>
    <t>Utility consumes direct damage budget</t>
  </si>
  <si>
    <t>Heals missing Armour, may exceed normal maximum, and blocks physical ailments while Armour remains</t>
  </si>
  <si>
    <t>Usually 2 turns</t>
  </si>
  <si>
    <t>MIN(Current Armour, Normal Maximum Armour)</t>
  </si>
  <si>
    <t>20/24 + Fortify 12 = 32/36; expiry at 27/36 becomes 24/24.</t>
  </si>
  <si>
    <t>Add the Ward value to current Magic Armour and temporary Maximum Magic Armour for the duration.</t>
  </si>
  <si>
    <t>Heals missing Magic Armour, may exceed normal maximum, and blocks magical ailments while Magic Armour remains</t>
  </si>
  <si>
    <t>MIN(Current Magic Armour, Normal Maximum Magic Armour)</t>
  </si>
  <si>
    <t>15/18 + Ward 8 = 23/26; expiry at 21/26 becomes 18/18.</t>
  </si>
  <si>
    <t>Dual Bastion / Aegis</t>
  </si>
  <si>
    <t>Rare effects add to both current protection pools and both temporary maximums.</t>
  </si>
  <si>
    <t>3 turns</t>
  </si>
  <si>
    <t>Amounts are lower than specialised Fortify or Ward</t>
  </si>
  <si>
    <t>Both pools can exceed normal maximum during the effect</t>
  </si>
  <si>
    <t>1–2 turns</t>
  </si>
  <si>
    <t>Each pool separately returns to its normal maximum</t>
  </si>
  <si>
    <t>Gain 5 Fortified Armour and 5 Ward Magic Armour for 2 turns; 3-turn cooldown.</t>
  </si>
  <si>
    <t>Fortify stacking</t>
  </si>
  <si>
    <t>Fortify does not stack with itself. Reapplication uses the greater active bonus and refreshes duration.</t>
  </si>
  <si>
    <t>Same rule for Ward</t>
  </si>
  <si>
    <t>Normal maximum is unchanged</t>
  </si>
  <si>
    <t>Fortify 8 followed by Fortify 12 becomes Fortify 12.</t>
  </si>
  <si>
    <t>Barrier migration</t>
  </si>
  <si>
    <t>Physical Barrier → Armour/Fortify; Magical Barrier → Magic Armour/Ward</t>
  </si>
  <si>
    <t>All active skills specify Armour, Magic Armour, Fortify or Ward.</t>
  </si>
  <si>
    <t>Ailment protection</t>
  </si>
  <si>
    <t>Temporary Armour and Magic Armour protect against corresponding ailments.</t>
  </si>
  <si>
    <t>Ailment roll requires the matching pool to be zero and the hit to damage Health</t>
  </si>
  <si>
    <t>While pool remains</t>
  </si>
  <si>
    <t>Fortify can temporarily block Bleed again.</t>
  </si>
  <si>
    <t>Multi-hit power</t>
  </si>
  <si>
    <t>Skill Power is the total across all hits.</t>
  </si>
  <si>
    <t>2 or 3</t>
  </si>
  <si>
    <t>By EN</t>
  </si>
  <si>
    <t>Split the stated total between hits</t>
  </si>
  <si>
    <t>Each hit resolves protection normally</t>
  </si>
  <si>
    <t>120% total may be 60% + 60%.</t>
  </si>
  <si>
    <t>Equipment skill availability</t>
  </si>
  <si>
    <t>Grey grants no bonus equipment skill; Green/Blue default to Pool A; Purple/Gold/Orange default to Pool B. Loot variants may roll either eligible pool skill where allowed.</t>
  </si>
  <si>
    <t>By skill</t>
  </si>
  <si>
    <t>Equipment utility uses the same 2 EN/3 EN structure</t>
  </si>
  <si>
    <t>Defined by each skill</t>
  </si>
  <si>
    <t>Shadowplume may roll Featherstep or Vanishing Plumage.</t>
  </si>
  <si>
    <t>New</t>
  </si>
  <si>
    <t>Weapon Skill Library — 36 Granted Weapon Skills v1.2</t>
  </si>
  <si>
    <t>Skill Slot</t>
  </si>
  <si>
    <t>Skill Name</t>
  </si>
  <si>
    <t>Skill Type</t>
  </si>
  <si>
    <t>Armour / Ailment Interaction</t>
  </si>
  <si>
    <t>Full Effect</t>
  </si>
  <si>
    <t>Power Audit</t>
  </si>
  <si>
    <t>WSK-001</t>
  </si>
  <si>
    <t>Pure Damage</t>
  </si>
  <si>
    <t>Normal weapon damage and protection resolution.</t>
  </si>
  <si>
    <t>WSK-002</t>
  </si>
  <si>
    <t>Damage + Utility</t>
  </si>
  <si>
    <t>Bleed roll only after Armour is broken and Health is damaged.</t>
  </si>
  <si>
    <t>WSK-003</t>
  </si>
  <si>
    <t>WSK-004</t>
  </si>
  <si>
    <t>WSK-005</t>
  </si>
  <si>
    <t>WSK-006</t>
  </si>
  <si>
    <t>WSK-007</t>
  </si>
  <si>
    <t>WSK-008</t>
  </si>
  <si>
    <t>WSK-009</t>
  </si>
  <si>
    <t>Damage + Ailment</t>
  </si>
  <si>
    <t>Dazed applies only after Armour is broken and Health is damaged.</t>
  </si>
  <si>
    <t>WSK-010</t>
  </si>
  <si>
    <t>Adds to current Armour and temporary Maximum Armour; blocks physical ailments while Armour remains.</t>
  </si>
  <si>
    <t>WSK-011</t>
  </si>
  <si>
    <t>WSK-012</t>
  </si>
  <si>
    <t>Adds to current Magic Armour and temporary Maximum Magic Armour; blocks magical ailments while Magic Armour remains.</t>
  </si>
  <si>
    <t>WSK-013</t>
  </si>
  <si>
    <t>Magical rider requires Magic Armour broken and Health damaged unless the effect is self-targeted.</t>
  </si>
  <si>
    <t>WSK-014</t>
  </si>
  <si>
    <t>WSK-015</t>
  </si>
  <si>
    <t>WSK-016</t>
  </si>
  <si>
    <t>WSK-017</t>
  </si>
  <si>
    <t>WSK-018</t>
  </si>
  <si>
    <t>Restoration cannot exceed the normal maximum unless the text says Fortify or Ward.</t>
  </si>
  <si>
    <t>WSK-019</t>
  </si>
  <si>
    <t>WSK-020</t>
  </si>
  <si>
    <t>Crippled applies only after Armour is broken and Health is damaged.</t>
  </si>
  <si>
    <t>WSK-021</t>
  </si>
  <si>
    <t>WSK-022</t>
  </si>
  <si>
    <t>WSK-023</t>
  </si>
  <si>
    <t>WSK-024</t>
  </si>
  <si>
    <t>WSK-025</t>
  </si>
  <si>
    <t>WSK-026</t>
  </si>
  <si>
    <t>Fracture applies only after Armour is broken and Health is damaged.</t>
  </si>
  <si>
    <t>WSK-027</t>
  </si>
  <si>
    <t>WSK-028</t>
  </si>
  <si>
    <t>WSK-029</t>
  </si>
  <si>
    <t>WSK-030</t>
  </si>
  <si>
    <t>WSK-031</t>
  </si>
  <si>
    <t>WSK-032</t>
  </si>
  <si>
    <t>Adds to both current pools and temporary maximums; both pools block their matching ailments.</t>
  </si>
  <si>
    <t>WSK-033</t>
  </si>
  <si>
    <t>WSK-034</t>
  </si>
  <si>
    <t>WSK-035</t>
  </si>
  <si>
    <t>WSK-036</t>
  </si>
  <si>
    <t>Equipment Skill Library — 64 Armour, Helmet, Shield and Accessory Skills v1.2</t>
  </si>
  <si>
    <t>Pool</t>
  </si>
  <si>
    <t>Armour Change</t>
  </si>
  <si>
    <t>Magic Armour Change</t>
  </si>
  <si>
    <t>Minimum Rarity</t>
  </si>
  <si>
    <t>ESK-001</t>
  </si>
  <si>
    <t>Defensive Set</t>
  </si>
  <si>
    <t>A</t>
  </si>
  <si>
    <t>Restore to normal maximum</t>
  </si>
  <si>
    <t>ESK-002</t>
  </si>
  <si>
    <t>B</t>
  </si>
  <si>
    <t>Heal current Armour + temporary overflow (Fortify)</t>
  </si>
  <si>
    <t>ESK-003</t>
  </si>
  <si>
    <t>Buff + Physical Cleanse</t>
  </si>
  <si>
    <t>ESK-004</t>
  </si>
  <si>
    <t>Fortify + Buff</t>
  </si>
  <si>
    <t>ESK-005</t>
  </si>
  <si>
    <t>ESK-006</t>
  </si>
  <si>
    <t>ESK-007</t>
  </si>
  <si>
    <t>ESK-008</t>
  </si>
  <si>
    <t>Heal current Magic Armour + temporary overflow (Ward)</t>
  </si>
  <si>
    <t>ESK-009</t>
  </si>
  <si>
    <t>Restoration + Utility</t>
  </si>
  <si>
    <t>ESK-010</t>
  </si>
  <si>
    <t>Ward + Buff</t>
  </si>
  <si>
    <t>ESK-011</t>
  </si>
  <si>
    <t>ESK-012</t>
  </si>
  <si>
    <t>ESK-013</t>
  </si>
  <si>
    <t>Dual Restoration</t>
  </si>
  <si>
    <t>Conditional / split restoration</t>
  </si>
  <si>
    <t>ESK-014</t>
  </si>
  <si>
    <t>Fortify + Ward</t>
  </si>
  <si>
    <t>ESK-015</t>
  </si>
  <si>
    <t>ESK-016</t>
  </si>
  <si>
    <t>ESK-017</t>
  </si>
  <si>
    <t>ESK-018</t>
  </si>
  <si>
    <t>ESK-019</t>
  </si>
  <si>
    <t>Buff + Restoration</t>
  </si>
  <si>
    <t>ESK-020</t>
  </si>
  <si>
    <t>ESK-021</t>
  </si>
  <si>
    <t>Buff</t>
  </si>
  <si>
    <t>ESK-022</t>
  </si>
  <si>
    <t>Fortify + Ward + Buff</t>
  </si>
  <si>
    <t>ESK-023</t>
  </si>
  <si>
    <t>Restoration + Buff + Physical Cleanse</t>
  </si>
  <si>
    <t>ESK-024</t>
  </si>
  <si>
    <t>ESK-025</t>
  </si>
  <si>
    <t>ESK-026</t>
  </si>
  <si>
    <t>ESK-027</t>
  </si>
  <si>
    <t>ESK-028</t>
  </si>
  <si>
    <t>Attack Setup</t>
  </si>
  <si>
    <t>ESK-029</t>
  </si>
  <si>
    <t>Restoration + Attack Setup</t>
  </si>
  <si>
    <t>ESK-030</t>
  </si>
  <si>
    <t>Fortify + Attack Setup</t>
  </si>
  <si>
    <t>ESK-031</t>
  </si>
  <si>
    <t>ESK-032</t>
  </si>
  <si>
    <t>ESK-033</t>
  </si>
  <si>
    <t>ESK-034</t>
  </si>
  <si>
    <t>ESK-035</t>
  </si>
  <si>
    <t>ESK-036</t>
  </si>
  <si>
    <t>Ward + Attack Setup</t>
  </si>
  <si>
    <t>ESK-037</t>
  </si>
  <si>
    <t>ESK-038</t>
  </si>
  <si>
    <t>ESK-039</t>
  </si>
  <si>
    <t>ESK-040</t>
  </si>
  <si>
    <t>ESK-041</t>
  </si>
  <si>
    <t>ESK-042</t>
  </si>
  <si>
    <t>ESK-043</t>
  </si>
  <si>
    <t>ESK-044</t>
  </si>
  <si>
    <t>Ward + Resistance</t>
  </si>
  <si>
    <t>ESK-045</t>
  </si>
  <si>
    <t>ESK-046</t>
  </si>
  <si>
    <t>Ward + Utility</t>
  </si>
  <si>
    <t>ESK-047</t>
  </si>
  <si>
    <t>ESK-048</t>
  </si>
  <si>
    <t>ESK-049</t>
  </si>
  <si>
    <t>Accessory</t>
  </si>
  <si>
    <t>ESK-050</t>
  </si>
  <si>
    <t>ESK-051</t>
  </si>
  <si>
    <t>ESK-052</t>
  </si>
  <si>
    <t>ESK-053</t>
  </si>
  <si>
    <t>ESK-054</t>
  </si>
  <si>
    <t>ESK-055</t>
  </si>
  <si>
    <t>ESK-056</t>
  </si>
  <si>
    <t>ESK-057</t>
  </si>
  <si>
    <t>ESK-058</t>
  </si>
  <si>
    <t>ESK-059</t>
  </si>
  <si>
    <t>ESK-060</t>
  </si>
  <si>
    <t>ESK-061</t>
  </si>
  <si>
    <t>ESK-062</t>
  </si>
  <si>
    <t>ESK-063</t>
  </si>
  <si>
    <t>ESK-064</t>
  </si>
  <si>
    <t>Fortify and Ward Healing, Overflow and Cooldown Simulator v1.2</t>
  </si>
  <si>
    <t>Fortify — Armour Healing + Overflow</t>
  </si>
  <si>
    <t>Ward — Magic Armour Healing + Overflow</t>
  </si>
  <si>
    <t>Normal Maximum Armour</t>
  </si>
  <si>
    <t>Temporary Maximum Armour</t>
  </si>
  <si>
    <t>Normal Maximum Magic Armour</t>
  </si>
  <si>
    <t>Temporary Maximum Magic Armour</t>
  </si>
  <si>
    <t>Armour after Fortify</t>
  </si>
  <si>
    <t>Magic Armour after Ward</t>
  </si>
  <si>
    <t>Fortify Gain</t>
  </si>
  <si>
    <t>Armour after Damage</t>
  </si>
  <si>
    <t>Ward Gain</t>
  </si>
  <si>
    <t>Magic Armour after Damage</t>
  </si>
  <si>
    <t>Damage Taken During Effect</t>
  </si>
  <si>
    <t>Armour after Expiry</t>
  </si>
  <si>
    <t>Magic Armour after Expiry</t>
  </si>
  <si>
    <t>Duration (turns)</t>
  </si>
  <si>
    <t>Cooldown (turns)</t>
  </si>
  <si>
    <t>Expiry Rule</t>
  </si>
  <si>
    <t>Key Behaviour</t>
  </si>
  <si>
    <t>Fortify and Ward add their full value to the current protection pool and raise its temporary maximum by the same amount.</t>
  </si>
  <si>
    <t>Restoration only heals the current pool up to its normal maximum and uses a shorter 1-turn cooldown.</t>
  </si>
  <si>
    <t>Fortify and Ward usually last 2 turns and use a 2-turn cooldown. Dual Bastion/Aegis effects use a 3-turn cooldown.</t>
  </si>
  <si>
    <t>When a temporary effect expires, only protection above the normal maximum is removed; protection below the maximum remains unchanged.</t>
  </si>
  <si>
    <t>Temporary Armour and Magic Armour count as their normal pools and block matching ailments while any points remain.</t>
  </si>
  <si>
    <t>Structured Skills Register — Effect Schema v1</t>
  </si>
  <si>
    <t>Authoritative action-level data. Mechanics are stored relationally in Skill Effects; legacy Full Effect text remains for migration comparison only.</t>
  </si>
  <si>
    <t>Source Category</t>
  </si>
  <si>
    <t>Source Family / Set</t>
  </si>
  <si>
    <t>Skill Slot / Pool</t>
  </si>
  <si>
    <t>Source ID</t>
  </si>
  <si>
    <t>Effect Count</t>
  </si>
  <si>
    <t>Structured Status</t>
  </si>
  <si>
    <t>Review Note</t>
  </si>
  <si>
    <t>Legacy Full Effect</t>
  </si>
  <si>
    <t>BAS-B01</t>
  </si>
  <si>
    <t>Tail Wand Basic Attack</t>
  </si>
  <si>
    <t>Basic Starting Weapon</t>
  </si>
  <si>
    <t>Structured</t>
  </si>
  <si>
    <t>BAS-B02</t>
  </si>
  <si>
    <t>Beak Stab Basic Attack</t>
  </si>
  <si>
    <t>BAS-B03</t>
  </si>
  <si>
    <t>Broken Song Basic Attack</t>
  </si>
  <si>
    <t>BAS-B04</t>
  </si>
  <si>
    <t>Talon Scratch Basic Attack</t>
  </si>
  <si>
    <t>BAS-B05</t>
  </si>
  <si>
    <t>Plume Syphon Basic Attack</t>
  </si>
  <si>
    <t>Weapon Skill</t>
  </si>
  <si>
    <t>Structured - Review</t>
  </si>
  <si>
    <t>Dynamic source ailment requires importer/runtime source resolution.</t>
  </si>
  <si>
    <t>Complex conditional/source-driven effect should be reviewed.</t>
  </si>
  <si>
    <t>Selected rune rider remains source-defined.</t>
  </si>
  <si>
    <t>Player-choice effect requires choice UI/runtime support.</t>
  </si>
  <si>
    <t>Skill Effects — Relational Structured Mechanics</t>
  </si>
  <si>
    <t>One row per effect. Effect Order controls resolution. Blank fields are not applicable to that effect type.</t>
  </si>
  <si>
    <t>Effect Order</t>
  </si>
  <si>
    <t>Effect Type</t>
  </si>
  <si>
    <t>Trigger</t>
  </si>
  <si>
    <t>Power %</t>
  </si>
  <si>
    <t>Hit Count</t>
  </si>
  <si>
    <t>Ailment ID</t>
  </si>
  <si>
    <t>Stacks</t>
  </si>
  <si>
    <t>Chance %</t>
  </si>
  <si>
    <t>Amount</t>
  </si>
  <si>
    <t>Duration Turns</t>
  </si>
  <si>
    <t>Stat</t>
  </si>
  <si>
    <t>Modifier Tier</t>
  </si>
  <si>
    <t>Modifier Value</t>
  </si>
  <si>
    <t>Operation</t>
  </si>
  <si>
    <t>Condition Type</t>
  </si>
  <si>
    <t>Condition Value</t>
  </si>
  <si>
    <t>Penetration Stat</t>
  </si>
  <si>
    <t>Penetration Amount</t>
  </si>
  <si>
    <t>Restriction / Selection</t>
  </si>
  <si>
    <t>damage</t>
  </si>
  <si>
    <t>onUse</t>
  </si>
  <si>
    <t>enemy</t>
  </si>
  <si>
    <t>magic</t>
  </si>
  <si>
    <t>focus</t>
  </si>
  <si>
    <t>martial</t>
  </si>
  <si>
    <t>might</t>
  </si>
  <si>
    <t>dexterity</t>
  </si>
  <si>
    <t>modifyStat</t>
  </si>
  <si>
    <t>self</t>
  </si>
  <si>
    <t>precision</t>
  </si>
  <si>
    <t>increaseFlat</t>
  </si>
  <si>
    <t>actorAgilityHigher</t>
  </si>
  <si>
    <t>applyAilment</t>
  </si>
  <si>
    <t>afterAllHits</t>
  </si>
  <si>
    <t>bleed</t>
  </si>
  <si>
    <t>allHitsDamagedHealth</t>
  </si>
  <si>
    <t>onHealthDamage</t>
  </si>
  <si>
    <t>armourBroken</t>
  </si>
  <si>
    <t>skillPower</t>
  </si>
  <si>
    <t>dodgedPreviousAttack</t>
  </si>
  <si>
    <t>onHit</t>
  </si>
  <si>
    <t>agility</t>
  </si>
  <si>
    <t>increasePercent</t>
  </si>
  <si>
    <t>dazed</t>
  </si>
  <si>
    <t>temporaryProtection</t>
  </si>
  <si>
    <t>armour</t>
  </si>
  <si>
    <t>fortifyRefresh</t>
  </si>
  <si>
    <t>Fortify: heal current Armour and raise temporary maximum.</t>
  </si>
  <si>
    <t>magicArmour</t>
  </si>
  <si>
    <t>wardRefresh</t>
  </si>
  <si>
    <t>Ward: heal current Magic Armour and raise temporary maximum.</t>
  </si>
  <si>
    <t>sourceAilment</t>
  </si>
  <si>
    <t>magicArmourBroken</t>
  </si>
  <si>
    <t>Resolve ailment and/or chance from equipped source.</t>
  </si>
  <si>
    <t>decreasePercent</t>
  </si>
  <si>
    <t>modifyAilmentChance</t>
  </si>
  <si>
    <t>percentagePoints</t>
  </si>
  <si>
    <t>sourceMatchingAilment</t>
  </si>
  <si>
    <t>restoreProtection</t>
  </si>
  <si>
    <t>normalMaximum</t>
  </si>
  <si>
    <t>crippled</t>
  </si>
  <si>
    <t>penetration</t>
  </si>
  <si>
    <t>guard</t>
  </si>
  <si>
    <t>thisAttack</t>
  </si>
  <si>
    <t>fracture</t>
  </si>
  <si>
    <t>lifesteal</t>
  </si>
  <si>
    <t>afterHealthDamage</t>
  </si>
  <si>
    <t>percentOfHealthDamage</t>
  </si>
  <si>
    <t>targetHpBelow</t>
  </si>
  <si>
    <t>resolveSourceRider</t>
  </si>
  <si>
    <t>grimoireSelectedRune</t>
  </si>
  <si>
    <t>chooseStatModifier</t>
  </si>
  <si>
    <t>choice:might|dexterity|focus</t>
  </si>
  <si>
    <t>resolve</t>
  </si>
  <si>
    <t>cleanse</t>
  </si>
  <si>
    <t>doesNotRemove:concussed</t>
  </si>
  <si>
    <t>modifyStatusDuration</t>
  </si>
  <si>
    <t>turns</t>
  </si>
  <si>
    <t>hasMagicalStatDebuff</t>
  </si>
  <si>
    <t>lowestProtection</t>
  </si>
  <si>
    <t>doesNotRemove:immobilised</t>
  </si>
  <si>
    <t>doesNotRemove:shattered</t>
  </si>
  <si>
    <t>nextMatchingSkill</t>
  </si>
  <si>
    <t>armNextSkill</t>
  </si>
  <si>
    <t>skillCategory:strength</t>
  </si>
  <si>
    <t>Bonuses are represented in separate modifyStat/penetration effect rows.</t>
  </si>
  <si>
    <t>skillCategory:magic</t>
  </si>
  <si>
    <t>incomingMagicalAilments</t>
  </si>
  <si>
    <t>modifyNextStatusDuration</t>
  </si>
  <si>
    <t>nextIncomingMagicalDebuff;minimum1</t>
  </si>
  <si>
    <t>skillCategory:finesse</t>
  </si>
  <si>
    <t>Effect Schema v1 — Definitions and Required Fields</t>
  </si>
  <si>
    <t>Required Fields</t>
  </si>
  <si>
    <t>Common Optional Fields</t>
  </si>
  <si>
    <t>Default Trigger</t>
  </si>
  <si>
    <t>Default Target</t>
  </si>
  <si>
    <t>Runtime Handler</t>
  </si>
  <si>
    <t>Deal Martial, Magic, Pure or Hybrid damage.</t>
  </si>
  <si>
    <t>Damage Type; Power %; Scaling Stat; Hit Count</t>
  </si>
  <si>
    <t>Conditions; Penetration</t>
  </si>
  <si>
    <t>executeDamageEffect</t>
  </si>
  <si>
    <t>Hybrid damage should use explicit portions in Additional Effects JSON when introduced.</t>
  </si>
  <si>
    <t>Apply ailment stacks or a source-defined ailment.</t>
  </si>
  <si>
    <t>Ailment ID; Stacks; Chance %; Trigger</t>
  </si>
  <si>
    <t>Condition Type; Protection gate</t>
  </si>
  <si>
    <t>executeAilmentEffect</t>
  </si>
  <si>
    <t>Use onHealthDamage for Armour/Magic Armour-gated ailments.</t>
  </si>
  <si>
    <t>Restore Armour or Magic Armour up to normal maximum.</t>
  </si>
  <si>
    <t>Protection Pool; Amount</t>
  </si>
  <si>
    <t>Restriction</t>
  </si>
  <si>
    <t>executeRestoreProtectionEffect</t>
  </si>
  <si>
    <t>Pools: armour, magicArmour, lowestProtection, both.</t>
  </si>
  <si>
    <t>Apply Fortify or Ward overflow protection.</t>
  </si>
  <si>
    <t>Protection Pool; Amount; Duration Turns</t>
  </si>
  <si>
    <t>executeTemporaryProtectionEffect</t>
  </si>
  <si>
    <t>Restriction identifies Fortify/Ward refresh behaviour.</t>
  </si>
  <si>
    <t>Apply flat or percentage stat changes.</t>
  </si>
  <si>
    <t>Stat; Modifier Value; Operation</t>
  </si>
  <si>
    <t>Tier; Duration; Conditions</t>
  </si>
  <si>
    <t>self/enemy</t>
  </si>
  <si>
    <t>executeStatModifierEffect</t>
  </si>
  <si>
    <t>Minor/Moderate/Major tier remains visible for design identity.</t>
  </si>
  <si>
    <t>Allow the user to choose one of several valid stat modifiers.</t>
  </si>
  <si>
    <t>Restriction / Selection; Tier; Duration</t>
  </si>
  <si>
    <t>executeChoiceEffect</t>
  </si>
  <si>
    <t>Requires choice UI and enemy AI selection logic.</t>
  </si>
  <si>
    <t>Remove ailment stacks or negative effects.</t>
  </si>
  <si>
    <t>Ailment ID or category; Stacks/count</t>
  </si>
  <si>
    <t>executeCleanseEffect</t>
  </si>
  <si>
    <t>Evolved ailments may be explicitly excluded.</t>
  </si>
  <si>
    <t>Ignore a defence stat for an attack or armed skill.</t>
  </si>
  <si>
    <t>Penetration Stat; Penetration Amount</t>
  </si>
  <si>
    <t>Restriction; Trigger</t>
  </si>
  <si>
    <t>executePenetrationEffect</t>
  </si>
  <si>
    <t>Usually applies to thisAttack or nextMatchingSkill.</t>
  </si>
  <si>
    <t>Heal from actual Health damage dealt.</t>
  </si>
  <si>
    <t>Modifier Value; Operation</t>
  </si>
  <si>
    <t>Conditions</t>
  </si>
  <si>
    <t>executeLifestealEffect</t>
  </si>
  <si>
    <t>Does not heal from protection damage.</t>
  </si>
  <si>
    <t>Change incoming or source-matching ailment application chance.</t>
  </si>
  <si>
    <t>Modifier Value; Operation; Restriction</t>
  </si>
  <si>
    <t>executeAilmentChanceEffect</t>
  </si>
  <si>
    <t>Use percentage points rather than multiplicative percent.</t>
  </si>
  <si>
    <t>Change the duration of an existing status.</t>
  </si>
  <si>
    <t>executeStatusDurationEffect</t>
  </si>
  <si>
    <t>Duration cannot fall below the authored minimum.</t>
  </si>
  <si>
    <t>Arm a modifier for the next incoming status.</t>
  </si>
  <si>
    <t>Modifier Value; Restriction</t>
  </si>
  <si>
    <t>executeNextStatusDurationEffect</t>
  </si>
  <si>
    <t>Used by effects such as Hex Guard.</t>
  </si>
  <si>
    <t>Arm a bonus for the next matching skill.</t>
  </si>
  <si>
    <t>Restriction / Selection; Duration Turns</t>
  </si>
  <si>
    <t>Separate stat/penetration rows</t>
  </si>
  <si>
    <t>executeArmNextSkillEffect</t>
  </si>
  <si>
    <t>The bonus components remain separate effect rows.</t>
  </si>
  <si>
    <t>Resolve a rider selected or supplied by the equipped source.</t>
  </si>
  <si>
    <t>Trigger; Conditions</t>
  </si>
  <si>
    <t>executeSourceRiderEffect</t>
  </si>
  <si>
    <t>Used by Grimoire runes and future source-selected effects.</t>
  </si>
  <si>
    <t>customLegacy</t>
  </si>
  <si>
    <t>Temporary exception for mechanics not yet represented safely.</t>
  </si>
  <si>
    <t>All</t>
  </si>
  <si>
    <t>varies</t>
  </si>
  <si>
    <t>legacyEffectAdapter</t>
  </si>
  <si>
    <t>Must be removed before runtime prose parsing is retired.</t>
  </si>
  <si>
    <t>Structured Effect Validation Lists</t>
  </si>
  <si>
    <t>Schema Version</t>
  </si>
  <si>
    <t>decreaseFlat</t>
  </si>
  <si>
    <t>attacker</t>
  </si>
  <si>
    <t>pure</t>
  </si>
  <si>
    <t>concussed</t>
  </si>
  <si>
    <t>Legacy Exception</t>
  </si>
  <si>
    <t>defender</t>
  </si>
  <si>
    <t>hybrid</t>
  </si>
  <si>
    <t>both</t>
  </si>
  <si>
    <t>immobilised</t>
  </si>
  <si>
    <t>endOfTurn</t>
  </si>
  <si>
    <t>vitality</t>
  </si>
  <si>
    <t>shattered</t>
  </si>
  <si>
    <t>poison</t>
  </si>
  <si>
    <t>toxic</t>
  </si>
  <si>
    <t>burn</t>
  </si>
  <si>
    <t>scorched</t>
  </si>
  <si>
    <t>chilled</t>
  </si>
  <si>
    <t>frozen</t>
  </si>
  <si>
    <t>shock</t>
  </si>
  <si>
    <t>paralysed</t>
  </si>
  <si>
    <t xml:space="preserve">L1 Max Health</t>
  </si>
  <si>
    <t xml:space="preserve">Base Precision</t>
  </si>
  <si>
    <t xml:space="preserve">Class Precision</t>
  </si>
  <si>
    <t xml:space="preserve">Size Precision Modifier</t>
  </si>
  <si>
    <t xml:space="preserve">Species Precision Modifier</t>
  </si>
  <si>
    <t xml:space="preserve">Precision Identity</t>
  </si>
  <si>
    <t xml:space="preserve">Starter rogue; class baseline carries accuracy.</t>
  </si>
  <si>
    <t xml:space="preserve">Extreme control and rapid adjustment.</t>
  </si>
  <si>
    <t xml:space="preserve"/>
  </si>
  <si>
    <t xml:space="preserve">Aerial hunting specialist.</t>
  </si>
  <si>
    <t xml:space="preserve">Ground-based close-range forager.</t>
  </si>
  <si>
    <t xml:space="preserve">Slow and deliberate.</t>
  </si>
  <si>
    <t xml:space="preserve">Powerful but unwieldy.</t>
  </si>
  <si>
    <t xml:space="preserve">Boss Base Precision 86; no hidden guaranteed hit.</t>
  </si>
  <si>
    <t xml:space="preserve">Small, agile and precise.</t>
  </si>
  <si>
    <t xml:space="preserve">Fast precision striker.</t>
  </si>
  <si>
    <t xml:space="preserve">Silent and controlled hunter.</t>
  </si>
  <si>
    <t xml:space="preserve">Large bill and wide attacks.</t>
  </si>
  <si>
    <t xml:space="preserve">Heavy and slow-moving.</t>
  </si>
  <si>
    <t xml:space="preserve">Awkward body and movement.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</si>
</sst>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%"/>
  </numFmts>
  <fonts count="12">
    <font>
      <sz val="11.0"/>
      <color rgb="FF000000"/>
      <name val="Arial"/>
      <scheme val="minor"/>
    </font>
    <font>
      <b/>
      <sz val="16.0"/>
      <color rgb="FFFFFFFF"/>
      <name val="Carlito"/>
    </font>
    <font>
      <i/>
      <sz val="11.0"/>
      <color rgb="FFFFFFFF"/>
      <name val="Carlito"/>
    </font>
    <font>
      <b/>
      <sz val="11.0"/>
      <color rgb="FFFFFFFF"/>
      <name val="Carlito"/>
    </font>
    <font>
      <sz val="11.0"/>
      <color rgb="FF1F2937"/>
      <name val="Carlito"/>
    </font>
    <font>
      <sz val="11.0"/>
      <name val="Carlito"/>
    </font>
    <font>
      <b/>
      <sz val="11.0"/>
      <name val="Carlito"/>
    </font>
    <font>
      <b/>
      <sz val="13.0"/>
      <color rgb="FFFFFFFF"/>
      <name val="Carlito"/>
    </font>
    <font>
      <b/>
      <sz val="15.0"/>
      <color rgb="FFFFFFFF"/>
      <name val="Carlito"/>
    </font>
    <font>
      <b/>
      <sz val="17.0"/>
      <color rgb="FFFFFFFF"/>
      <name val="Carlito"/>
    </font>
    <font>
      <i/>
      <sz val="11.0"/>
      <color rgb="FF0F172A"/>
      <name val="Carlito"/>
    </font>
    <font>
      <i/>
      <sz val="11.0"/>
      <color rgb="FF334E68"/>
      <name val="Carlito"/>
    </font>
  </fonts>
  <fills count="16">
    <fill>
      <patternFill patternType="none"/>
    </fill>
    <fill>
      <patternFill patternType="lightGray"/>
    </fill>
    <fill>
      <patternFill patternType="solid">
        <fgColor rgb="FF16324F"/>
        <bgColor rgb="FF16324F"/>
      </patternFill>
    </fill>
    <fill>
      <patternFill patternType="solid">
        <fgColor rgb="FF2A6F77"/>
        <bgColor rgb="FF2A6F77"/>
      </patternFill>
    </fill>
    <fill>
      <patternFill patternType="solid">
        <fgColor rgb="FF315B7D"/>
        <bgColor rgb="FF315B7D"/>
      </patternFill>
    </fill>
    <fill>
      <patternFill patternType="solid">
        <fgColor rgb="FFD9EAF7"/>
        <bgColor rgb="FFD9EAF7"/>
      </patternFill>
    </fill>
    <fill>
      <patternFill patternType="solid">
        <fgColor rgb="FF1F4E78"/>
        <bgColor rgb="FF1F4E78"/>
      </patternFill>
    </fill>
    <fill>
      <patternFill patternType="solid">
        <fgColor rgb="FF2F75B5"/>
        <bgColor rgb="FF2F75B5"/>
      </patternFill>
    </fill>
    <fill>
      <patternFill patternType="solid">
        <fgColor rgb="FF7F1D1D"/>
        <bgColor rgb="FF7F1D1D"/>
      </patternFill>
    </fill>
    <fill>
      <patternFill patternType="solid">
        <fgColor rgb="FF991B1B"/>
        <bgColor rgb="FF991B1B"/>
      </patternFill>
    </fill>
    <fill>
      <patternFill patternType="solid">
        <fgColor rgb="FF1F2937"/>
        <bgColor rgb="FF1F2937"/>
      </patternFill>
    </fill>
    <fill>
      <patternFill patternType="solid">
        <fgColor rgb="FF334155"/>
        <bgColor rgb="FF334155"/>
      </patternFill>
    </fill>
    <fill>
      <patternFill patternType="solid">
        <fgColor rgb="FF475569"/>
        <bgColor rgb="FF475569"/>
      </patternFill>
    </fill>
    <fill>
      <patternFill patternType="solid">
        <fgColor rgb="FF243447"/>
        <bgColor rgb="FF243447"/>
      </patternFill>
    </fill>
    <fill>
      <patternFill patternType="solid">
        <fgColor rgb="FFF1F5F9"/>
        <bgColor rgb="FFF1F5F9"/>
      </patternFill>
    </fill>
    <fill>
      <patternFill patternType="solid">
        <fgColor rgb="FFEAF2F8"/>
        <bgColor rgb="FFEAF2F8"/>
      </patternFill>
    </fill>
  </fills>
  <borders count="1">
    <border/>
  </borders>
  <cellStyleXfs count="1">
    <xf borderId="0" fillId="0" fontId="0" numFmtId="0" applyAlignment="1" applyFont="1"/>
  </cellStyleXfs>
  <cellXfs count="32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shrinkToFit="0" vertical="center" wrapText="1"/>
    </xf>
    <xf borderId="0" fillId="3" fontId="2" numFmtId="0" xfId="0" applyAlignment="1" applyFill="1" applyFont="1">
      <alignment shrinkToFit="0" wrapText="1"/>
    </xf>
    <xf borderId="0" fillId="4" fontId="3" numFmtId="0" xfId="0" applyAlignment="1" applyFill="1" applyFont="1">
      <alignment shrinkToFit="0" vertical="center" wrapText="1"/>
    </xf>
    <xf borderId="0" fillId="0" fontId="4" numFmtId="0" xfId="0" applyAlignment="1" applyFont="1">
      <alignment shrinkToFit="0" vertical="top" wrapText="1"/>
    </xf>
    <xf borderId="0" fillId="0" fontId="5" numFmtId="0" xfId="0" applyAlignment="1" applyFont="1">
      <alignment shrinkToFit="0" wrapText="1"/>
    </xf>
    <xf borderId="0" fillId="0" fontId="5" numFmtId="0" xfId="0" applyAlignment="1" applyFont="1">
      <alignment shrinkToFit="0" vertical="top" wrapText="1"/>
    </xf>
    <xf borderId="0" fillId="5" fontId="6" numFmtId="0" xfId="0" applyAlignment="1" applyFill="1" applyFont="1">
      <alignment shrinkToFit="0" vertical="top" wrapText="1"/>
    </xf>
    <xf borderId="0" fillId="6" fontId="7" numFmtId="0" xfId="0" applyFill="1" applyFont="1"/>
    <xf borderId="0" fillId="7" fontId="3" numFmtId="0" xfId="0" applyAlignment="1" applyFill="1" applyFont="1">
      <alignment shrinkToFit="0" wrapText="1"/>
    </xf>
    <xf borderId="0" fillId="2" fontId="1" numFmtId="0" xfId="0" applyAlignment="1" applyFont="1">
      <alignment vertical="center"/>
    </xf>
    <xf borderId="0" fillId="5" fontId="5" numFmtId="0" xfId="0" applyAlignment="1" applyFont="1">
      <alignment shrinkToFit="0" vertical="top" wrapText="1"/>
    </xf>
    <xf borderId="0" fillId="2" fontId="8" numFmtId="0" xfId="0" applyFont="1"/>
    <xf borderId="0" fillId="4" fontId="3" numFmtId="0" xfId="0" applyAlignment="1" applyFont="1">
      <alignment shrinkToFit="0" wrapText="1"/>
    </xf>
    <xf borderId="0" fillId="8" fontId="3" numFmtId="0" xfId="0" applyAlignment="1" applyFill="1" applyFont="1">
      <alignment shrinkToFit="0" wrapText="1"/>
    </xf>
    <xf borderId="0" fillId="9" fontId="3" numFmtId="0" xfId="0" applyAlignment="1" applyFill="1" applyFont="1">
      <alignment shrinkToFit="0" wrapText="1"/>
    </xf>
    <xf borderId="0" fillId="10" fontId="9" numFmtId="0" xfId="0" applyAlignment="1" applyFill="1" applyFont="1">
      <alignment horizontal="center" shrinkToFit="0" vertical="center" wrapText="1"/>
    </xf>
    <xf borderId="0" fillId="11" fontId="3" numFmtId="0" xfId="0" applyAlignment="1" applyFill="1" applyFont="1">
      <alignment horizontal="center" shrinkToFit="0" vertical="center" wrapText="1"/>
    </xf>
    <xf borderId="0" fillId="12" fontId="3" numFmtId="0" xfId="0" applyAlignment="1" applyFill="1" applyFont="1">
      <alignment horizontal="center" vertical="center"/>
    </xf>
    <xf borderId="0" fillId="13" fontId="3" numFmtId="0" xfId="0" applyAlignment="1" applyFill="1" applyFont="1">
      <alignment horizontal="center" shrinkToFit="0" vertical="center" wrapText="1"/>
    </xf>
    <xf borderId="0" fillId="0" fontId="4" numFmtId="164" xfId="0" applyAlignment="1" applyFont="1" applyNumberFormat="1">
      <alignment shrinkToFit="0" vertical="top" wrapText="1"/>
    </xf>
    <xf borderId="0" fillId="0" fontId="5" numFmtId="1" xfId="0" applyFont="1" applyNumberFormat="1"/>
    <xf borderId="0" fillId="0" fontId="5" numFmtId="0" xfId="0" applyAlignment="1" applyFont="1">
      <alignment horizontal="center"/>
    </xf>
    <xf borderId="0" fillId="14" fontId="10" numFmtId="0" xfId="0" applyAlignment="1" applyFill="1" applyFont="1">
      <alignment shrinkToFit="0" vertical="center" wrapText="1"/>
    </xf>
    <xf borderId="0" fillId="11" fontId="3" numFmtId="0" xfId="0" applyAlignment="1" applyFont="1">
      <alignment horizontal="center" shrinkToFit="0" vertical="center" wrapText="1"/>
    </xf>
    <xf borderId="0" fillId="0" fontId="5" numFmtId="0" xfId="0" applyAlignment="1" applyFont="1">
      <alignment shrinkToFit="0" vertical="top" wrapText="1"/>
    </xf>
    <xf borderId="0" fillId="6" fontId="1" numFmtId="0" xfId="0" applyAlignment="1" applyFont="1">
      <alignment horizontal="left" vertical="center"/>
    </xf>
    <xf borderId="0" fillId="15" fontId="11" numFmtId="0" xfId="0" applyAlignment="1" applyFill="1" applyFont="1">
      <alignment shrinkToFit="0" wrapText="1"/>
    </xf>
    <xf borderId="0" fillId="7" fontId="3" numFmtId="0" xfId="0" applyAlignment="1" applyFont="1">
      <alignment horizontal="center" shrinkToFit="0" vertical="center" wrapText="1"/>
    </xf>
    <xf borderId="0" fillId="0" fontId="5" numFmtId="0" xfId="0" applyAlignment="1" applyFont="1">
      <alignment readingOrder="0" shrinkToFit="0" vertical="top" wrapText="1"/>
    </xf>
    <xf borderId="0" fillId="6" fontId="1" numFmtId="0" xfId="0" applyFont="1"/>
    <xf borderId="0" fillId="7" fontId="3" numFmtId="0" xfId="0" applyAlignment="1" applyFont="1">
      <alignment horizontal="center" shrinkToFit="0" wrapText="1"/>
    </xf>
  </cellXfs>
  <cellStyles count="1">
    <cellStyle xfId="0" name="Normal" builtinId="0"/>
  </cellStyles>
  <dxfs count="6">
    <dxf>
      <font/>
      <fill>
        <patternFill patternType="none"/>
      </fill>
      <border/>
    </dxf>
    <dxf>
      <font/>
      <fill>
        <patternFill patternType="none"/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none"/>
      </fill>
      <border/>
    </dxf>
    <dxf>
      <font/>
      <fill>
        <patternFill patternType="solid">
          <fgColor rgb="FFE2F0D9"/>
          <bgColor rgb="FFE2F0D9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</dxfs>
  <tableStyles count="4">
    <tableStyle count="3" pivot="0" name="Passives &amp; Perks-style">
      <tableStyleElement dxfId="1" type="headerRow"/>
      <tableStyleElement dxfId="2" type="firstRowStripe"/>
      <tableStyleElement dxfId="3" type="secondRowStripe"/>
    </tableStyle>
    <tableStyle count="3" pivot="0" name="Skills-style">
      <tableStyleElement dxfId="1" type="headerRow"/>
      <tableStyleElement dxfId="2" type="firstRowStripe"/>
      <tableStyleElement dxfId="3" type="secondRowStripe"/>
    </tableStyle>
    <tableStyle count="3" pivot="0" name="Skill Effects-style">
      <tableStyleElement dxfId="1" type="headerRow"/>
      <tableStyleElement dxfId="2" type="firstRowStripe"/>
      <tableStyleElement dxfId="3" type="secondRowStripe"/>
    </tableStyle>
    <tableStyle count="3" pivot="0" name="Effect Definitions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40" Type="http://schemas.openxmlformats.org/officeDocument/2006/relationships/worksheet" Target="worksheets/sheet37.xml"/><Relationship Id="rId42" Type="http://schemas.openxmlformats.org/officeDocument/2006/relationships/worksheet" Target="worksheets/sheet39.xml"/><Relationship Id="rId41" Type="http://schemas.openxmlformats.org/officeDocument/2006/relationships/worksheet" Target="worksheets/sheet38.xml"/><Relationship Id="rId44" Type="http://schemas.openxmlformats.org/officeDocument/2006/relationships/worksheet" Target="worksheets/sheet41.xml"/><Relationship Id="rId43" Type="http://schemas.openxmlformats.org/officeDocument/2006/relationships/worksheet" Target="worksheets/sheet40.xml"/><Relationship Id="rId46" Type="http://schemas.openxmlformats.org/officeDocument/2006/relationships/worksheet" Target="worksheets/sheet43.xml"/><Relationship Id="rId45" Type="http://schemas.openxmlformats.org/officeDocument/2006/relationships/worksheet" Target="worksheets/sheet42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48" Type="http://schemas.openxmlformats.org/officeDocument/2006/relationships/worksheet" Target="worksheets/sheet45.xml"/><Relationship Id="rId47" Type="http://schemas.openxmlformats.org/officeDocument/2006/relationships/worksheet" Target="worksheets/sheet44.xml"/><Relationship Id="rId49" Type="http://schemas.openxmlformats.org/officeDocument/2006/relationships/worksheet" Target="worksheets/sheet4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33" Type="http://schemas.openxmlformats.org/officeDocument/2006/relationships/worksheet" Target="worksheets/sheet30.xml"/><Relationship Id="rId32" Type="http://schemas.openxmlformats.org/officeDocument/2006/relationships/worksheet" Target="worksheets/sheet29.xml"/><Relationship Id="rId35" Type="http://schemas.openxmlformats.org/officeDocument/2006/relationships/worksheet" Target="worksheets/sheet32.xml"/><Relationship Id="rId34" Type="http://schemas.openxmlformats.org/officeDocument/2006/relationships/worksheet" Target="worksheets/sheet31.xml"/><Relationship Id="rId37" Type="http://schemas.openxmlformats.org/officeDocument/2006/relationships/worksheet" Target="worksheets/sheet34.xml"/><Relationship Id="rId36" Type="http://schemas.openxmlformats.org/officeDocument/2006/relationships/worksheet" Target="worksheets/sheet33.xml"/><Relationship Id="rId39" Type="http://schemas.openxmlformats.org/officeDocument/2006/relationships/worksheet" Target="worksheets/sheet36.xml"/><Relationship Id="rId38" Type="http://schemas.openxmlformats.org/officeDocument/2006/relationships/worksheet" Target="worksheets/sheet35.xml"/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29" Type="http://schemas.openxmlformats.org/officeDocument/2006/relationships/worksheet" Target="worksheets/sheet26.xml"/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4:J56" displayName="Table_1" name="Table_1" id="1">
  <tableColumns count="10">
    <tableColumn name="Bird Name" id="1"/>
    <tableColumn name="Passive Name" id="2"/>
    <tableColumn name="Simple Passive Effect" id="3"/>
    <tableColumn name="Trigger / Timing" id="4"/>
    <tableColumn name="Benefit Type" id="5"/>
    <tableColumn name="Ability Alignment Notes" id="6"/>
    <tableColumn name="Balance Note" id="7"/>
    <tableColumn name="Class Perk" id="8"/>
    <tableColumn name="Class Perk Effect" id="9"/>
    <tableColumn name="Overflow Effect" id="10"/>
  </tableColumns>
  <tableStyleInfo name="Passives &amp; Perks-style" showColumnStripes="0" showFirstColumn="1" showLastColumn="1" showRowStripes="1"/>
</table>
</file>

<file path=xl/tables/table2.xml><?xml version="1.0" encoding="utf-8"?>
<table xmlns="http://schemas.openxmlformats.org/spreadsheetml/2006/main" ref="A4:Q109" displayName="Table_2" name="Table_2" id="2">
  <tableColumns count="17">
    <tableColumn name="Skill ID" id="1"/>
    <tableColumn name="Skill Name" id="2"/>
    <tableColumn name="Source Category" id="3"/>
    <tableColumn name="Source Family / Set" id="4"/>
    <tableColumn name="Slot" id="5"/>
    <tableColumn name="Skill Slot / Pool" id="6"/>
    <tableColumn name="EN" id="7"/>
    <tableColumn name="Cooldown" id="8"/>
    <tableColumn name="Damage Category" id="9"/>
    <tableColumn name="Scaling Stat" id="10"/>
    <tableColumn name="Skill Type" id="11"/>
    <tableColumn name="Source ID" id="12"/>
    <tableColumn name="Minimum Rarity" id="13"/>
    <tableColumn name="Effect Count" id="14"/>
    <tableColumn name="Structured Status" id="15"/>
    <tableColumn name="Review Note" id="16"/>
    <tableColumn name="Legacy Full Effect" id="17"/>
  </tableColumns>
  <tableStyleInfo name="Skills-style" showColumnStripes="0" showFirstColumn="1" showLastColumn="1" showRowStripes="1"/>
</table>
</file>

<file path=xl/tables/table3.xml><?xml version="1.0" encoding="utf-8"?>
<table xmlns="http://schemas.openxmlformats.org/spreadsheetml/2006/main" ref="A4:Y174" displayName="Table_3" name="Table_3" id="3">
  <tableColumns count="25">
    <tableColumn name="Skill ID" id="1"/>
    <tableColumn name="Effect Order" id="2"/>
    <tableColumn name="Effect Type" id="3"/>
    <tableColumn name="Trigger" id="4"/>
    <tableColumn name="Target" id="5"/>
    <tableColumn name="Damage Type" id="6"/>
    <tableColumn name="Power %" id="7"/>
    <tableColumn name="Scaling Stat" id="8"/>
    <tableColumn name="Hit Count" id="9"/>
    <tableColumn name="Ailment ID" id="10"/>
    <tableColumn name="Stacks" id="11"/>
    <tableColumn name="Chance %" id="12"/>
    <tableColumn name="Protection Pool" id="13"/>
    <tableColumn name="Amount" id="14"/>
    <tableColumn name="Duration Turns" id="15"/>
    <tableColumn name="Stat" id="16"/>
    <tableColumn name="Modifier Tier" id="17"/>
    <tableColumn name="Modifier Value" id="18"/>
    <tableColumn name="Operation" id="19"/>
    <tableColumn name="Condition Type" id="20"/>
    <tableColumn name="Condition Value" id="21"/>
    <tableColumn name="Penetration Stat" id="22"/>
    <tableColumn name="Penetration Amount" id="23"/>
    <tableColumn name="Restriction / Selection" id="24"/>
    <tableColumn name="Notes" id="25"/>
  </tableColumns>
  <tableStyleInfo name="Skill Effects-style" showColumnStripes="0" showFirstColumn="1" showLastColumn="1" showRowStripes="1"/>
</table>
</file>

<file path=xl/tables/table4.xml><?xml version="1.0" encoding="utf-8"?>
<table xmlns="http://schemas.openxmlformats.org/spreadsheetml/2006/main" ref="A3:H18" displayName="Table_4" name="Table_4" id="4">
  <tableColumns count="8">
    <tableColumn name="Effect Type" id="1"/>
    <tableColumn name="Purpose" id="2"/>
    <tableColumn name="Required Fields" id="3"/>
    <tableColumn name="Common Optional Fields" id="4"/>
    <tableColumn name="Default Trigger" id="5"/>
    <tableColumn name="Default Target" id="6"/>
    <tableColumn name="Runtime Handler" id="7"/>
    <tableColumn name="Notes" id="8"/>
  </tableColumns>
  <tableStyleInfo name="Effect Definition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ChatGPT">
  <a:themeElements>
    <a:clrScheme name="ChatGPT">
      <a:dk1>
        <a:sysClr lastClr="000000" val="windowText"/>
      </a:dk1>
      <a:lt1>
        <a:sysClr lastClr="FFFFFF" val="window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r="5400000" dist="1905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Relationship Id="rId3" Type="http://schemas.openxmlformats.org/officeDocument/2006/relationships/table" Target="../tables/table1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3.xml"/><Relationship Id="rId3" Type="http://schemas.openxmlformats.org/officeDocument/2006/relationships/table" Target="../tables/table2.xml"/></Relationships>
</file>

<file path=xl/worksheets/_rels/sheet4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4.xml"/><Relationship Id="rId3" Type="http://schemas.openxmlformats.org/officeDocument/2006/relationships/table" Target="../tables/table3.xml"/></Relationships>
</file>

<file path=xl/worksheets/_rels/sheet4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5.xml"/><Relationship Id="rId3" Type="http://schemas.openxmlformats.org/officeDocument/2006/relationships/table" Target="../tables/table4.xml"/></Relationships>
</file>

<file path=xl/worksheets/_rels/sheet4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0.0"/>
    <col customWidth="1" min="2" max="2" width="48.0"/>
    <col customWidth="1" min="3" max="3" width="32.0"/>
    <col customWidth="1" min="4" max="4" width="16.0"/>
    <col customWidth="1" min="5" max="5" width="45.0"/>
    <col customWidth="1" min="6" max="11" width="8.71"/>
  </cols>
  <sheetData>
    <row r="1">
      <c r="A1" s="1" t="s">
        <v>0</v>
      </c>
    </row>
    <row r="2">
      <c r="A2" s="2" t="s">
        <v>1</v>
      </c>
    </row>
    <row r="4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</row>
    <row r="5">
      <c r="A5" s="4" t="s">
        <v>7</v>
      </c>
      <c r="B5" s="4" t="s">
        <v>8</v>
      </c>
      <c r="C5" s="4" t="s">
        <v>9</v>
      </c>
      <c r="D5" s="4" t="s">
        <v>10</v>
      </c>
      <c r="E5" s="4" t="s">
        <v>11</v>
      </c>
    </row>
    <row r="6">
      <c r="A6" s="4" t="s">
        <v>12</v>
      </c>
      <c r="B6" s="4" t="s">
        <v>13</v>
      </c>
      <c r="C6" s="4" t="s">
        <v>14</v>
      </c>
      <c r="D6" s="4" t="s">
        <v>10</v>
      </c>
      <c r="E6" s="4" t="s">
        <v>15</v>
      </c>
    </row>
    <row r="7">
      <c r="A7" s="4" t="s">
        <v>16</v>
      </c>
      <c r="B7" s="4" t="s">
        <v>17</v>
      </c>
      <c r="C7" s="4" t="s">
        <v>18</v>
      </c>
      <c r="D7" s="4" t="s">
        <v>10</v>
      </c>
      <c r="E7" s="4" t="s">
        <v>19</v>
      </c>
    </row>
    <row r="8">
      <c r="A8" s="4" t="s">
        <v>20</v>
      </c>
      <c r="B8" s="4" t="s">
        <v>21</v>
      </c>
      <c r="C8" s="4" t="s">
        <v>22</v>
      </c>
      <c r="D8" s="4" t="s">
        <v>10</v>
      </c>
      <c r="E8" s="4" t="s">
        <v>23</v>
      </c>
    </row>
    <row r="9">
      <c r="A9" s="4" t="s">
        <v>24</v>
      </c>
      <c r="B9" s="4" t="s">
        <v>25</v>
      </c>
      <c r="C9" s="4" t="s">
        <v>26</v>
      </c>
      <c r="D9" s="4" t="s">
        <v>10</v>
      </c>
      <c r="E9" s="4" t="s">
        <v>27</v>
      </c>
    </row>
    <row r="10">
      <c r="A10" s="4" t="s">
        <v>28</v>
      </c>
      <c r="B10" s="4" t="s">
        <v>29</v>
      </c>
      <c r="C10" s="4" t="s">
        <v>30</v>
      </c>
      <c r="D10" s="4" t="s">
        <v>10</v>
      </c>
      <c r="E10" s="4" t="s">
        <v>31</v>
      </c>
    </row>
    <row r="11">
      <c r="A11" s="4" t="s">
        <v>32</v>
      </c>
      <c r="B11" s="4" t="s">
        <v>33</v>
      </c>
      <c r="C11" s="4" t="s">
        <v>34</v>
      </c>
      <c r="D11" s="4" t="s">
        <v>10</v>
      </c>
      <c r="E11" s="4" t="s">
        <v>35</v>
      </c>
    </row>
    <row r="12">
      <c r="A12" s="4" t="s">
        <v>36</v>
      </c>
      <c r="B12" s="4" t="s">
        <v>37</v>
      </c>
      <c r="C12" s="4" t="s">
        <v>38</v>
      </c>
      <c r="D12" s="4" t="s">
        <v>10</v>
      </c>
      <c r="E12" s="4" t="s">
        <v>39</v>
      </c>
    </row>
    <row r="13">
      <c r="A13" s="4" t="s">
        <v>40</v>
      </c>
      <c r="B13" s="4" t="s">
        <v>41</v>
      </c>
      <c r="C13" s="4" t="s">
        <v>42</v>
      </c>
      <c r="D13" s="4" t="s">
        <v>10</v>
      </c>
      <c r="E13" s="4" t="s">
        <v>43</v>
      </c>
    </row>
    <row r="14">
      <c r="A14" s="5" t="s">
        <v>44</v>
      </c>
      <c r="B14" s="5" t="s">
        <v>45</v>
      </c>
      <c r="C14" s="5" t="s">
        <v>46</v>
      </c>
      <c r="D14" s="5" t="s">
        <v>10</v>
      </c>
      <c r="E14" s="5" t="s">
        <v>47</v>
      </c>
    </row>
    <row r="15">
      <c r="A15" s="6" t="s">
        <v>48</v>
      </c>
      <c r="B15" s="6" t="s">
        <v>49</v>
      </c>
      <c r="C15" s="6" t="s">
        <v>50</v>
      </c>
      <c r="D15" s="6" t="s">
        <v>10</v>
      </c>
      <c r="E15" s="6" t="s">
        <v>51</v>
      </c>
    </row>
    <row r="16">
      <c r="A16" s="5" t="s">
        <v>52</v>
      </c>
      <c r="B16" s="5" t="s">
        <v>53</v>
      </c>
      <c r="C16" s="5" t="s">
        <v>54</v>
      </c>
      <c r="D16" s="5" t="s">
        <v>10</v>
      </c>
      <c r="E16" s="5" t="s">
        <v>55</v>
      </c>
    </row>
    <row r="17">
      <c r="A17" s="5" t="s">
        <v>52</v>
      </c>
      <c r="B17" s="5" t="s">
        <v>56</v>
      </c>
      <c r="C17" s="5" t="s">
        <v>54</v>
      </c>
      <c r="D17" s="5" t="s">
        <v>10</v>
      </c>
      <c r="E17" s="5" t="s">
        <v>57</v>
      </c>
    </row>
    <row r="18">
      <c r="A18" s="5" t="s">
        <v>52</v>
      </c>
      <c r="B18" s="5" t="s">
        <v>58</v>
      </c>
      <c r="C18" s="5" t="s">
        <v>54</v>
      </c>
      <c r="D18" s="5" t="s">
        <v>10</v>
      </c>
      <c r="E18" s="5" t="s">
        <v>59</v>
      </c>
    </row>
    <row r="20" ht="51.75" customHeight="1">
      <c r="A20" s="7" t="s">
        <v>60</v>
      </c>
      <c r="B20" s="7" t="s">
        <v>61</v>
      </c>
      <c r="C20" s="7" t="s">
        <v>62</v>
      </c>
      <c r="D20" s="7" t="s">
        <v>63</v>
      </c>
      <c r="E20" s="7" t="s">
        <v>64</v>
      </c>
    </row>
    <row r="21" ht="15.75" customHeight="1"/>
    <row r="22" ht="24.0" customHeight="1">
      <c r="A22" s="8" t="s">
        <v>65</v>
      </c>
    </row>
    <row r="23" ht="15.75" customHeight="1">
      <c r="A23" s="9" t="s">
        <v>66</v>
      </c>
      <c r="B23" s="9" t="s">
        <v>67</v>
      </c>
      <c r="C23" s="9" t="s">
        <v>68</v>
      </c>
    </row>
    <row r="24" ht="15.75" customHeight="1">
      <c r="A24" s="5" t="s">
        <v>69</v>
      </c>
      <c r="B24" s="5">
        <v>105.0</v>
      </c>
      <c r="C24" s="5" t="s">
        <v>70</v>
      </c>
    </row>
    <row r="25" ht="15.75" customHeight="1">
      <c r="A25" s="5" t="s">
        <v>71</v>
      </c>
      <c r="B25" s="5">
        <v>170.0</v>
      </c>
      <c r="C25" s="5" t="s">
        <v>72</v>
      </c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3">
    <mergeCell ref="A1:E1"/>
    <mergeCell ref="A2:E2"/>
    <mergeCell ref="A22:E2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0"/>
    <col customWidth="1" min="2" max="2" width="20.0"/>
    <col customWidth="1" min="3" max="3" width="58.0"/>
    <col customWidth="1" min="4" max="4" width="14.0"/>
    <col customWidth="1" min="5" max="5" width="10.0"/>
    <col customWidth="1" min="6" max="6" width="38.0"/>
    <col customWidth="1" min="7" max="7" width="46.0"/>
    <col customWidth="1" min="8" max="11" width="8.71"/>
  </cols>
  <sheetData>
    <row r="1">
      <c r="A1" s="10" t="s">
        <v>73</v>
      </c>
    </row>
    <row r="2">
      <c r="A2" s="2" t="s">
        <v>74</v>
      </c>
    </row>
    <row r="4">
      <c r="A4" s="3" t="s">
        <v>75</v>
      </c>
      <c r="B4" s="3" t="s">
        <v>76</v>
      </c>
      <c r="C4" s="3" t="s">
        <v>77</v>
      </c>
      <c r="D4" s="3" t="s">
        <v>5</v>
      </c>
      <c r="E4" s="3" t="s">
        <v>78</v>
      </c>
      <c r="F4" s="3" t="s">
        <v>79</v>
      </c>
      <c r="G4" s="3" t="s">
        <v>80</v>
      </c>
    </row>
    <row r="5">
      <c r="A5" s="4" t="s">
        <v>81</v>
      </c>
      <c r="B5" s="4" t="s">
        <v>82</v>
      </c>
      <c r="C5" s="4" t="s">
        <v>83</v>
      </c>
      <c r="D5" s="4" t="s">
        <v>84</v>
      </c>
      <c r="E5" s="4" t="s">
        <v>85</v>
      </c>
      <c r="F5" s="4" t="s">
        <v>86</v>
      </c>
      <c r="G5" s="4" t="s">
        <v>87</v>
      </c>
    </row>
    <row r="6">
      <c r="A6" s="4" t="s">
        <v>88</v>
      </c>
      <c r="B6" s="4" t="s">
        <v>89</v>
      </c>
      <c r="C6" s="4" t="s">
        <v>90</v>
      </c>
      <c r="D6" s="4" t="s">
        <v>84</v>
      </c>
      <c r="E6" s="4" t="s">
        <v>85</v>
      </c>
      <c r="F6" s="4" t="s">
        <v>91</v>
      </c>
      <c r="G6" s="4" t="s">
        <v>92</v>
      </c>
    </row>
    <row r="7">
      <c r="A7" s="4" t="s">
        <v>93</v>
      </c>
      <c r="B7" s="4" t="s">
        <v>94</v>
      </c>
      <c r="C7" s="4" t="s">
        <v>95</v>
      </c>
      <c r="D7" s="4" t="s">
        <v>84</v>
      </c>
      <c r="E7" s="4" t="s">
        <v>85</v>
      </c>
      <c r="F7" s="4" t="s">
        <v>91</v>
      </c>
      <c r="G7" s="4" t="s">
        <v>96</v>
      </c>
    </row>
    <row r="8">
      <c r="A8" s="4" t="s">
        <v>97</v>
      </c>
      <c r="B8" s="4" t="s">
        <v>98</v>
      </c>
      <c r="C8" s="4" t="s">
        <v>99</v>
      </c>
      <c r="D8" s="4" t="s">
        <v>84</v>
      </c>
      <c r="E8" s="4" t="s">
        <v>85</v>
      </c>
      <c r="F8" s="4" t="s">
        <v>91</v>
      </c>
      <c r="G8" s="4" t="s">
        <v>92</v>
      </c>
    </row>
    <row r="9">
      <c r="A9" s="4" t="s">
        <v>100</v>
      </c>
      <c r="B9" s="4" t="s">
        <v>101</v>
      </c>
      <c r="C9" s="4" t="s">
        <v>102</v>
      </c>
      <c r="D9" s="4" t="s">
        <v>84</v>
      </c>
      <c r="E9" s="4" t="s">
        <v>85</v>
      </c>
      <c r="F9" s="4" t="s">
        <v>103</v>
      </c>
      <c r="G9" s="4" t="s">
        <v>104</v>
      </c>
    </row>
    <row r="10">
      <c r="A10" s="4" t="s">
        <v>105</v>
      </c>
      <c r="B10" s="4" t="s">
        <v>106</v>
      </c>
      <c r="C10" s="4" t="s">
        <v>107</v>
      </c>
      <c r="D10" s="4" t="s">
        <v>84</v>
      </c>
      <c r="E10" s="4" t="s">
        <v>85</v>
      </c>
      <c r="F10" s="4" t="s">
        <v>108</v>
      </c>
      <c r="G10" s="4" t="s">
        <v>109</v>
      </c>
    </row>
    <row r="11">
      <c r="A11" s="4" t="s">
        <v>110</v>
      </c>
      <c r="B11" s="4" t="s">
        <v>111</v>
      </c>
      <c r="C11" s="4" t="s">
        <v>112</v>
      </c>
      <c r="D11" s="4" t="s">
        <v>84</v>
      </c>
      <c r="E11" s="4" t="s">
        <v>85</v>
      </c>
      <c r="F11" s="4" t="s">
        <v>108</v>
      </c>
      <c r="G11" s="4" t="s">
        <v>109</v>
      </c>
    </row>
    <row r="12">
      <c r="A12" s="4" t="s">
        <v>113</v>
      </c>
      <c r="B12" s="4" t="s">
        <v>114</v>
      </c>
      <c r="C12" s="4" t="s">
        <v>115</v>
      </c>
      <c r="D12" s="4" t="s">
        <v>84</v>
      </c>
      <c r="E12" s="4" t="s">
        <v>85</v>
      </c>
      <c r="F12" s="4" t="s">
        <v>116</v>
      </c>
      <c r="G12" s="4" t="s">
        <v>117</v>
      </c>
    </row>
    <row r="13">
      <c r="A13" s="4" t="s">
        <v>118</v>
      </c>
      <c r="B13" s="4" t="s">
        <v>119</v>
      </c>
      <c r="C13" s="4" t="s">
        <v>120</v>
      </c>
      <c r="D13" s="4" t="s">
        <v>84</v>
      </c>
      <c r="E13" s="4" t="s">
        <v>85</v>
      </c>
      <c r="F13" s="4" t="s">
        <v>119</v>
      </c>
      <c r="G13" s="4" t="s">
        <v>121</v>
      </c>
    </row>
    <row r="14">
      <c r="A14" s="4" t="s">
        <v>122</v>
      </c>
      <c r="B14" s="4" t="s">
        <v>123</v>
      </c>
      <c r="C14" s="4" t="s">
        <v>124</v>
      </c>
      <c r="D14" s="4" t="s">
        <v>84</v>
      </c>
      <c r="E14" s="4" t="s">
        <v>85</v>
      </c>
      <c r="F14" s="4" t="s">
        <v>125</v>
      </c>
      <c r="G14" s="4" t="s">
        <v>126</v>
      </c>
    </row>
    <row r="15">
      <c r="A15" s="4" t="s">
        <v>127</v>
      </c>
      <c r="B15" s="4" t="s">
        <v>128</v>
      </c>
      <c r="C15" s="4" t="s">
        <v>129</v>
      </c>
      <c r="D15" s="4" t="s">
        <v>84</v>
      </c>
      <c r="E15" s="4" t="s">
        <v>85</v>
      </c>
      <c r="F15" s="4" t="s">
        <v>130</v>
      </c>
      <c r="G15" s="4" t="s">
        <v>131</v>
      </c>
    </row>
    <row r="16">
      <c r="A16" s="4" t="s">
        <v>132</v>
      </c>
      <c r="B16" s="4" t="s">
        <v>133</v>
      </c>
      <c r="C16" s="4" t="s">
        <v>134</v>
      </c>
      <c r="D16" s="4" t="s">
        <v>84</v>
      </c>
      <c r="E16" s="4" t="s">
        <v>85</v>
      </c>
      <c r="F16" s="4" t="s">
        <v>135</v>
      </c>
      <c r="G16" s="4" t="s">
        <v>136</v>
      </c>
    </row>
    <row r="17">
      <c r="A17" s="4" t="s">
        <v>137</v>
      </c>
      <c r="B17" s="4" t="s">
        <v>138</v>
      </c>
      <c r="C17" s="4" t="s">
        <v>139</v>
      </c>
      <c r="D17" s="4" t="s">
        <v>84</v>
      </c>
      <c r="E17" s="4" t="s">
        <v>85</v>
      </c>
      <c r="F17" s="4" t="s">
        <v>140</v>
      </c>
      <c r="G17" s="4" t="s">
        <v>141</v>
      </c>
    </row>
    <row r="18">
      <c r="A18" s="4" t="s">
        <v>142</v>
      </c>
      <c r="B18" s="4" t="s">
        <v>143</v>
      </c>
      <c r="C18" s="4" t="s">
        <v>144</v>
      </c>
      <c r="D18" s="4" t="s">
        <v>84</v>
      </c>
      <c r="E18" s="4" t="s">
        <v>85</v>
      </c>
      <c r="F18" s="4" t="s">
        <v>145</v>
      </c>
      <c r="G18" s="4" t="s">
        <v>146</v>
      </c>
    </row>
    <row r="19">
      <c r="A19" s="4" t="s">
        <v>147</v>
      </c>
      <c r="B19" s="4" t="s">
        <v>148</v>
      </c>
      <c r="C19" s="4" t="s">
        <v>149</v>
      </c>
      <c r="D19" s="4" t="s">
        <v>84</v>
      </c>
      <c r="E19" s="4" t="s">
        <v>85</v>
      </c>
      <c r="F19" s="4" t="s">
        <v>150</v>
      </c>
      <c r="G19" s="4" t="s">
        <v>151</v>
      </c>
    </row>
    <row r="20">
      <c r="A20" t="s">
        <v>152</v>
      </c>
      <c r="B20" t="s">
        <v>153</v>
      </c>
      <c r="C20" t="s">
        <v>154</v>
      </c>
      <c r="D20" t="s">
        <v>84</v>
      </c>
      <c r="E20" t="s">
        <v>155</v>
      </c>
      <c r="F20" t="s">
        <v>156</v>
      </c>
      <c r="G20" t="s">
        <v>157</v>
      </c>
    </row>
    <row r="21" ht="15.75" customHeight="1">
      <c r="A21" t="s">
        <v>158</v>
      </c>
      <c r="B21" t="s">
        <v>159</v>
      </c>
      <c r="C21" t="s">
        <v>160</v>
      </c>
      <c r="D21" t="s">
        <v>84</v>
      </c>
      <c r="E21" t="s">
        <v>155</v>
      </c>
      <c r="F21" t="s">
        <v>156</v>
      </c>
      <c r="G21" t="s">
        <v>161</v>
      </c>
    </row>
    <row r="22" ht="15.75" customHeight="1">
      <c r="A22" t="s">
        <v>162</v>
      </c>
      <c r="B22" t="s">
        <v>163</v>
      </c>
      <c r="C22" t="s">
        <v>164</v>
      </c>
      <c r="D22" t="s">
        <v>84</v>
      </c>
      <c r="E22" t="s">
        <v>155</v>
      </c>
      <c r="F22" t="s">
        <v>156</v>
      </c>
      <c r="G22" t="s">
        <v>165</v>
      </c>
    </row>
    <row r="23" ht="15.75" customHeight="1">
      <c r="A23" t="s">
        <v>166</v>
      </c>
      <c r="B23" t="s">
        <v>167</v>
      </c>
      <c r="C23" t="s">
        <v>168</v>
      </c>
      <c r="D23" t="s">
        <v>84</v>
      </c>
      <c r="E23" t="s">
        <v>155</v>
      </c>
      <c r="F23" t="s">
        <v>169</v>
      </c>
      <c r="G23" t="s">
        <v>170</v>
      </c>
    </row>
    <row r="24" ht="15.75" customHeight="1"/>
    <row r="25" ht="15.75" customHeight="1">
      <c r="A25" s="11" t="s">
        <v>171</v>
      </c>
      <c r="B25" s="11" t="s">
        <v>172</v>
      </c>
      <c r="C25" s="11" t="s">
        <v>173</v>
      </c>
      <c r="D25" s="11" t="s">
        <v>84</v>
      </c>
      <c r="E25" s="11" t="s">
        <v>174</v>
      </c>
      <c r="F25" s="11" t="s">
        <v>175</v>
      </c>
      <c r="G25" s="11" t="s">
        <v>176</v>
      </c>
    </row>
    <row r="26" ht="15.75" customHeight="1">
      <c r="A26" s="6" t="s">
        <v>177</v>
      </c>
      <c r="B26" s="6" t="s">
        <v>178</v>
      </c>
      <c r="C26" s="6" t="s">
        <v>179</v>
      </c>
      <c r="D26" s="6" t="s">
        <v>180</v>
      </c>
      <c r="E26" s="6" t="s">
        <v>174</v>
      </c>
      <c r="F26" s="6" t="s">
        <v>181</v>
      </c>
      <c r="G26" s="6" t="s">
        <v>182</v>
      </c>
    </row>
    <row r="27" ht="15.75" customHeight="1">
      <c r="A27" s="6" t="s">
        <v>183</v>
      </c>
      <c r="B27" s="6" t="s">
        <v>184</v>
      </c>
      <c r="C27" s="6" t="s">
        <v>185</v>
      </c>
      <c r="D27" s="6" t="s">
        <v>84</v>
      </c>
      <c r="E27" s="6" t="s">
        <v>174</v>
      </c>
      <c r="F27" s="6" t="s">
        <v>181</v>
      </c>
      <c r="G27" s="6" t="s">
        <v>186</v>
      </c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G1"/>
    <mergeCell ref="A2:G2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2" width="20.0"/>
    <col customWidth="1" min="3" max="3" width="24.0"/>
    <col customWidth="1" min="4" max="4" width="38.0"/>
    <col customWidth="1" min="5" max="5" width="18.0"/>
    <col customWidth="1" min="6" max="6" width="24.0"/>
    <col customWidth="1" min="7" max="7" width="40.0"/>
    <col customWidth="1" min="8" max="8" width="42.0"/>
    <col customWidth="1" min="9" max="11" width="8.71"/>
  </cols>
  <sheetData>
    <row r="1">
      <c r="A1" s="10" t="s">
        <v>187</v>
      </c>
    </row>
    <row r="2">
      <c r="A2" s="2" t="s">
        <v>188</v>
      </c>
    </row>
    <row r="4">
      <c r="A4" s="3" t="s">
        <v>189</v>
      </c>
      <c r="B4" s="3" t="s">
        <v>190</v>
      </c>
      <c r="C4" s="3" t="s">
        <v>191</v>
      </c>
      <c r="D4" s="3" t="s">
        <v>192</v>
      </c>
      <c r="E4" s="3" t="s">
        <v>193</v>
      </c>
      <c r="F4" s="3" t="s">
        <v>194</v>
      </c>
      <c r="G4" s="3" t="s">
        <v>195</v>
      </c>
      <c r="H4" s="3" t="s">
        <v>6</v>
      </c>
    </row>
    <row r="5">
      <c r="A5" s="4" t="s">
        <v>196</v>
      </c>
      <c r="B5" s="4" t="s">
        <v>89</v>
      </c>
      <c r="C5" s="4" t="s">
        <v>106</v>
      </c>
      <c r="D5" s="4" t="s">
        <v>197</v>
      </c>
      <c r="E5" s="4" t="s">
        <v>198</v>
      </c>
      <c r="F5" s="4" t="s">
        <v>199</v>
      </c>
      <c r="G5" s="4" t="s">
        <v>200</v>
      </c>
      <c r="H5" s="4" t="s">
        <v>201</v>
      </c>
    </row>
    <row r="6">
      <c r="A6" s="4" t="s">
        <v>202</v>
      </c>
      <c r="B6" s="4" t="s">
        <v>94</v>
      </c>
      <c r="C6" s="4" t="s">
        <v>203</v>
      </c>
      <c r="D6" s="4" t="s">
        <v>204</v>
      </c>
      <c r="E6" s="4" t="s">
        <v>205</v>
      </c>
      <c r="F6" s="4" t="s">
        <v>206</v>
      </c>
      <c r="G6" s="4" t="s">
        <v>207</v>
      </c>
      <c r="H6" s="4" t="s">
        <v>208</v>
      </c>
    </row>
    <row r="7">
      <c r="A7" s="4" t="s">
        <v>209</v>
      </c>
      <c r="B7" s="4" t="s">
        <v>98</v>
      </c>
      <c r="C7" s="4" t="s">
        <v>210</v>
      </c>
      <c r="D7" s="4" t="s">
        <v>211</v>
      </c>
      <c r="E7" s="4" t="s">
        <v>198</v>
      </c>
      <c r="F7" s="4" t="s">
        <v>212</v>
      </c>
      <c r="G7" s="4" t="s">
        <v>213</v>
      </c>
      <c r="H7" s="4" t="s">
        <v>214</v>
      </c>
    </row>
    <row r="8">
      <c r="A8" s="4" t="s">
        <v>215</v>
      </c>
      <c r="B8" s="4" t="s">
        <v>98</v>
      </c>
      <c r="C8" s="4" t="s">
        <v>216</v>
      </c>
      <c r="D8" s="4" t="s">
        <v>217</v>
      </c>
      <c r="E8" s="4" t="s">
        <v>218</v>
      </c>
      <c r="F8" s="4" t="s">
        <v>219</v>
      </c>
      <c r="G8" s="4" t="s">
        <v>220</v>
      </c>
      <c r="H8" s="4" t="s">
        <v>221</v>
      </c>
    </row>
    <row r="9">
      <c r="A9" s="4" t="s">
        <v>222</v>
      </c>
      <c r="B9" s="4" t="s">
        <v>223</v>
      </c>
      <c r="C9" s="4" t="s">
        <v>224</v>
      </c>
      <c r="D9" s="4" t="s">
        <v>225</v>
      </c>
      <c r="E9" s="4" t="s">
        <v>226</v>
      </c>
      <c r="F9" s="4" t="s">
        <v>227</v>
      </c>
      <c r="G9" s="4" t="s">
        <v>228</v>
      </c>
      <c r="H9" s="4" t="s">
        <v>229</v>
      </c>
    </row>
    <row r="10">
      <c r="A10" s="4" t="s">
        <v>230</v>
      </c>
      <c r="B10" s="4" t="s">
        <v>231</v>
      </c>
      <c r="C10" s="4" t="s">
        <v>232</v>
      </c>
      <c r="D10" s="4" t="s">
        <v>233</v>
      </c>
      <c r="E10" s="4" t="s">
        <v>234</v>
      </c>
      <c r="F10" s="4" t="s">
        <v>235</v>
      </c>
      <c r="G10" s="4" t="s">
        <v>236</v>
      </c>
      <c r="H10" s="4" t="s">
        <v>237</v>
      </c>
    </row>
    <row r="11">
      <c r="A11" s="4" t="s">
        <v>238</v>
      </c>
      <c r="B11" s="4" t="s">
        <v>89</v>
      </c>
      <c r="C11" s="4" t="s">
        <v>239</v>
      </c>
      <c r="D11" s="4" t="s">
        <v>240</v>
      </c>
      <c r="E11" s="4" t="s">
        <v>198</v>
      </c>
      <c r="F11" s="4" t="s">
        <v>241</v>
      </c>
      <c r="G11" s="4" t="s">
        <v>242</v>
      </c>
      <c r="H11" s="4" t="s">
        <v>243</v>
      </c>
    </row>
    <row r="12">
      <c r="A12" s="4" t="s">
        <v>244</v>
      </c>
      <c r="B12" s="4" t="s">
        <v>245</v>
      </c>
      <c r="C12" s="4" t="s">
        <v>246</v>
      </c>
      <c r="D12" s="4" t="s">
        <v>247</v>
      </c>
      <c r="E12" s="4" t="s">
        <v>248</v>
      </c>
      <c r="F12" s="4" t="s">
        <v>248</v>
      </c>
      <c r="G12" s="4" t="s">
        <v>249</v>
      </c>
      <c r="H12" s="4" t="s">
        <v>250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8.0"/>
    <col customWidth="1" min="2" max="2" width="16.0"/>
    <col customWidth="1" min="3" max="3" width="17.0"/>
    <col customWidth="1" min="4" max="5" width="34.0"/>
    <col customWidth="1" min="6" max="6" width="37.0"/>
    <col customWidth="1" min="7" max="7" width="25.0"/>
    <col customWidth="1" min="8" max="8" width="39.0"/>
    <col customWidth="1" min="9" max="11" width="8.71"/>
  </cols>
  <sheetData>
    <row r="1">
      <c r="A1" s="12" t="s">
        <v>251</v>
      </c>
    </row>
    <row r="2">
      <c r="A2" s="2" t="s">
        <v>252</v>
      </c>
    </row>
    <row r="4">
      <c r="A4" s="13" t="s">
        <v>253</v>
      </c>
      <c r="B4" s="13" t="s">
        <v>254</v>
      </c>
      <c r="C4" s="13" t="s">
        <v>255</v>
      </c>
      <c r="D4" s="13" t="s">
        <v>256</v>
      </c>
      <c r="E4" s="13" t="s">
        <v>257</v>
      </c>
      <c r="F4" s="13" t="s">
        <v>258</v>
      </c>
      <c r="G4" s="13" t="s">
        <v>259</v>
      </c>
      <c r="H4" s="13"/>
    </row>
    <row r="5">
      <c r="A5" t="s">
        <v>254</v>
      </c>
      <c r="B5">
        <v>1.0</v>
      </c>
      <c r="C5">
        <v>0.8</v>
      </c>
      <c r="D5">
        <v>1.2</v>
      </c>
      <c r="E5">
        <v>1.2</v>
      </c>
      <c r="F5">
        <v>1.0</v>
      </c>
      <c r="G5">
        <v>0.8</v>
      </c>
    </row>
    <row r="6">
      <c r="A6" t="s">
        <v>255</v>
      </c>
      <c r="B6">
        <v>1.2</v>
      </c>
      <c r="C6">
        <v>1.0</v>
      </c>
      <c r="D6">
        <v>0.8</v>
      </c>
      <c r="E6">
        <v>0.8</v>
      </c>
      <c r="F6">
        <v>1.2</v>
      </c>
      <c r="G6">
        <v>1.0</v>
      </c>
    </row>
    <row r="7">
      <c r="A7" t="s">
        <v>256</v>
      </c>
      <c r="B7">
        <v>0.8</v>
      </c>
      <c r="C7">
        <v>1.2</v>
      </c>
      <c r="D7">
        <v>1.0</v>
      </c>
      <c r="E7">
        <v>1.0</v>
      </c>
      <c r="F7">
        <v>0.8</v>
      </c>
      <c r="G7">
        <v>1.2</v>
      </c>
    </row>
    <row r="8">
      <c r="A8" t="s">
        <v>257</v>
      </c>
      <c r="B8">
        <v>0.8</v>
      </c>
      <c r="C8">
        <v>1.2</v>
      </c>
      <c r="D8">
        <v>1.0</v>
      </c>
      <c r="E8">
        <v>1.0</v>
      </c>
      <c r="F8">
        <v>1.2</v>
      </c>
      <c r="G8">
        <v>0.8</v>
      </c>
    </row>
    <row r="9">
      <c r="A9" t="s">
        <v>258</v>
      </c>
      <c r="B9">
        <v>1.0</v>
      </c>
      <c r="C9">
        <v>0.8</v>
      </c>
      <c r="D9">
        <v>1.2</v>
      </c>
      <c r="E9">
        <v>0.8</v>
      </c>
      <c r="F9">
        <v>1.0</v>
      </c>
      <c r="G9">
        <v>1.2</v>
      </c>
    </row>
    <row r="10">
      <c r="A10" t="s">
        <v>259</v>
      </c>
      <c r="B10">
        <v>1.2</v>
      </c>
      <c r="C10">
        <v>1.0</v>
      </c>
      <c r="D10">
        <v>0.8</v>
      </c>
      <c r="E10">
        <v>1.2</v>
      </c>
      <c r="F10">
        <v>0.8</v>
      </c>
      <c r="G10">
        <v>1.0</v>
      </c>
    </row>
    <row r="12">
      <c r="A12" t="s">
        <v>260</v>
      </c>
      <c r="B12" t="s">
        <v>261</v>
      </c>
      <c r="C12" t="s">
        <v>262</v>
      </c>
      <c r="D12" t="s">
        <v>263</v>
      </c>
      <c r="E12" t="s">
        <v>264</v>
      </c>
      <c r="F12" t="s">
        <v>265</v>
      </c>
      <c r="G12" t="s">
        <v>5</v>
      </c>
      <c r="H12" t="s">
        <v>6</v>
      </c>
    </row>
    <row r="13">
      <c r="A13" t="s">
        <v>254</v>
      </c>
      <c r="B13" t="s">
        <v>266</v>
      </c>
      <c r="C13" t="s">
        <v>267</v>
      </c>
      <c r="D13" t="s">
        <v>268</v>
      </c>
      <c r="E13" t="s">
        <v>269</v>
      </c>
      <c r="F13" t="s">
        <v>270</v>
      </c>
      <c r="G13" t="s">
        <v>84</v>
      </c>
      <c r="H13" t="s">
        <v>271</v>
      </c>
    </row>
    <row r="14">
      <c r="A14" t="s">
        <v>255</v>
      </c>
      <c r="B14" t="s">
        <v>272</v>
      </c>
      <c r="C14" t="s">
        <v>266</v>
      </c>
      <c r="D14" t="s">
        <v>273</v>
      </c>
      <c r="E14" t="s">
        <v>274</v>
      </c>
      <c r="F14" t="s">
        <v>270</v>
      </c>
      <c r="G14" t="s">
        <v>84</v>
      </c>
      <c r="H14" t="s">
        <v>275</v>
      </c>
    </row>
    <row r="15">
      <c r="A15" t="s">
        <v>256</v>
      </c>
      <c r="B15" t="s">
        <v>267</v>
      </c>
      <c r="C15" t="s">
        <v>272</v>
      </c>
      <c r="D15" t="s">
        <v>276</v>
      </c>
      <c r="E15" t="s">
        <v>277</v>
      </c>
      <c r="F15" t="s">
        <v>270</v>
      </c>
      <c r="G15" t="s">
        <v>84</v>
      </c>
      <c r="H15" t="s">
        <v>278</v>
      </c>
    </row>
    <row r="16">
      <c r="A16" t="s">
        <v>257</v>
      </c>
      <c r="B16" t="s">
        <v>279</v>
      </c>
      <c r="C16" t="s">
        <v>280</v>
      </c>
      <c r="D16" t="s">
        <v>281</v>
      </c>
      <c r="E16" t="s">
        <v>282</v>
      </c>
      <c r="F16" t="s">
        <v>270</v>
      </c>
      <c r="G16" t="s">
        <v>283</v>
      </c>
      <c r="H16" t="s">
        <v>284</v>
      </c>
    </row>
    <row r="17">
      <c r="A17" t="s">
        <v>258</v>
      </c>
      <c r="B17" t="s">
        <v>285</v>
      </c>
      <c r="C17" t="s">
        <v>286</v>
      </c>
      <c r="D17" t="s">
        <v>287</v>
      </c>
      <c r="E17" t="s">
        <v>288</v>
      </c>
      <c r="F17" t="s">
        <v>270</v>
      </c>
      <c r="G17" t="s">
        <v>84</v>
      </c>
      <c r="H17" t="s">
        <v>289</v>
      </c>
    </row>
    <row r="18">
      <c r="A18" t="s">
        <v>259</v>
      </c>
      <c r="B18" t="s">
        <v>290</v>
      </c>
      <c r="C18" t="s">
        <v>291</v>
      </c>
      <c r="D18" t="s">
        <v>292</v>
      </c>
      <c r="E18" t="s">
        <v>293</v>
      </c>
      <c r="F18" t="s">
        <v>270</v>
      </c>
      <c r="G18" t="s">
        <v>84</v>
      </c>
      <c r="H18" t="s">
        <v>294</v>
      </c>
    </row>
    <row r="20">
      <c r="A20" t="s">
        <v>295</v>
      </c>
    </row>
    <row r="21" ht="15.75" customHeight="1">
      <c r="A21" t="s">
        <v>296</v>
      </c>
      <c r="B21" t="s">
        <v>297</v>
      </c>
      <c r="C21" t="s">
        <v>298</v>
      </c>
      <c r="D21" t="s">
        <v>299</v>
      </c>
      <c r="E21" t="s">
        <v>300</v>
      </c>
      <c r="F21" t="s">
        <v>301</v>
      </c>
      <c r="G21" t="s">
        <v>302</v>
      </c>
      <c r="H21" t="s">
        <v>5</v>
      </c>
    </row>
    <row r="22" ht="15.75" customHeight="1">
      <c r="A22" t="s">
        <v>303</v>
      </c>
      <c r="B22">
        <v>5.0</v>
      </c>
      <c r="C22">
        <v>0.01</v>
      </c>
      <c r="D22" t="s">
        <v>304</v>
      </c>
      <c r="E22" t="s">
        <v>305</v>
      </c>
      <c r="F22" t="s">
        <v>306</v>
      </c>
      <c r="G22" t="s">
        <v>307</v>
      </c>
      <c r="H22" t="s">
        <v>308</v>
      </c>
    </row>
    <row r="23" ht="15.75" customHeight="1">
      <c r="A23" t="s">
        <v>309</v>
      </c>
      <c r="B23">
        <v>5.0</v>
      </c>
      <c r="C23">
        <v>0.0075</v>
      </c>
      <c r="D23" t="s">
        <v>310</v>
      </c>
      <c r="E23" t="s">
        <v>305</v>
      </c>
      <c r="F23" t="s">
        <v>311</v>
      </c>
      <c r="G23" t="s">
        <v>307</v>
      </c>
      <c r="H23" t="s">
        <v>308</v>
      </c>
    </row>
    <row r="24" ht="15.75" customHeight="1">
      <c r="A24" t="s">
        <v>288</v>
      </c>
      <c r="B24">
        <v>3.0</v>
      </c>
      <c r="C24">
        <v>0.01</v>
      </c>
      <c r="D24" t="s">
        <v>312</v>
      </c>
      <c r="E24" t="s">
        <v>305</v>
      </c>
      <c r="F24" t="s">
        <v>313</v>
      </c>
      <c r="G24" t="s">
        <v>307</v>
      </c>
      <c r="H24" t="s">
        <v>308</v>
      </c>
    </row>
    <row r="25" ht="15.75" customHeight="1">
      <c r="A25" t="s">
        <v>314</v>
      </c>
      <c r="B25">
        <v>5.0</v>
      </c>
      <c r="C25">
        <v>-0.03</v>
      </c>
      <c r="D25" t="s">
        <v>315</v>
      </c>
      <c r="E25" t="s">
        <v>316</v>
      </c>
      <c r="F25" t="s">
        <v>317</v>
      </c>
      <c r="G25" t="s">
        <v>307</v>
      </c>
      <c r="H25" t="s">
        <v>308</v>
      </c>
    </row>
    <row r="26" ht="15.75" customHeight="1">
      <c r="A26" t="s">
        <v>318</v>
      </c>
      <c r="B26">
        <v>5.0</v>
      </c>
      <c r="C26">
        <v>-0.02</v>
      </c>
      <c r="D26" t="s">
        <v>319</v>
      </c>
      <c r="E26" t="s">
        <v>316</v>
      </c>
      <c r="F26" t="s">
        <v>320</v>
      </c>
      <c r="G26" t="s">
        <v>307</v>
      </c>
      <c r="H26" t="s">
        <v>308</v>
      </c>
    </row>
    <row r="27" ht="15.75" customHeight="1"/>
    <row r="28" ht="15.75" customHeight="1">
      <c r="A28" t="s">
        <v>321</v>
      </c>
    </row>
    <row r="29" ht="15.75" customHeight="1">
      <c r="A29" t="s">
        <v>322</v>
      </c>
      <c r="B29" t="s">
        <v>323</v>
      </c>
      <c r="C29" t="s">
        <v>324</v>
      </c>
      <c r="D29" t="s">
        <v>325</v>
      </c>
      <c r="E29" t="s">
        <v>326</v>
      </c>
      <c r="F29" t="s">
        <v>327</v>
      </c>
      <c r="G29" t="s">
        <v>328</v>
      </c>
      <c r="H29" t="s">
        <v>5</v>
      </c>
    </row>
    <row r="30" ht="15.75" customHeight="1">
      <c r="A30" t="s">
        <v>329</v>
      </c>
      <c r="B30" t="s">
        <v>330</v>
      </c>
      <c r="C30" t="s">
        <v>331</v>
      </c>
      <c r="D30" t="s">
        <v>332</v>
      </c>
      <c r="E30" t="s">
        <v>333</v>
      </c>
      <c r="F30" t="s">
        <v>334</v>
      </c>
      <c r="G30" t="s">
        <v>335</v>
      </c>
      <c r="H30" t="s">
        <v>336</v>
      </c>
    </row>
    <row r="31" ht="15.75" customHeight="1">
      <c r="A31" t="s">
        <v>337</v>
      </c>
      <c r="B31" t="s">
        <v>338</v>
      </c>
      <c r="C31" t="s">
        <v>339</v>
      </c>
      <c r="D31" t="s">
        <v>340</v>
      </c>
      <c r="E31" t="s">
        <v>341</v>
      </c>
      <c r="F31" t="s">
        <v>334</v>
      </c>
      <c r="G31" t="s">
        <v>342</v>
      </c>
      <c r="H31" t="s">
        <v>283</v>
      </c>
    </row>
    <row r="32" ht="15.75" customHeight="1">
      <c r="A32" t="s">
        <v>343</v>
      </c>
      <c r="B32" t="s">
        <v>344</v>
      </c>
      <c r="C32" t="s">
        <v>345</v>
      </c>
      <c r="D32" t="s">
        <v>346</v>
      </c>
      <c r="E32" t="s">
        <v>333</v>
      </c>
      <c r="F32" t="s">
        <v>334</v>
      </c>
      <c r="G32" t="s">
        <v>347</v>
      </c>
      <c r="H32" t="s">
        <v>336</v>
      </c>
    </row>
    <row r="33" ht="15.75" customHeight="1">
      <c r="A33" t="s">
        <v>348</v>
      </c>
      <c r="B33" t="s">
        <v>349</v>
      </c>
      <c r="C33" t="s">
        <v>350</v>
      </c>
      <c r="D33" t="s">
        <v>351</v>
      </c>
      <c r="E33" t="s">
        <v>333</v>
      </c>
      <c r="F33" t="s">
        <v>352</v>
      </c>
      <c r="G33" t="s">
        <v>353</v>
      </c>
      <c r="H33" t="s">
        <v>283</v>
      </c>
    </row>
    <row r="34" ht="15.75" customHeight="1">
      <c r="A34" t="s">
        <v>354</v>
      </c>
      <c r="B34" t="s">
        <v>355</v>
      </c>
      <c r="C34" t="s">
        <v>356</v>
      </c>
      <c r="D34" t="s">
        <v>357</v>
      </c>
      <c r="E34" t="s">
        <v>333</v>
      </c>
      <c r="F34" t="s">
        <v>352</v>
      </c>
      <c r="G34" t="s">
        <v>358</v>
      </c>
      <c r="H34" t="s">
        <v>283</v>
      </c>
    </row>
    <row r="35" ht="15.75" customHeight="1">
      <c r="A35" t="s">
        <v>359</v>
      </c>
      <c r="B35" t="s">
        <v>360</v>
      </c>
      <c r="C35" t="s">
        <v>361</v>
      </c>
      <c r="D35" t="s">
        <v>362</v>
      </c>
      <c r="E35" t="s">
        <v>363</v>
      </c>
      <c r="F35" t="s">
        <v>364</v>
      </c>
      <c r="G35" t="s">
        <v>365</v>
      </c>
      <c r="H35" t="s">
        <v>84</v>
      </c>
    </row>
    <row r="36" ht="15.75" customHeight="1"/>
    <row r="37" ht="15.75" customHeight="1">
      <c r="A37" t="s">
        <v>366</v>
      </c>
    </row>
    <row r="38" ht="15.75" customHeight="1">
      <c r="A38" t="s">
        <v>367</v>
      </c>
      <c r="B38" t="s">
        <v>368</v>
      </c>
      <c r="C38" t="s">
        <v>5</v>
      </c>
      <c r="D38" t="s">
        <v>369</v>
      </c>
    </row>
    <row r="39" ht="15.75" customHeight="1">
      <c r="A39" t="s">
        <v>370</v>
      </c>
      <c r="B39" t="s">
        <v>371</v>
      </c>
      <c r="C39" t="s">
        <v>283</v>
      </c>
      <c r="D39" t="s">
        <v>372</v>
      </c>
    </row>
    <row r="40" ht="15.75" customHeight="1">
      <c r="A40" t="s">
        <v>326</v>
      </c>
      <c r="B40" t="s">
        <v>373</v>
      </c>
      <c r="C40" t="s">
        <v>84</v>
      </c>
      <c r="D40" t="s">
        <v>374</v>
      </c>
    </row>
    <row r="41" ht="15.75" customHeight="1">
      <c r="A41" t="s">
        <v>375</v>
      </c>
      <c r="B41" t="s">
        <v>376</v>
      </c>
      <c r="C41" t="s">
        <v>283</v>
      </c>
      <c r="D41" t="s">
        <v>377</v>
      </c>
    </row>
    <row r="42" ht="15.75" customHeight="1">
      <c r="A42" t="s">
        <v>378</v>
      </c>
      <c r="B42" t="s">
        <v>379</v>
      </c>
      <c r="C42" t="s">
        <v>84</v>
      </c>
      <c r="D42" t="s">
        <v>380</v>
      </c>
    </row>
    <row r="43" ht="15.75" customHeight="1">
      <c r="A43" t="s">
        <v>381</v>
      </c>
      <c r="B43" t="s">
        <v>382</v>
      </c>
      <c r="C43" t="s">
        <v>84</v>
      </c>
      <c r="D43" t="s">
        <v>383</v>
      </c>
    </row>
    <row r="44" ht="15.75" customHeight="1">
      <c r="A44" t="s">
        <v>260</v>
      </c>
      <c r="B44" t="s">
        <v>384</v>
      </c>
      <c r="C44" t="s">
        <v>84</v>
      </c>
      <c r="D44" t="s">
        <v>385</v>
      </c>
    </row>
    <row r="45" ht="15.75" customHeight="1">
      <c r="A45" t="s">
        <v>138</v>
      </c>
      <c r="B45" t="s">
        <v>386</v>
      </c>
      <c r="C45" t="s">
        <v>84</v>
      </c>
      <c r="D45" t="s">
        <v>387</v>
      </c>
    </row>
    <row r="46" ht="15.75" customHeight="1">
      <c r="A46" t="s">
        <v>388</v>
      </c>
      <c r="B46" t="s">
        <v>389</v>
      </c>
      <c r="C46" t="s">
        <v>283</v>
      </c>
      <c r="D46" t="s">
        <v>390</v>
      </c>
    </row>
    <row r="47" ht="15.75" customHeight="1">
      <c r="A47" t="s">
        <v>391</v>
      </c>
      <c r="B47" t="s">
        <v>392</v>
      </c>
      <c r="C47" t="s">
        <v>283</v>
      </c>
      <c r="D47" t="s">
        <v>393</v>
      </c>
    </row>
    <row r="48" ht="15.75" customHeight="1">
      <c r="A48" t="s">
        <v>394</v>
      </c>
      <c r="B48" t="s">
        <v>395</v>
      </c>
      <c r="C48" t="s">
        <v>283</v>
      </c>
      <c r="D48" t="s">
        <v>396</v>
      </c>
    </row>
    <row r="49" ht="15.75" customHeight="1"/>
    <row r="50" ht="15.75" customHeight="1">
      <c r="A50" t="s">
        <v>397</v>
      </c>
    </row>
    <row r="51" ht="15.75" customHeight="1">
      <c r="A51" t="s">
        <v>398</v>
      </c>
      <c r="B51" t="s">
        <v>368</v>
      </c>
      <c r="C51" t="s">
        <v>399</v>
      </c>
      <c r="D51" t="s">
        <v>400</v>
      </c>
      <c r="E51" t="s">
        <v>401</v>
      </c>
      <c r="F51" t="s">
        <v>5</v>
      </c>
      <c r="G51" t="s">
        <v>6</v>
      </c>
    </row>
    <row r="52" ht="15.75" customHeight="1">
      <c r="A52" t="s">
        <v>402</v>
      </c>
      <c r="B52" t="s">
        <v>403</v>
      </c>
      <c r="C52" t="s">
        <v>404</v>
      </c>
      <c r="D52" t="s">
        <v>405</v>
      </c>
      <c r="E52" t="s">
        <v>406</v>
      </c>
      <c r="F52" t="s">
        <v>84</v>
      </c>
      <c r="G52" t="s">
        <v>407</v>
      </c>
    </row>
    <row r="53" ht="15.75" customHeight="1">
      <c r="A53" t="s">
        <v>408</v>
      </c>
      <c r="B53" t="s">
        <v>409</v>
      </c>
      <c r="C53" t="s">
        <v>410</v>
      </c>
      <c r="D53" t="s">
        <v>411</v>
      </c>
      <c r="E53" t="s">
        <v>412</v>
      </c>
      <c r="F53" t="s">
        <v>413</v>
      </c>
      <c r="G53" t="s">
        <v>414</v>
      </c>
    </row>
    <row r="54" ht="15.75" customHeight="1">
      <c r="A54" t="s">
        <v>415</v>
      </c>
      <c r="B54" t="s">
        <v>416</v>
      </c>
      <c r="C54" t="s">
        <v>410</v>
      </c>
      <c r="D54" t="s">
        <v>417</v>
      </c>
      <c r="E54" t="s">
        <v>412</v>
      </c>
      <c r="F54" t="s">
        <v>413</v>
      </c>
      <c r="G54" t="s">
        <v>414</v>
      </c>
    </row>
    <row r="55" ht="15.75" customHeight="1">
      <c r="A55" t="s">
        <v>418</v>
      </c>
      <c r="B55" t="s">
        <v>419</v>
      </c>
      <c r="C55" t="s">
        <v>340</v>
      </c>
      <c r="D55" t="s">
        <v>420</v>
      </c>
      <c r="E55" t="s">
        <v>421</v>
      </c>
      <c r="F55" t="s">
        <v>413</v>
      </c>
      <c r="G55" t="s">
        <v>422</v>
      </c>
    </row>
    <row r="56" ht="15.75" customHeight="1">
      <c r="A56" s="14" t="s">
        <v>423</v>
      </c>
    </row>
    <row r="57" ht="15.75" customHeight="1">
      <c r="A57" s="15" t="s">
        <v>296</v>
      </c>
      <c r="B57" s="15" t="s">
        <v>297</v>
      </c>
      <c r="C57" s="15" t="s">
        <v>299</v>
      </c>
      <c r="D57" s="15" t="s">
        <v>300</v>
      </c>
      <c r="E57" s="15" t="s">
        <v>301</v>
      </c>
      <c r="F57" s="15" t="s">
        <v>302</v>
      </c>
      <c r="G57" s="15" t="s">
        <v>424</v>
      </c>
      <c r="H57" s="15" t="s">
        <v>5</v>
      </c>
    </row>
    <row r="58" ht="15.75" customHeight="1">
      <c r="A58" s="5" t="s">
        <v>425</v>
      </c>
      <c r="B58" s="5">
        <v>5.0</v>
      </c>
      <c r="C58" s="5" t="s">
        <v>426</v>
      </c>
      <c r="D58" s="5" t="s">
        <v>316</v>
      </c>
      <c r="E58" s="5" t="s">
        <v>427</v>
      </c>
      <c r="F58" s="5" t="s">
        <v>307</v>
      </c>
      <c r="G58" s="5" t="s">
        <v>428</v>
      </c>
      <c r="H58" s="5" t="s">
        <v>84</v>
      </c>
    </row>
    <row r="59" ht="15.75" customHeight="1">
      <c r="A59" s="5" t="s">
        <v>429</v>
      </c>
      <c r="B59" s="5">
        <v>5.0</v>
      </c>
      <c r="C59" s="5" t="s">
        <v>430</v>
      </c>
      <c r="D59" s="5" t="s">
        <v>316</v>
      </c>
      <c r="E59" s="5" t="s">
        <v>431</v>
      </c>
      <c r="F59" s="5" t="s">
        <v>307</v>
      </c>
      <c r="G59" s="5" t="s">
        <v>428</v>
      </c>
      <c r="H59" s="5" t="s">
        <v>84</v>
      </c>
    </row>
    <row r="60" ht="15.75" customHeight="1">
      <c r="A60" s="5" t="s">
        <v>432</v>
      </c>
      <c r="B60" s="5">
        <v>5.0</v>
      </c>
      <c r="C60" s="5" t="s">
        <v>433</v>
      </c>
      <c r="D60" s="5" t="s">
        <v>316</v>
      </c>
      <c r="E60" s="5" t="s">
        <v>434</v>
      </c>
      <c r="F60" s="5" t="s">
        <v>307</v>
      </c>
      <c r="G60" s="5" t="s">
        <v>428</v>
      </c>
      <c r="H60" s="5" t="s">
        <v>84</v>
      </c>
    </row>
    <row r="61" ht="15.75" customHeight="1">
      <c r="A61" s="5"/>
      <c r="B61" s="5"/>
      <c r="C61" s="5"/>
      <c r="D61" s="5"/>
      <c r="E61" s="5"/>
      <c r="F61" s="5"/>
      <c r="G61" s="5"/>
      <c r="H61" s="5"/>
    </row>
    <row r="62" ht="15.75" customHeight="1">
      <c r="A62" s="14" t="s">
        <v>435</v>
      </c>
    </row>
    <row r="63" ht="15.75" customHeight="1">
      <c r="A63" s="15" t="s">
        <v>322</v>
      </c>
      <c r="B63" s="15" t="s">
        <v>323</v>
      </c>
      <c r="C63" s="15" t="s">
        <v>324</v>
      </c>
      <c r="D63" s="15" t="s">
        <v>325</v>
      </c>
      <c r="E63" s="15" t="s">
        <v>326</v>
      </c>
      <c r="F63" s="15" t="s">
        <v>327</v>
      </c>
      <c r="G63" s="15" t="s">
        <v>328</v>
      </c>
      <c r="H63" s="15" t="s">
        <v>5</v>
      </c>
    </row>
    <row r="64" ht="15.75" customHeight="1">
      <c r="A64" s="5" t="s">
        <v>436</v>
      </c>
      <c r="B64" s="5" t="s">
        <v>437</v>
      </c>
      <c r="C64" s="5" t="s">
        <v>438</v>
      </c>
      <c r="D64" s="5" t="s">
        <v>346</v>
      </c>
      <c r="E64" s="5" t="s">
        <v>333</v>
      </c>
      <c r="F64" s="5" t="s">
        <v>334</v>
      </c>
      <c r="G64" s="5" t="s">
        <v>439</v>
      </c>
      <c r="H64" s="5" t="s">
        <v>84</v>
      </c>
    </row>
    <row r="65" ht="15.75" customHeight="1">
      <c r="A65" s="5" t="s">
        <v>440</v>
      </c>
      <c r="B65" s="5" t="s">
        <v>441</v>
      </c>
      <c r="C65" s="5" t="s">
        <v>442</v>
      </c>
      <c r="D65" s="5" t="s">
        <v>332</v>
      </c>
      <c r="E65" s="5" t="s">
        <v>333</v>
      </c>
      <c r="F65" s="5" t="s">
        <v>443</v>
      </c>
      <c r="G65" s="5" t="s">
        <v>444</v>
      </c>
      <c r="H65" s="5" t="s">
        <v>84</v>
      </c>
    </row>
    <row r="66" ht="15.75" customHeight="1">
      <c r="A66" s="5" t="s">
        <v>445</v>
      </c>
      <c r="B66" s="5" t="s">
        <v>446</v>
      </c>
      <c r="C66" s="5" t="s">
        <v>447</v>
      </c>
      <c r="D66" s="5" t="s">
        <v>448</v>
      </c>
      <c r="E66" s="5" t="s">
        <v>333</v>
      </c>
      <c r="F66" s="5" t="s">
        <v>449</v>
      </c>
      <c r="G66" s="5" t="s">
        <v>450</v>
      </c>
      <c r="H66" s="5" t="s">
        <v>84</v>
      </c>
    </row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8">
    <mergeCell ref="A1:H1"/>
    <mergeCell ref="A2:H2"/>
    <mergeCell ref="A20:H20"/>
    <mergeCell ref="A28:H28"/>
    <mergeCell ref="A37:H37"/>
    <mergeCell ref="A50:H50"/>
    <mergeCell ref="A56:H56"/>
    <mergeCell ref="A62:H62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0.0"/>
    <col customWidth="1" min="2" max="2" width="14.0"/>
    <col customWidth="1" min="3" max="3" width="20.0"/>
    <col customWidth="1" min="4" max="4" width="16.0"/>
    <col customWidth="1" min="5" max="5" width="46.0"/>
    <col customWidth="1" min="6" max="6" width="28.0"/>
    <col customWidth="1" min="7" max="7" width="20.0"/>
    <col customWidth="1" min="8" max="8" width="56.0"/>
    <col customWidth="1" min="9" max="9" width="40.0"/>
    <col customWidth="1" min="10" max="11" width="8.71"/>
  </cols>
  <sheetData>
    <row r="1">
      <c r="A1" s="10" t="s">
        <v>451</v>
      </c>
    </row>
    <row r="2">
      <c r="A2" s="2" t="s">
        <v>452</v>
      </c>
    </row>
    <row r="4">
      <c r="A4" s="3" t="s">
        <v>453</v>
      </c>
      <c r="B4" s="3" t="s">
        <v>454</v>
      </c>
      <c r="C4" s="3" t="s">
        <v>455</v>
      </c>
      <c r="D4" s="3" t="s">
        <v>76</v>
      </c>
      <c r="E4" s="3" t="s">
        <v>456</v>
      </c>
      <c r="F4" s="3" t="s">
        <v>457</v>
      </c>
      <c r="G4" s="3" t="s">
        <v>458</v>
      </c>
      <c r="H4" s="3" t="s">
        <v>459</v>
      </c>
      <c r="I4" s="3" t="s">
        <v>6</v>
      </c>
    </row>
    <row r="5">
      <c r="A5" s="4">
        <v>1.0</v>
      </c>
      <c r="B5" s="4" t="s">
        <v>460</v>
      </c>
      <c r="C5" s="4" t="s">
        <v>153</v>
      </c>
      <c r="D5" s="4" t="s">
        <v>461</v>
      </c>
      <c r="E5" s="4" t="s">
        <v>462</v>
      </c>
      <c r="F5" s="4" t="s">
        <v>463</v>
      </c>
      <c r="G5" s="4" t="s">
        <v>464</v>
      </c>
      <c r="H5" s="4" t="s">
        <v>465</v>
      </c>
      <c r="I5" s="4" t="s">
        <v>466</v>
      </c>
    </row>
    <row r="6">
      <c r="A6" s="4">
        <v>2.0</v>
      </c>
      <c r="B6" s="4" t="s">
        <v>467</v>
      </c>
      <c r="C6" s="4" t="s">
        <v>82</v>
      </c>
      <c r="D6" s="4" t="s">
        <v>461</v>
      </c>
      <c r="E6" s="4" t="s">
        <v>468</v>
      </c>
      <c r="F6" s="4" t="s">
        <v>469</v>
      </c>
      <c r="G6" s="4" t="s">
        <v>470</v>
      </c>
      <c r="H6" s="4" t="s">
        <v>471</v>
      </c>
      <c r="I6" s="4" t="s">
        <v>472</v>
      </c>
    </row>
    <row r="7">
      <c r="A7" s="4">
        <v>3.0</v>
      </c>
      <c r="B7" s="4" t="s">
        <v>473</v>
      </c>
      <c r="C7" s="4" t="s">
        <v>89</v>
      </c>
      <c r="D7" s="4" t="s">
        <v>474</v>
      </c>
      <c r="E7" s="4" t="s">
        <v>475</v>
      </c>
      <c r="F7" s="4" t="s">
        <v>469</v>
      </c>
      <c r="G7" s="4" t="s">
        <v>470</v>
      </c>
      <c r="H7" s="4" t="s">
        <v>476</v>
      </c>
      <c r="I7" s="4" t="s">
        <v>477</v>
      </c>
    </row>
    <row r="8">
      <c r="A8" s="4">
        <v>4.0</v>
      </c>
      <c r="B8" s="4" t="s">
        <v>478</v>
      </c>
      <c r="C8" s="4" t="s">
        <v>94</v>
      </c>
      <c r="D8" s="4" t="s">
        <v>474</v>
      </c>
      <c r="E8" s="4" t="s">
        <v>479</v>
      </c>
      <c r="F8" s="4" t="s">
        <v>469</v>
      </c>
      <c r="G8" s="4" t="s">
        <v>470</v>
      </c>
      <c r="H8" s="4" t="s">
        <v>480</v>
      </c>
      <c r="I8" s="4" t="s">
        <v>481</v>
      </c>
    </row>
    <row r="9">
      <c r="A9" s="4">
        <v>5.0</v>
      </c>
      <c r="B9" s="4" t="s">
        <v>482</v>
      </c>
      <c r="C9" s="4" t="s">
        <v>98</v>
      </c>
      <c r="D9" s="4" t="s">
        <v>474</v>
      </c>
      <c r="E9" s="4" t="s">
        <v>483</v>
      </c>
      <c r="F9" s="4" t="s">
        <v>469</v>
      </c>
      <c r="G9" s="4" t="s">
        <v>470</v>
      </c>
      <c r="H9" s="4" t="s">
        <v>484</v>
      </c>
      <c r="I9" s="4" t="s">
        <v>485</v>
      </c>
    </row>
    <row r="10">
      <c r="A10" s="4">
        <v>6.0</v>
      </c>
      <c r="B10" s="4" t="s">
        <v>486</v>
      </c>
      <c r="C10" s="4" t="s">
        <v>106</v>
      </c>
      <c r="D10" s="4" t="s">
        <v>487</v>
      </c>
      <c r="E10" s="4" t="s">
        <v>488</v>
      </c>
      <c r="F10" s="4" t="s">
        <v>469</v>
      </c>
      <c r="G10" s="4" t="s">
        <v>489</v>
      </c>
      <c r="H10" s="4" t="s">
        <v>490</v>
      </c>
      <c r="I10" s="4" t="s">
        <v>491</v>
      </c>
    </row>
    <row r="11">
      <c r="A11" s="4">
        <v>7.0</v>
      </c>
      <c r="B11" s="4" t="s">
        <v>492</v>
      </c>
      <c r="C11" s="4" t="s">
        <v>111</v>
      </c>
      <c r="D11" s="4" t="s">
        <v>487</v>
      </c>
      <c r="E11" s="4" t="s">
        <v>493</v>
      </c>
      <c r="F11" s="4" t="s">
        <v>469</v>
      </c>
      <c r="G11" s="4" t="s">
        <v>489</v>
      </c>
      <c r="H11" s="4" t="s">
        <v>490</v>
      </c>
      <c r="I11" s="4" t="s">
        <v>494</v>
      </c>
    </row>
    <row r="12">
      <c r="A12" s="4">
        <v>8.0</v>
      </c>
      <c r="B12" s="4" t="s">
        <v>495</v>
      </c>
      <c r="C12" s="4" t="s">
        <v>101</v>
      </c>
      <c r="D12" s="4" t="s">
        <v>496</v>
      </c>
      <c r="E12" s="4" t="s">
        <v>497</v>
      </c>
      <c r="F12" s="4" t="s">
        <v>469</v>
      </c>
      <c r="G12" s="4" t="s">
        <v>498</v>
      </c>
      <c r="H12" s="4" t="s">
        <v>499</v>
      </c>
      <c r="I12" s="4" t="s">
        <v>500</v>
      </c>
    </row>
    <row r="13">
      <c r="A13" s="4">
        <v>9.0</v>
      </c>
      <c r="B13" s="4" t="s">
        <v>501</v>
      </c>
      <c r="C13" s="4" t="s">
        <v>502</v>
      </c>
      <c r="D13" s="4" t="s">
        <v>503</v>
      </c>
      <c r="E13" s="4" t="s">
        <v>504</v>
      </c>
      <c r="F13" s="4" t="s">
        <v>505</v>
      </c>
      <c r="G13" s="4" t="s">
        <v>506</v>
      </c>
      <c r="H13" s="4" t="s">
        <v>507</v>
      </c>
      <c r="I13" s="4" t="s">
        <v>508</v>
      </c>
    </row>
    <row r="14">
      <c r="A14" s="4">
        <v>10.0</v>
      </c>
      <c r="B14" s="4" t="s">
        <v>509</v>
      </c>
      <c r="C14" s="4" t="s">
        <v>510</v>
      </c>
      <c r="D14" s="4" t="s">
        <v>503</v>
      </c>
      <c r="E14" s="4" t="s">
        <v>511</v>
      </c>
      <c r="F14" s="4" t="s">
        <v>512</v>
      </c>
      <c r="G14" s="4" t="s">
        <v>513</v>
      </c>
      <c r="H14" s="4" t="s">
        <v>514</v>
      </c>
      <c r="I14" s="4" t="s">
        <v>515</v>
      </c>
    </row>
    <row r="15">
      <c r="A15" s="4">
        <v>11.0</v>
      </c>
      <c r="B15" s="4" t="s">
        <v>516</v>
      </c>
      <c r="C15" s="4" t="s">
        <v>517</v>
      </c>
      <c r="D15" s="4" t="s">
        <v>503</v>
      </c>
      <c r="E15" s="4" t="s">
        <v>518</v>
      </c>
      <c r="F15" s="4" t="s">
        <v>519</v>
      </c>
      <c r="G15" s="4" t="s">
        <v>520</v>
      </c>
      <c r="H15" s="4" t="s">
        <v>521</v>
      </c>
      <c r="I15" s="4" t="s">
        <v>522</v>
      </c>
    </row>
    <row r="16">
      <c r="A16" s="4">
        <v>12.0</v>
      </c>
      <c r="B16" s="4" t="s">
        <v>523</v>
      </c>
      <c r="C16" s="4" t="s">
        <v>524</v>
      </c>
      <c r="D16" s="4" t="s">
        <v>503</v>
      </c>
      <c r="E16" s="4" t="s">
        <v>525</v>
      </c>
      <c r="F16" s="4" t="s">
        <v>519</v>
      </c>
      <c r="G16" s="4" t="s">
        <v>520</v>
      </c>
      <c r="H16" s="4" t="s">
        <v>526</v>
      </c>
      <c r="I16" s="4" t="s">
        <v>527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I1"/>
    <mergeCell ref="A2:I2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0"/>
    <col customWidth="1" min="2" max="3" width="12.0"/>
    <col customWidth="1" min="4" max="5" width="30.0"/>
    <col customWidth="1" min="6" max="6" width="28.0"/>
    <col customWidth="1" min="7" max="8" width="34.0"/>
    <col customWidth="1" min="9" max="9" width="60.0"/>
    <col customWidth="1" min="10" max="11" width="8.71"/>
  </cols>
  <sheetData>
    <row r="1">
      <c r="A1" s="10" t="s">
        <v>528</v>
      </c>
    </row>
    <row r="2">
      <c r="A2" s="2" t="s">
        <v>529</v>
      </c>
    </row>
    <row r="4">
      <c r="A4" s="3" t="s">
        <v>530</v>
      </c>
      <c r="B4" s="3" t="s">
        <v>531</v>
      </c>
      <c r="C4" s="3" t="s">
        <v>532</v>
      </c>
      <c r="D4" s="3" t="s">
        <v>533</v>
      </c>
      <c r="E4" s="3" t="s">
        <v>534</v>
      </c>
      <c r="F4" s="3" t="s">
        <v>535</v>
      </c>
      <c r="G4" s="3" t="s">
        <v>536</v>
      </c>
      <c r="H4" s="3" t="s">
        <v>537</v>
      </c>
      <c r="I4" s="3" t="s">
        <v>538</v>
      </c>
    </row>
    <row r="5">
      <c r="A5" s="4" t="s">
        <v>539</v>
      </c>
      <c r="B5" s="4">
        <v>4.0</v>
      </c>
      <c r="C5" s="4">
        <v>-4.0</v>
      </c>
      <c r="D5" s="4" t="s">
        <v>540</v>
      </c>
      <c r="E5" s="4" t="s">
        <v>541</v>
      </c>
      <c r="F5" s="4" t="s">
        <v>542</v>
      </c>
      <c r="G5" s="4" t="s">
        <v>543</v>
      </c>
      <c r="H5" s="4" t="s">
        <v>544</v>
      </c>
      <c r="I5" s="4" t="s">
        <v>545</v>
      </c>
    </row>
    <row r="6">
      <c r="A6" s="4" t="s">
        <v>234</v>
      </c>
      <c r="B6" s="4">
        <v>10.0</v>
      </c>
      <c r="C6" s="4">
        <v>-10.0</v>
      </c>
      <c r="D6" s="4" t="s">
        <v>546</v>
      </c>
      <c r="E6" s="4" t="s">
        <v>547</v>
      </c>
      <c r="F6" s="4" t="s">
        <v>548</v>
      </c>
      <c r="G6" s="4" t="s">
        <v>549</v>
      </c>
      <c r="H6" s="4" t="s">
        <v>544</v>
      </c>
      <c r="I6" s="4" t="s">
        <v>550</v>
      </c>
    </row>
    <row r="7">
      <c r="A7" s="4" t="s">
        <v>551</v>
      </c>
      <c r="B7" s="4">
        <v>20.0</v>
      </c>
      <c r="C7" s="4">
        <v>-20.0</v>
      </c>
      <c r="D7" s="4" t="s">
        <v>552</v>
      </c>
      <c r="E7" s="4" t="s">
        <v>553</v>
      </c>
      <c r="F7" s="4" t="s">
        <v>554</v>
      </c>
      <c r="G7" s="4" t="s">
        <v>555</v>
      </c>
      <c r="H7" s="4" t="s">
        <v>544</v>
      </c>
      <c r="I7" s="4" t="s">
        <v>556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I1"/>
    <mergeCell ref="A2:I2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0"/>
    <col customWidth="1" min="2" max="2" width="8.0"/>
    <col customWidth="1" min="3" max="3" width="16.0"/>
    <col customWidth="1" min="4" max="5" width="14.0"/>
    <col customWidth="1" min="6" max="7" width="16.0"/>
    <col customWidth="1" min="8" max="8" width="22.0"/>
    <col customWidth="1" min="9" max="9" width="18.0"/>
    <col customWidth="1" min="10" max="10" width="16.0"/>
    <col customWidth="1" min="11" max="11" width="14.0"/>
    <col customWidth="1" min="12" max="12" width="20.0"/>
  </cols>
  <sheetData>
    <row r="1">
      <c r="A1" s="10" t="s">
        <v>557</v>
      </c>
    </row>
    <row r="2">
      <c r="A2" s="2" t="s">
        <v>558</v>
      </c>
    </row>
    <row r="4">
      <c r="A4" s="3" t="s">
        <v>133</v>
      </c>
      <c r="B4" s="3" t="s">
        <v>559</v>
      </c>
      <c r="C4" s="3" t="s">
        <v>560</v>
      </c>
      <c r="D4" s="3" t="s">
        <v>561</v>
      </c>
      <c r="E4" s="3" t="s">
        <v>562</v>
      </c>
      <c r="F4" s="3" t="s">
        <v>563</v>
      </c>
      <c r="G4" s="3" t="s">
        <v>189</v>
      </c>
      <c r="H4" s="3" t="s">
        <v>564</v>
      </c>
      <c r="I4" s="3" t="s">
        <v>565</v>
      </c>
      <c r="J4" s="3" t="s">
        <v>566</v>
      </c>
      <c r="K4" s="3" t="s">
        <v>567</v>
      </c>
      <c r="L4" s="3" t="s">
        <v>568</v>
      </c>
    </row>
    <row r="5">
      <c r="A5" s="4" t="s">
        <v>569</v>
      </c>
      <c r="B5" s="4">
        <v>1.0</v>
      </c>
      <c r="C5" s="4">
        <v>1.0</v>
      </c>
      <c r="D5" s="4">
        <v>1.0</v>
      </c>
      <c r="E5" s="4">
        <v>1.0</v>
      </c>
      <c r="F5" s="4">
        <v>1.0</v>
      </c>
      <c r="G5" s="4" t="s">
        <v>196</v>
      </c>
      <c r="H5" s="4" t="s">
        <v>570</v>
      </c>
      <c r="I5" s="4" t="s">
        <v>89</v>
      </c>
      <c r="J5" s="4" t="s">
        <v>539</v>
      </c>
      <c r="K5" s="4">
        <v>4.0</v>
      </c>
      <c r="L5" s="4" t="s">
        <v>571</v>
      </c>
    </row>
    <row r="6">
      <c r="A6" s="4" t="s">
        <v>572</v>
      </c>
      <c r="B6" s="4">
        <v>2.0</v>
      </c>
      <c r="C6" s="4">
        <v>1.25</v>
      </c>
      <c r="D6" s="4">
        <v>2.0</v>
      </c>
      <c r="E6" s="4">
        <v>1.0</v>
      </c>
      <c r="F6" s="4">
        <v>2.0</v>
      </c>
      <c r="G6" s="4" t="s">
        <v>202</v>
      </c>
      <c r="H6" s="4" t="s">
        <v>573</v>
      </c>
      <c r="I6" s="4" t="s">
        <v>94</v>
      </c>
      <c r="J6" s="4" t="s">
        <v>234</v>
      </c>
      <c r="K6" s="4">
        <v>10.0</v>
      </c>
      <c r="L6" s="4" t="s">
        <v>574</v>
      </c>
    </row>
    <row r="7">
      <c r="A7" s="4" t="s">
        <v>575</v>
      </c>
      <c r="B7" s="4">
        <v>3.0</v>
      </c>
      <c r="C7" s="4">
        <v>1.55</v>
      </c>
      <c r="D7" s="4">
        <v>3.0</v>
      </c>
      <c r="E7" s="4">
        <v>2.0</v>
      </c>
      <c r="F7" s="4">
        <v>2.0</v>
      </c>
      <c r="G7" s="4" t="s">
        <v>209</v>
      </c>
      <c r="H7" s="4" t="s">
        <v>576</v>
      </c>
      <c r="I7" s="4" t="s">
        <v>98</v>
      </c>
      <c r="J7" s="4" t="s">
        <v>551</v>
      </c>
      <c r="K7" s="4">
        <v>20.0</v>
      </c>
      <c r="L7" s="4" t="s">
        <v>577</v>
      </c>
    </row>
    <row r="8">
      <c r="A8" s="4" t="s">
        <v>578</v>
      </c>
      <c r="B8" s="4">
        <v>4.0</v>
      </c>
      <c r="C8" s="4">
        <v>1.9</v>
      </c>
      <c r="D8" s="4">
        <v>4.0</v>
      </c>
      <c r="E8" s="4">
        <v>3.0</v>
      </c>
      <c r="F8" s="4">
        <v>3.0</v>
      </c>
      <c r="G8" s="4" t="s">
        <v>215</v>
      </c>
      <c r="H8" s="4" t="s">
        <v>579</v>
      </c>
      <c r="I8" s="4" t="s">
        <v>106</v>
      </c>
      <c r="J8" s="4"/>
      <c r="K8" s="4"/>
      <c r="L8" s="4" t="s">
        <v>580</v>
      </c>
    </row>
    <row r="9">
      <c r="A9" s="4" t="s">
        <v>581</v>
      </c>
      <c r="B9" s="4">
        <v>5.0</v>
      </c>
      <c r="C9" s="4">
        <v>2.3</v>
      </c>
      <c r="D9" s="4">
        <v>5.0</v>
      </c>
      <c r="E9" s="4">
        <v>3.0</v>
      </c>
      <c r="F9" s="4">
        <v>3.0</v>
      </c>
      <c r="G9" s="4" t="s">
        <v>222</v>
      </c>
      <c r="H9" s="4" t="s">
        <v>582</v>
      </c>
      <c r="I9" s="4" t="s">
        <v>111</v>
      </c>
      <c r="J9" s="4"/>
      <c r="K9" s="4"/>
      <c r="L9" s="4" t="s">
        <v>583</v>
      </c>
    </row>
    <row r="10">
      <c r="A10" s="4" t="s">
        <v>584</v>
      </c>
      <c r="B10" s="4">
        <v>6.0</v>
      </c>
      <c r="C10" s="4">
        <v>2.75</v>
      </c>
      <c r="D10" s="4">
        <v>6.0</v>
      </c>
      <c r="E10" s="4">
        <v>4.0</v>
      </c>
      <c r="F10" s="4">
        <v>4.0</v>
      </c>
      <c r="G10" s="4" t="s">
        <v>230</v>
      </c>
      <c r="H10" s="4"/>
      <c r="I10" s="4" t="s">
        <v>101</v>
      </c>
      <c r="J10" s="4"/>
      <c r="K10" s="4"/>
      <c r="L10" s="4" t="s">
        <v>585</v>
      </c>
    </row>
    <row r="11">
      <c r="A11" s="4"/>
      <c r="B11" s="4"/>
      <c r="C11" s="4"/>
      <c r="D11" s="4"/>
      <c r="E11" s="4"/>
      <c r="F11" s="4"/>
      <c r="G11" s="4" t="s">
        <v>238</v>
      </c>
      <c r="H11" s="4"/>
      <c r="I11" s="4" t="s">
        <v>82</v>
      </c>
      <c r="J11" s="4"/>
      <c r="K11" s="4"/>
      <c r="L11" s="4" t="s">
        <v>586</v>
      </c>
    </row>
    <row r="12">
      <c r="A12" s="4"/>
      <c r="B12" s="4"/>
      <c r="C12" s="4"/>
      <c r="D12" s="4"/>
      <c r="E12" s="4"/>
      <c r="F12" s="4"/>
      <c r="G12" s="4" t="s">
        <v>244</v>
      </c>
      <c r="H12" s="4"/>
      <c r="I12" s="4"/>
      <c r="J12" s="4"/>
      <c r="K12" s="4"/>
      <c r="L12" s="4" t="s">
        <v>587</v>
      </c>
    </row>
    <row r="1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 t="s">
        <v>588</v>
      </c>
    </row>
    <row r="14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 t="s">
        <v>589</v>
      </c>
    </row>
    <row r="1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 t="s">
        <v>590</v>
      </c>
    </row>
    <row r="16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 t="s">
        <v>591</v>
      </c>
    </row>
    <row r="17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 t="s">
        <v>592</v>
      </c>
    </row>
    <row r="18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 t="s">
        <v>593</v>
      </c>
    </row>
    <row r="19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 t="s">
        <v>594</v>
      </c>
    </row>
    <row r="20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 t="s">
        <v>595</v>
      </c>
    </row>
    <row r="21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 t="s">
        <v>596</v>
      </c>
    </row>
    <row r="22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 t="s">
        <v>597</v>
      </c>
    </row>
    <row r="23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 t="s">
        <v>598</v>
      </c>
    </row>
    <row r="24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 t="s">
        <v>599</v>
      </c>
    </row>
    <row r="25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 t="s">
        <v>600</v>
      </c>
    </row>
    <row r="26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 t="s">
        <v>601</v>
      </c>
    </row>
    <row r="27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 t="s">
        <v>602</v>
      </c>
    </row>
    <row r="28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 t="s">
        <v>603</v>
      </c>
    </row>
    <row r="29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 t="s">
        <v>604</v>
      </c>
    </row>
    <row r="3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 t="s">
        <v>605</v>
      </c>
    </row>
    <row r="31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 t="s">
        <v>606</v>
      </c>
    </row>
    <row r="32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 t="s">
        <v>607</v>
      </c>
    </row>
    <row r="33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 t="s">
        <v>608</v>
      </c>
    </row>
    <row r="34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 t="s">
        <v>609</v>
      </c>
    </row>
    <row r="35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 t="s">
        <v>610</v>
      </c>
    </row>
    <row r="36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 t="s">
        <v>611</v>
      </c>
    </row>
    <row r="37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 t="s">
        <v>612</v>
      </c>
    </row>
    <row r="38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 t="s">
        <v>613</v>
      </c>
    </row>
    <row r="39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 t="s">
        <v>614</v>
      </c>
    </row>
    <row r="4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 t="s">
        <v>615</v>
      </c>
    </row>
    <row r="41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 t="s">
        <v>616</v>
      </c>
    </row>
    <row r="42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 t="s">
        <v>617</v>
      </c>
    </row>
    <row r="43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 t="s">
        <v>618</v>
      </c>
    </row>
    <row r="44" ht="15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 t="s">
        <v>619</v>
      </c>
    </row>
    <row r="45" ht="15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 t="s">
        <v>620</v>
      </c>
    </row>
    <row r="46" ht="15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 t="s">
        <v>621</v>
      </c>
    </row>
    <row r="47" ht="15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 t="s">
        <v>622</v>
      </c>
    </row>
    <row r="48" ht="15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 t="s">
        <v>623</v>
      </c>
    </row>
    <row r="49" ht="15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 t="s">
        <v>624</v>
      </c>
    </row>
    <row r="50" ht="15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 t="s">
        <v>625</v>
      </c>
    </row>
    <row r="51" ht="15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 t="s">
        <v>626</v>
      </c>
    </row>
    <row r="52" ht="15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 t="s">
        <v>627</v>
      </c>
    </row>
    <row r="53" ht="15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 t="s">
        <v>628</v>
      </c>
    </row>
    <row r="54" ht="15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 t="s">
        <v>629</v>
      </c>
    </row>
    <row r="55" ht="15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 t="s">
        <v>630</v>
      </c>
    </row>
    <row r="56" ht="15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 t="s">
        <v>631</v>
      </c>
    </row>
    <row r="57" ht="15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 t="s">
        <v>632</v>
      </c>
    </row>
    <row r="58" ht="15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 t="s">
        <v>633</v>
      </c>
    </row>
    <row r="59" ht="15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 t="s">
        <v>634</v>
      </c>
    </row>
    <row r="60" ht="15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 t="s">
        <v>635</v>
      </c>
    </row>
    <row r="61" ht="15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 t="s">
        <v>636</v>
      </c>
    </row>
    <row r="62" ht="15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 t="s">
        <v>637</v>
      </c>
    </row>
    <row r="63" ht="15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 t="s">
        <v>638</v>
      </c>
    </row>
    <row r="64" ht="15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 t="s">
        <v>639</v>
      </c>
    </row>
    <row r="65" ht="15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 t="s">
        <v>640</v>
      </c>
    </row>
    <row r="66" ht="15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 t="s">
        <v>641</v>
      </c>
    </row>
    <row r="67" ht="15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 t="s">
        <v>642</v>
      </c>
    </row>
    <row r="68" ht="15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 t="s">
        <v>643</v>
      </c>
    </row>
    <row r="69" ht="15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 t="s">
        <v>644</v>
      </c>
    </row>
    <row r="70" ht="15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 t="s">
        <v>645</v>
      </c>
    </row>
    <row r="71" ht="15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 t="s">
        <v>646</v>
      </c>
    </row>
    <row r="72" ht="15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 t="s">
        <v>647</v>
      </c>
    </row>
    <row r="73" ht="15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 t="s">
        <v>648</v>
      </c>
    </row>
    <row r="74" ht="15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 t="s">
        <v>649</v>
      </c>
    </row>
    <row r="75" ht="15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 t="s">
        <v>650</v>
      </c>
    </row>
    <row r="76" ht="15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 t="s">
        <v>651</v>
      </c>
    </row>
    <row r="77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 t="s">
        <v>652</v>
      </c>
    </row>
    <row r="78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 t="s">
        <v>653</v>
      </c>
    </row>
    <row r="79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 t="s">
        <v>654</v>
      </c>
    </row>
    <row r="80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 t="s">
        <v>655</v>
      </c>
    </row>
    <row r="81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 t="s">
        <v>656</v>
      </c>
    </row>
    <row r="82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 t="s">
        <v>657</v>
      </c>
    </row>
    <row r="83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 t="s">
        <v>658</v>
      </c>
    </row>
    <row r="84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 t="s">
        <v>659</v>
      </c>
    </row>
    <row r="85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 t="s">
        <v>660</v>
      </c>
    </row>
    <row r="86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 t="s">
        <v>661</v>
      </c>
    </row>
    <row r="87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 t="s">
        <v>662</v>
      </c>
    </row>
    <row r="88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 t="s">
        <v>663</v>
      </c>
    </row>
    <row r="89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 t="s">
        <v>664</v>
      </c>
    </row>
    <row r="90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 t="s">
        <v>665</v>
      </c>
    </row>
    <row r="91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 t="s">
        <v>666</v>
      </c>
    </row>
    <row r="92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 t="s">
        <v>667</v>
      </c>
    </row>
    <row r="93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 t="s">
        <v>668</v>
      </c>
    </row>
    <row r="94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 t="s">
        <v>669</v>
      </c>
    </row>
    <row r="95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 t="s">
        <v>670</v>
      </c>
    </row>
    <row r="9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 t="s">
        <v>671</v>
      </c>
    </row>
    <row r="97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 t="s">
        <v>672</v>
      </c>
    </row>
    <row r="98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 t="s">
        <v>673</v>
      </c>
    </row>
    <row r="99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 t="s">
        <v>674</v>
      </c>
    </row>
    <row r="100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 t="s">
        <v>675</v>
      </c>
    </row>
    <row r="101" ht="15.75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 t="s">
        <v>676</v>
      </c>
    </row>
    <row r="102" ht="15.75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 t="s">
        <v>677</v>
      </c>
    </row>
    <row r="103" ht="15.75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 t="s">
        <v>678</v>
      </c>
    </row>
    <row r="104" ht="15.75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 t="s">
        <v>679</v>
      </c>
    </row>
    <row r="105" ht="15.75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 t="s">
        <v>680</v>
      </c>
    </row>
    <row r="106" ht="15.75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 t="s">
        <v>681</v>
      </c>
    </row>
    <row r="107" ht="15.75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 t="s">
        <v>682</v>
      </c>
    </row>
    <row r="108" ht="15.75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 t="s">
        <v>683</v>
      </c>
    </row>
    <row r="109" ht="15.75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 t="s">
        <v>684</v>
      </c>
    </row>
    <row r="110" ht="15.75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 t="s">
        <v>685</v>
      </c>
    </row>
    <row r="111" ht="15.75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 t="s">
        <v>686</v>
      </c>
    </row>
    <row r="112" ht="15.75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 t="s">
        <v>687</v>
      </c>
    </row>
    <row r="113" ht="15.75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 t="s">
        <v>688</v>
      </c>
    </row>
    <row r="114" ht="15.75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 t="s">
        <v>689</v>
      </c>
    </row>
    <row r="115" ht="15.75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 t="s">
        <v>690</v>
      </c>
    </row>
    <row r="116" ht="15.75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 t="s">
        <v>691</v>
      </c>
    </row>
    <row r="117" ht="15.75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 t="s">
        <v>692</v>
      </c>
    </row>
    <row r="118" ht="15.75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 t="s">
        <v>693</v>
      </c>
    </row>
    <row r="119" ht="15.75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 t="s">
        <v>694</v>
      </c>
    </row>
    <row r="120" ht="15.75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 t="s">
        <v>695</v>
      </c>
    </row>
    <row r="121" ht="15.75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 t="s">
        <v>696</v>
      </c>
    </row>
    <row r="122" ht="15.75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 t="s">
        <v>697</v>
      </c>
    </row>
    <row r="123" ht="15.75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 t="s">
        <v>698</v>
      </c>
    </row>
    <row r="124" ht="15.75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 t="s">
        <v>699</v>
      </c>
    </row>
    <row r="125" ht="15.75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 t="s">
        <v>700</v>
      </c>
    </row>
    <row r="126" ht="15.75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 t="s">
        <v>701</v>
      </c>
    </row>
    <row r="127" ht="15.75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 t="s">
        <v>702</v>
      </c>
    </row>
    <row r="128" ht="15.75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 t="s">
        <v>703</v>
      </c>
    </row>
    <row r="129" ht="15.75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 t="s">
        <v>704</v>
      </c>
    </row>
    <row r="130" ht="15.75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 t="s">
        <v>705</v>
      </c>
    </row>
    <row r="131" ht="15.75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 t="s">
        <v>706</v>
      </c>
    </row>
    <row r="132" ht="15.75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 t="s">
        <v>707</v>
      </c>
    </row>
    <row r="133" ht="15.75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 t="s">
        <v>708</v>
      </c>
    </row>
    <row r="134" ht="15.75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 t="s">
        <v>709</v>
      </c>
    </row>
    <row r="135" ht="15.75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 t="s">
        <v>710</v>
      </c>
    </row>
    <row r="136" ht="15.75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 t="s">
        <v>711</v>
      </c>
    </row>
    <row r="137" ht="15.75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 t="s">
        <v>712</v>
      </c>
    </row>
    <row r="138" ht="15.75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 t="s">
        <v>713</v>
      </c>
    </row>
    <row r="139" ht="15.75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 t="s">
        <v>714</v>
      </c>
    </row>
    <row r="140" ht="15.75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 t="s">
        <v>715</v>
      </c>
    </row>
    <row r="141" ht="15.75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 t="s">
        <v>716</v>
      </c>
    </row>
    <row r="142" ht="15.75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 t="s">
        <v>717</v>
      </c>
    </row>
    <row r="143" ht="15.75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 t="s">
        <v>718</v>
      </c>
    </row>
    <row r="144" ht="15.75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 t="s">
        <v>719</v>
      </c>
    </row>
    <row r="145" ht="15.75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 t="s">
        <v>720</v>
      </c>
    </row>
    <row r="146" ht="15.75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 t="s">
        <v>721</v>
      </c>
    </row>
    <row r="147" ht="15.75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 t="s">
        <v>722</v>
      </c>
    </row>
    <row r="148" ht="15.75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 t="s">
        <v>723</v>
      </c>
    </row>
    <row r="149" ht="15.75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 t="s">
        <v>724</v>
      </c>
    </row>
    <row r="150" ht="15.75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 t="s">
        <v>725</v>
      </c>
    </row>
    <row r="151" ht="15.75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 t="s">
        <v>726</v>
      </c>
    </row>
    <row r="152" ht="15.75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 t="s">
        <v>727</v>
      </c>
    </row>
    <row r="153" ht="15.75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 t="s">
        <v>728</v>
      </c>
    </row>
    <row r="154" ht="15.75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 t="s">
        <v>729</v>
      </c>
    </row>
    <row r="155" ht="15.75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 t="s">
        <v>730</v>
      </c>
    </row>
    <row r="156" ht="15.75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 t="s">
        <v>731</v>
      </c>
    </row>
    <row r="157" ht="15.75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 t="s">
        <v>732</v>
      </c>
    </row>
    <row r="158" ht="15.75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 t="s">
        <v>733</v>
      </c>
    </row>
    <row r="159" ht="15.75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 t="s">
        <v>734</v>
      </c>
    </row>
    <row r="160" ht="15.75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 t="s">
        <v>735</v>
      </c>
    </row>
    <row r="161" ht="15.75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 t="s">
        <v>736</v>
      </c>
    </row>
    <row r="162" ht="15.75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 t="s">
        <v>737</v>
      </c>
    </row>
    <row r="163" ht="15.75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 t="s">
        <v>738</v>
      </c>
    </row>
    <row r="164" ht="15.75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 t="s">
        <v>739</v>
      </c>
    </row>
    <row r="165" ht="15.75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 t="s">
        <v>740</v>
      </c>
    </row>
    <row r="166" ht="15.75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 t="s">
        <v>741</v>
      </c>
    </row>
    <row r="167" ht="15.75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 t="s">
        <v>742</v>
      </c>
    </row>
    <row r="168" ht="15.75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 t="s">
        <v>743</v>
      </c>
    </row>
    <row r="169" ht="15.75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 t="s">
        <v>744</v>
      </c>
    </row>
    <row r="170" ht="15.75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 t="s">
        <v>745</v>
      </c>
    </row>
    <row r="171" ht="15.75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 t="s">
        <v>746</v>
      </c>
    </row>
    <row r="172" ht="15.75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 t="s">
        <v>747</v>
      </c>
    </row>
    <row r="173" ht="15.75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 t="s">
        <v>748</v>
      </c>
    </row>
    <row r="174" ht="15.75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 t="s">
        <v>749</v>
      </c>
    </row>
    <row r="175" ht="15.75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 t="s">
        <v>750</v>
      </c>
    </row>
    <row r="176" ht="15.75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 t="s">
        <v>751</v>
      </c>
    </row>
    <row r="177" ht="15.75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 t="s">
        <v>752</v>
      </c>
    </row>
    <row r="178" ht="15.75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 t="s">
        <v>753</v>
      </c>
    </row>
    <row r="179" ht="15.75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 t="s">
        <v>754</v>
      </c>
    </row>
    <row r="180" ht="15.75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 t="s">
        <v>755</v>
      </c>
    </row>
    <row r="181" ht="15.75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 t="s">
        <v>756</v>
      </c>
    </row>
    <row r="182" ht="15.75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 t="s">
        <v>757</v>
      </c>
    </row>
    <row r="183" ht="15.75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 t="s">
        <v>758</v>
      </c>
    </row>
    <row r="184" ht="15.75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 t="s">
        <v>759</v>
      </c>
    </row>
    <row r="185" ht="15.75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 t="s">
        <v>760</v>
      </c>
    </row>
    <row r="186" ht="15.75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 t="s">
        <v>761</v>
      </c>
    </row>
    <row r="187" ht="15.75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 t="s">
        <v>762</v>
      </c>
    </row>
    <row r="188" ht="15.75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 t="s">
        <v>763</v>
      </c>
    </row>
    <row r="189" ht="15.75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 t="s">
        <v>764</v>
      </c>
    </row>
    <row r="190" ht="15.75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 t="s">
        <v>765</v>
      </c>
    </row>
    <row r="191" ht="15.75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 t="s">
        <v>766</v>
      </c>
    </row>
    <row r="192" ht="15.75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 t="s">
        <v>767</v>
      </c>
    </row>
    <row r="193" ht="15.75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 t="s">
        <v>768</v>
      </c>
    </row>
    <row r="194" ht="15.75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 t="s">
        <v>769</v>
      </c>
    </row>
    <row r="195" ht="15.75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 t="s">
        <v>770</v>
      </c>
    </row>
    <row r="196" ht="15.75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 t="s">
        <v>771</v>
      </c>
    </row>
    <row r="197" ht="15.75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 t="s">
        <v>772</v>
      </c>
    </row>
    <row r="198" ht="15.75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 t="s">
        <v>773</v>
      </c>
    </row>
    <row r="199" ht="15.75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 t="s">
        <v>774</v>
      </c>
    </row>
    <row r="200" ht="15.75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 t="s">
        <v>775</v>
      </c>
    </row>
    <row r="201" ht="15.7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 t="s">
        <v>776</v>
      </c>
    </row>
    <row r="202" ht="15.7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 t="s">
        <v>777</v>
      </c>
    </row>
    <row r="203" ht="15.7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 t="s">
        <v>778</v>
      </c>
    </row>
    <row r="204" ht="15.7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 t="s">
        <v>779</v>
      </c>
    </row>
    <row r="205" ht="15.7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 t="s">
        <v>780</v>
      </c>
    </row>
    <row r="206" ht="15.7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 t="s">
        <v>781</v>
      </c>
    </row>
    <row r="207" ht="15.7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 t="s">
        <v>782</v>
      </c>
    </row>
    <row r="208" ht="15.7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 t="s">
        <v>783</v>
      </c>
    </row>
    <row r="209" ht="15.7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 t="s">
        <v>784</v>
      </c>
    </row>
    <row r="210" ht="15.7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 t="s">
        <v>785</v>
      </c>
    </row>
    <row r="211" ht="15.7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 t="s">
        <v>786</v>
      </c>
    </row>
    <row r="212" ht="15.7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 t="s">
        <v>787</v>
      </c>
    </row>
    <row r="213" ht="15.7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 t="s">
        <v>788</v>
      </c>
    </row>
    <row r="214" ht="15.7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 t="s">
        <v>789</v>
      </c>
    </row>
    <row r="215" ht="15.7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 t="s">
        <v>790</v>
      </c>
    </row>
    <row r="216" ht="15.7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 t="s">
        <v>791</v>
      </c>
    </row>
    <row r="217" ht="15.7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 t="s">
        <v>792</v>
      </c>
    </row>
    <row r="218" ht="15.7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 t="s">
        <v>793</v>
      </c>
    </row>
    <row r="219" ht="15.7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 t="s">
        <v>794</v>
      </c>
    </row>
    <row r="220" ht="15.7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 t="s">
        <v>795</v>
      </c>
    </row>
    <row r="221" ht="15.7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 t="s">
        <v>796</v>
      </c>
    </row>
    <row r="222" ht="15.7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 t="s">
        <v>797</v>
      </c>
    </row>
    <row r="223" ht="15.7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 t="s">
        <v>798</v>
      </c>
    </row>
    <row r="224" ht="15.7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 t="s">
        <v>799</v>
      </c>
    </row>
    <row r="225" ht="15.7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 t="s">
        <v>800</v>
      </c>
    </row>
    <row r="226" ht="15.7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 t="s">
        <v>801</v>
      </c>
    </row>
    <row r="227" ht="15.7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 t="s">
        <v>802</v>
      </c>
    </row>
    <row r="228" ht="15.7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 t="s">
        <v>803</v>
      </c>
    </row>
    <row r="229" ht="15.7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 t="s">
        <v>804</v>
      </c>
    </row>
    <row r="230" ht="15.7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 t="s">
        <v>805</v>
      </c>
    </row>
    <row r="231" ht="15.7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 t="s">
        <v>806</v>
      </c>
    </row>
    <row r="232" ht="15.7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 t="s">
        <v>807</v>
      </c>
    </row>
    <row r="233" ht="15.7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 t="s">
        <v>808</v>
      </c>
    </row>
    <row r="234" ht="15.7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 t="s">
        <v>809</v>
      </c>
    </row>
    <row r="235" ht="15.7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 t="s">
        <v>810</v>
      </c>
    </row>
    <row r="236" ht="15.7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 t="s">
        <v>811</v>
      </c>
    </row>
    <row r="237" ht="15.7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 t="s">
        <v>812</v>
      </c>
    </row>
    <row r="238" ht="15.7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 t="s">
        <v>813</v>
      </c>
    </row>
    <row r="239" ht="15.7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 t="s">
        <v>814</v>
      </c>
    </row>
    <row r="240" ht="15.7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 t="s">
        <v>815</v>
      </c>
    </row>
    <row r="241" ht="15.7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 t="s">
        <v>816</v>
      </c>
    </row>
    <row r="242" ht="15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 t="s">
        <v>817</v>
      </c>
    </row>
    <row r="243" ht="15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 t="s">
        <v>818</v>
      </c>
    </row>
    <row r="244" ht="15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 t="s">
        <v>819</v>
      </c>
    </row>
  </sheetData>
  <mergeCells count="2">
    <mergeCell ref="A1:L1"/>
    <mergeCell ref="A2:L2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0"/>
    <col customWidth="1" min="2" max="2" width="22.0"/>
    <col customWidth="1" min="3" max="3" width="58.0"/>
    <col customWidth="1" min="4" max="4" width="36.0"/>
    <col customWidth="1" min="5" max="5" width="34.0"/>
    <col customWidth="1" min="6" max="6" width="44.0"/>
    <col customWidth="1" min="7" max="7" width="25.0"/>
    <col customWidth="1" min="8" max="8" width="18.0"/>
    <col customWidth="1" min="9" max="11" width="32.0"/>
    <col customWidth="1" min="12" max="12" width="28.0"/>
    <col customWidth="1" min="13" max="13" width="24.0"/>
    <col customWidth="1" min="14" max="14" width="58.0"/>
    <col customWidth="1" min="15" max="16" width="34.0"/>
  </cols>
  <sheetData>
    <row r="1" ht="30.0" customHeight="1">
      <c r="A1" s="16" t="s">
        <v>820</v>
      </c>
    </row>
    <row r="2">
      <c r="A2" s="2" t="s">
        <v>821</v>
      </c>
    </row>
    <row r="4" ht="30.0" customHeight="1">
      <c r="A4" s="17" t="s">
        <v>189</v>
      </c>
      <c r="B4" s="17" t="s">
        <v>822</v>
      </c>
      <c r="C4" s="17" t="s">
        <v>89</v>
      </c>
      <c r="D4" s="17" t="s">
        <v>94</v>
      </c>
      <c r="E4" s="17" t="s">
        <v>106</v>
      </c>
      <c r="F4" s="17" t="s">
        <v>98</v>
      </c>
      <c r="G4" s="17" t="s">
        <v>111</v>
      </c>
      <c r="H4" s="17" t="s">
        <v>101</v>
      </c>
      <c r="I4" s="17" t="s">
        <v>823</v>
      </c>
      <c r="J4" s="17" t="s">
        <v>824</v>
      </c>
      <c r="K4" s="17" t="s">
        <v>825</v>
      </c>
      <c r="L4" s="17" t="s">
        <v>826</v>
      </c>
      <c r="M4" s="17" t="s">
        <v>827</v>
      </c>
      <c r="N4" s="17" t="s">
        <v>828</v>
      </c>
      <c r="O4" s="17" t="s">
        <v>829</v>
      </c>
      <c r="P4" s="17" t="s">
        <v>830</v>
      </c>
    </row>
    <row r="5">
      <c r="A5" s="4" t="s">
        <v>196</v>
      </c>
      <c r="B5" s="4" t="s">
        <v>205</v>
      </c>
      <c r="C5" s="4" t="s">
        <v>205</v>
      </c>
      <c r="D5" s="4" t="s">
        <v>226</v>
      </c>
      <c r="E5" s="4" t="s">
        <v>205</v>
      </c>
      <c r="F5" s="4" t="s">
        <v>226</v>
      </c>
      <c r="G5" s="4" t="s">
        <v>234</v>
      </c>
      <c r="H5" s="4" t="s">
        <v>226</v>
      </c>
      <c r="I5" s="4" t="s">
        <v>831</v>
      </c>
      <c r="J5" s="4" t="s">
        <v>832</v>
      </c>
      <c r="K5" s="4" t="s">
        <v>833</v>
      </c>
      <c r="L5" s="4" t="s">
        <v>834</v>
      </c>
      <c r="M5" s="6" t="s">
        <v>835</v>
      </c>
      <c r="N5" s="6" t="s">
        <v>836</v>
      </c>
      <c r="O5" s="6" t="s">
        <v>837</v>
      </c>
      <c r="P5" s="6" t="s">
        <v>838</v>
      </c>
    </row>
    <row r="6">
      <c r="A6" s="4" t="s">
        <v>202</v>
      </c>
      <c r="B6" s="4" t="s">
        <v>226</v>
      </c>
      <c r="C6" s="4" t="s">
        <v>226</v>
      </c>
      <c r="D6" s="4" t="s">
        <v>205</v>
      </c>
      <c r="E6" s="4" t="s">
        <v>226</v>
      </c>
      <c r="F6" s="4" t="s">
        <v>226</v>
      </c>
      <c r="G6" s="4" t="s">
        <v>234</v>
      </c>
      <c r="H6" s="4" t="s">
        <v>205</v>
      </c>
      <c r="I6" s="4" t="s">
        <v>839</v>
      </c>
      <c r="J6" s="4" t="s">
        <v>840</v>
      </c>
      <c r="K6" s="4" t="s">
        <v>841</v>
      </c>
      <c r="L6" s="4" t="s">
        <v>842</v>
      </c>
      <c r="M6" s="6" t="s">
        <v>843</v>
      </c>
      <c r="N6" s="6" t="s">
        <v>844</v>
      </c>
      <c r="O6" s="6" t="s">
        <v>845</v>
      </c>
      <c r="P6" s="6" t="s">
        <v>846</v>
      </c>
    </row>
    <row r="7">
      <c r="A7" s="4" t="s">
        <v>209</v>
      </c>
      <c r="B7" s="4" t="s">
        <v>234</v>
      </c>
      <c r="C7" s="4" t="s">
        <v>226</v>
      </c>
      <c r="D7" s="4" t="s">
        <v>226</v>
      </c>
      <c r="E7" s="4" t="s">
        <v>226</v>
      </c>
      <c r="F7" s="4" t="s">
        <v>205</v>
      </c>
      <c r="G7" s="4" t="s">
        <v>205</v>
      </c>
      <c r="H7" s="4" t="s">
        <v>226</v>
      </c>
      <c r="I7" s="4" t="s">
        <v>847</v>
      </c>
      <c r="J7" s="4" t="s">
        <v>848</v>
      </c>
      <c r="K7" s="4" t="s">
        <v>849</v>
      </c>
      <c r="L7" s="4" t="s">
        <v>850</v>
      </c>
      <c r="M7" s="6" t="s">
        <v>851</v>
      </c>
      <c r="N7" s="6" t="s">
        <v>852</v>
      </c>
      <c r="O7" s="6" t="s">
        <v>853</v>
      </c>
      <c r="P7" s="6" t="s">
        <v>854</v>
      </c>
    </row>
    <row r="8">
      <c r="A8" s="4" t="s">
        <v>215</v>
      </c>
      <c r="B8" s="4" t="s">
        <v>234</v>
      </c>
      <c r="C8" s="4" t="s">
        <v>226</v>
      </c>
      <c r="D8" s="4" t="s">
        <v>234</v>
      </c>
      <c r="E8" s="4" t="s">
        <v>226</v>
      </c>
      <c r="F8" s="4" t="s">
        <v>205</v>
      </c>
      <c r="G8" s="4" t="s">
        <v>234</v>
      </c>
      <c r="H8" s="4" t="s">
        <v>205</v>
      </c>
      <c r="I8" s="4" t="s">
        <v>855</v>
      </c>
      <c r="J8" s="4" t="s">
        <v>856</v>
      </c>
      <c r="K8" s="4" t="s">
        <v>857</v>
      </c>
      <c r="L8" s="4" t="s">
        <v>858</v>
      </c>
      <c r="M8" s="6" t="s">
        <v>859</v>
      </c>
      <c r="N8" s="6" t="s">
        <v>860</v>
      </c>
      <c r="O8" s="6" t="s">
        <v>861</v>
      </c>
      <c r="P8" s="6" t="s">
        <v>862</v>
      </c>
    </row>
    <row r="9">
      <c r="A9" s="4" t="s">
        <v>222</v>
      </c>
      <c r="B9" s="4" t="s">
        <v>205</v>
      </c>
      <c r="C9" s="4" t="s">
        <v>234</v>
      </c>
      <c r="D9" s="4" t="s">
        <v>226</v>
      </c>
      <c r="E9" s="4" t="s">
        <v>234</v>
      </c>
      <c r="F9" s="4" t="s">
        <v>234</v>
      </c>
      <c r="G9" s="4" t="s">
        <v>205</v>
      </c>
      <c r="H9" s="4" t="s">
        <v>226</v>
      </c>
      <c r="I9" s="4" t="s">
        <v>863</v>
      </c>
      <c r="J9" s="4" t="s">
        <v>864</v>
      </c>
      <c r="K9" s="4" t="s">
        <v>865</v>
      </c>
      <c r="L9" s="4" t="s">
        <v>866</v>
      </c>
      <c r="M9" s="6" t="s">
        <v>867</v>
      </c>
      <c r="N9" s="6" t="s">
        <v>868</v>
      </c>
      <c r="O9" s="6" t="s">
        <v>869</v>
      </c>
      <c r="P9" s="6" t="s">
        <v>870</v>
      </c>
    </row>
    <row r="10">
      <c r="A10" s="4" t="s">
        <v>230</v>
      </c>
      <c r="B10" s="4" t="s">
        <v>234</v>
      </c>
      <c r="C10" s="4" t="s">
        <v>226</v>
      </c>
      <c r="D10" s="4" t="s">
        <v>234</v>
      </c>
      <c r="E10" s="4" t="s">
        <v>226</v>
      </c>
      <c r="F10" s="4" t="s">
        <v>234</v>
      </c>
      <c r="G10" s="4" t="s">
        <v>234</v>
      </c>
      <c r="H10" s="4" t="s">
        <v>234</v>
      </c>
      <c r="I10" s="4" t="s">
        <v>871</v>
      </c>
      <c r="J10" s="4" t="s">
        <v>872</v>
      </c>
      <c r="K10" s="4" t="s">
        <v>873</v>
      </c>
      <c r="L10" s="4" t="s">
        <v>874</v>
      </c>
      <c r="M10" s="6" t="s">
        <v>875</v>
      </c>
      <c r="N10" s="6" t="s">
        <v>876</v>
      </c>
      <c r="O10" s="6" t="s">
        <v>877</v>
      </c>
      <c r="P10" s="6" t="s">
        <v>878</v>
      </c>
    </row>
    <row r="11">
      <c r="A11" s="4" t="s">
        <v>238</v>
      </c>
      <c r="B11" s="4" t="s">
        <v>879</v>
      </c>
      <c r="C11" s="4" t="s">
        <v>205</v>
      </c>
      <c r="D11" s="4" t="s">
        <v>226</v>
      </c>
      <c r="E11" s="4" t="s">
        <v>205</v>
      </c>
      <c r="F11" s="4" t="s">
        <v>226</v>
      </c>
      <c r="G11" s="4" t="s">
        <v>226</v>
      </c>
      <c r="H11" s="4" t="s">
        <v>226</v>
      </c>
      <c r="I11" s="4" t="s">
        <v>880</v>
      </c>
      <c r="J11" s="4" t="s">
        <v>881</v>
      </c>
      <c r="K11" s="4" t="s">
        <v>882</v>
      </c>
      <c r="L11" s="4" t="s">
        <v>883</v>
      </c>
      <c r="M11" s="6" t="s">
        <v>884</v>
      </c>
      <c r="N11" s="6" t="s">
        <v>885</v>
      </c>
      <c r="O11" s="6" t="s">
        <v>886</v>
      </c>
      <c r="P11" s="6" t="s">
        <v>887</v>
      </c>
    </row>
    <row r="12">
      <c r="A12" s="4" t="s">
        <v>244</v>
      </c>
      <c r="B12" s="4" t="s">
        <v>248</v>
      </c>
      <c r="C12" s="4" t="s">
        <v>248</v>
      </c>
      <c r="D12" s="4" t="s">
        <v>248</v>
      </c>
      <c r="E12" s="4" t="s">
        <v>248</v>
      </c>
      <c r="F12" s="4" t="s">
        <v>248</v>
      </c>
      <c r="G12" s="4" t="s">
        <v>248</v>
      </c>
      <c r="H12" s="4" t="s">
        <v>248</v>
      </c>
      <c r="I12" s="4" t="s">
        <v>888</v>
      </c>
      <c r="J12" s="4" t="s">
        <v>889</v>
      </c>
      <c r="K12" s="4" t="s">
        <v>890</v>
      </c>
      <c r="L12" s="4" t="s">
        <v>891</v>
      </c>
      <c r="M12" s="6" t="s">
        <v>892</v>
      </c>
      <c r="N12" s="6" t="s">
        <v>893</v>
      </c>
      <c r="O12" s="6" t="s">
        <v>894</v>
      </c>
      <c r="P12" s="6" t="s">
        <v>895</v>
      </c>
    </row>
    <row r="15">
      <c r="A15" s="18" t="s">
        <v>896</v>
      </c>
    </row>
    <row r="16" ht="30.0" customHeight="1">
      <c r="A16" s="17" t="s">
        <v>189</v>
      </c>
      <c r="B16" s="17" t="s">
        <v>897</v>
      </c>
      <c r="C16" s="17" t="s">
        <v>898</v>
      </c>
      <c r="D16" s="17" t="s">
        <v>829</v>
      </c>
      <c r="E16" s="17" t="s">
        <v>830</v>
      </c>
      <c r="F16" s="17" t="s">
        <v>899</v>
      </c>
      <c r="G16" s="17" t="s">
        <v>900</v>
      </c>
      <c r="H16" s="17" t="s">
        <v>5</v>
      </c>
    </row>
    <row r="17">
      <c r="A17" s="6" t="s">
        <v>196</v>
      </c>
      <c r="B17" s="6" t="s">
        <v>835</v>
      </c>
      <c r="C17" s="6" t="s">
        <v>836</v>
      </c>
      <c r="D17" s="6" t="s">
        <v>837</v>
      </c>
      <c r="E17" s="6" t="s">
        <v>838</v>
      </c>
      <c r="F17" s="6" t="s">
        <v>901</v>
      </c>
      <c r="G17" s="6" t="s">
        <v>902</v>
      </c>
      <c r="H17" s="6" t="s">
        <v>903</v>
      </c>
    </row>
    <row r="18">
      <c r="A18" s="6" t="s">
        <v>202</v>
      </c>
      <c r="B18" s="6" t="s">
        <v>843</v>
      </c>
      <c r="C18" s="6" t="s">
        <v>844</v>
      </c>
      <c r="D18" s="6" t="s">
        <v>845</v>
      </c>
      <c r="E18" s="6" t="s">
        <v>846</v>
      </c>
      <c r="F18" s="6" t="s">
        <v>904</v>
      </c>
      <c r="G18" s="6" t="s">
        <v>902</v>
      </c>
      <c r="H18" s="6" t="s">
        <v>903</v>
      </c>
    </row>
    <row r="19">
      <c r="A19" s="6" t="s">
        <v>209</v>
      </c>
      <c r="B19" s="6" t="s">
        <v>851</v>
      </c>
      <c r="C19" s="6" t="s">
        <v>852</v>
      </c>
      <c r="D19" s="6" t="s">
        <v>853</v>
      </c>
      <c r="E19" s="6" t="s">
        <v>854</v>
      </c>
      <c r="F19" s="6" t="s">
        <v>905</v>
      </c>
      <c r="G19" s="6" t="s">
        <v>902</v>
      </c>
      <c r="H19" s="6" t="s">
        <v>903</v>
      </c>
    </row>
    <row r="20">
      <c r="A20" s="6" t="s">
        <v>215</v>
      </c>
      <c r="B20" s="6" t="s">
        <v>859</v>
      </c>
      <c r="C20" s="6" t="s">
        <v>860</v>
      </c>
      <c r="D20" s="6" t="s">
        <v>861</v>
      </c>
      <c r="E20" s="6" t="s">
        <v>862</v>
      </c>
      <c r="F20" s="6" t="s">
        <v>906</v>
      </c>
      <c r="G20" s="6" t="s">
        <v>902</v>
      </c>
      <c r="H20" s="6" t="s">
        <v>903</v>
      </c>
    </row>
    <row r="21" ht="15.75" customHeight="1">
      <c r="A21" s="6" t="s">
        <v>222</v>
      </c>
      <c r="B21" s="6" t="s">
        <v>867</v>
      </c>
      <c r="C21" s="6" t="s">
        <v>868</v>
      </c>
      <c r="D21" s="6" t="s">
        <v>869</v>
      </c>
      <c r="E21" s="6" t="s">
        <v>870</v>
      </c>
      <c r="F21" s="6" t="s">
        <v>907</v>
      </c>
      <c r="G21" s="6" t="s">
        <v>902</v>
      </c>
      <c r="H21" s="6" t="s">
        <v>903</v>
      </c>
    </row>
    <row r="22" ht="15.75" customHeight="1">
      <c r="A22" s="6" t="s">
        <v>230</v>
      </c>
      <c r="B22" s="6" t="s">
        <v>875</v>
      </c>
      <c r="C22" s="6" t="s">
        <v>876</v>
      </c>
      <c r="D22" s="6" t="s">
        <v>877</v>
      </c>
      <c r="E22" s="6" t="s">
        <v>878</v>
      </c>
      <c r="F22" s="6" t="s">
        <v>908</v>
      </c>
      <c r="G22" s="6" t="s">
        <v>902</v>
      </c>
      <c r="H22" s="6" t="s">
        <v>903</v>
      </c>
    </row>
    <row r="23" ht="15.75" customHeight="1">
      <c r="A23" s="6" t="s">
        <v>238</v>
      </c>
      <c r="B23" s="6" t="s">
        <v>884</v>
      </c>
      <c r="C23" s="6" t="s">
        <v>885</v>
      </c>
      <c r="D23" s="6" t="s">
        <v>886</v>
      </c>
      <c r="E23" s="6" t="s">
        <v>887</v>
      </c>
      <c r="F23" s="6" t="s">
        <v>243</v>
      </c>
      <c r="G23" s="6" t="s">
        <v>902</v>
      </c>
      <c r="H23" s="6" t="s">
        <v>903</v>
      </c>
    </row>
    <row r="24" ht="15.75" customHeight="1">
      <c r="A24" s="6" t="s">
        <v>244</v>
      </c>
      <c r="B24" s="6" t="s">
        <v>892</v>
      </c>
      <c r="C24" s="6" t="s">
        <v>893</v>
      </c>
      <c r="D24" s="6" t="s">
        <v>894</v>
      </c>
      <c r="E24" s="6" t="s">
        <v>895</v>
      </c>
      <c r="F24" s="6" t="s">
        <v>909</v>
      </c>
      <c r="G24" s="6" t="s">
        <v>902</v>
      </c>
      <c r="H24" s="6" t="s">
        <v>903</v>
      </c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3">
    <mergeCell ref="A2:L2"/>
    <mergeCell ref="A1:P1"/>
    <mergeCell ref="A15:H15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0.0"/>
    <col customWidth="1" min="2" max="2" width="13.0"/>
    <col customWidth="1" min="3" max="3" width="12.0"/>
    <col customWidth="1" min="4" max="6" width="10.0"/>
    <col customWidth="1" min="7" max="7" width="14.0"/>
    <col customWidth="1" min="8" max="8" width="11.0"/>
    <col customWidth="1" min="9" max="9" width="10.0"/>
    <col customWidth="1" min="10" max="10" width="9.0"/>
    <col customWidth="1" min="11" max="11" width="10.0"/>
    <col customWidth="1" min="12" max="13" width="9.0"/>
    <col customWidth="1" min="14" max="14" width="10.0"/>
    <col customWidth="1" min="15" max="15" width="9.0"/>
    <col customWidth="1" min="16" max="16" width="11.0"/>
    <col customWidth="1" min="17" max="17" width="14.0"/>
    <col customWidth="1" min="18" max="18" width="12.0"/>
    <col customWidth="1" min="19" max="19" width="24.0"/>
    <col customWidth="1" min="20" max="20" width="42.0"/>
    <col customWidth="1" min="21" max="21" width="46.0"/>
    <col customWidth="1" min="22" max="22" width="12.0"/>
    <col customWidth="1" min="23" max="23" width="11.0"/>
    <col customWidth="1" min="24" max="24" width="12.0"/>
    <col customWidth="1" min="25" max="25" width="11.0"/>
    <col customWidth="1" min="26" max="26" width="9.0"/>
    <col customWidth="1" min="27" max="27" width="24.0"/>
    <col customWidth="1" min="28" max="28" width="52.0"/>
    <col customWidth="1" min="29" max="29" width="22.0"/>
    <col customWidth="1" min="30" max="30" width="52.0"/>
    <col customWidth="1" min="31" max="31" width="14.0"/>
    <col customWidth="1" min="32" max="32" width="14.0"/>
    <col customWidth="1" min="33" max="33" width="16.0"/>
    <col customWidth="1" min="34" max="34" width="20.0"/>
    <col customWidth="1" min="35" max="35" width="22.0"/>
    <col customWidth="1" min="36" max="36" width="36.0"/>
  </cols>
  <sheetData>
    <row r="1" ht="30.0" customHeight="1">
      <c r="A1" s="16" t="s">
        <v>910</v>
      </c>
    </row>
    <row r="2" ht="78.75" customHeight="1">
      <c r="A2" s="2" t="s">
        <v>911</v>
      </c>
      <c r="V2" s="5"/>
      <c r="W2" s="5"/>
      <c r="X2" s="5"/>
      <c r="Y2" s="5"/>
      <c r="Z2" s="5"/>
    </row>
    <row r="3" ht="15.0" customHeight="1"/>
    <row r="4" ht="30.0" customHeight="1">
      <c r="A4" s="3" t="s">
        <v>912</v>
      </c>
      <c r="B4" s="3" t="s">
        <v>189</v>
      </c>
      <c r="C4" s="3" t="s">
        <v>913</v>
      </c>
      <c r="D4" s="3" t="s">
        <v>914</v>
      </c>
      <c r="E4" s="3" t="s">
        <v>915</v>
      </c>
      <c r="F4" s="3" t="s">
        <v>916</v>
      </c>
      <c r="G4" s="3" t="s">
        <v>260</v>
      </c>
      <c r="H4" s="3" t="s">
        <v>153</v>
      </c>
      <c r="I4" s="3" t="s">
        <v>917</v>
      </c>
      <c r="J4" s="3" t="s">
        <v>89</v>
      </c>
      <c r="K4" s="3" t="s">
        <v>94</v>
      </c>
      <c r="L4" s="3" t="s">
        <v>106</v>
      </c>
      <c r="M4" s="3" t="s">
        <v>98</v>
      </c>
      <c r="N4" s="3" t="s">
        <v>111</v>
      </c>
      <c r="O4" s="3" t="s">
        <v>101</v>
      </c>
      <c r="P4" s="3" t="s">
        <v>918</v>
      </c>
      <c r="Q4" s="3" t="s">
        <v>919</v>
      </c>
      <c r="R4" s="3" t="s">
        <v>510</v>
      </c>
      <c r="S4" s="3" t="s">
        <v>920</v>
      </c>
      <c r="T4" s="3" t="s">
        <v>921</v>
      </c>
      <c r="U4" s="3" t="s">
        <v>922</v>
      </c>
      <c r="V4" s="19" t="s">
        <v>923</v>
      </c>
      <c r="W4" s="19" t="s">
        <v>924</v>
      </c>
      <c r="X4" s="19" t="s">
        <v>925</v>
      </c>
      <c r="Y4" s="19" t="s">
        <v>926</v>
      </c>
      <c r="Z4" s="19" t="s">
        <v>927</v>
      </c>
      <c r="AA4" s="17" t="s">
        <v>928</v>
      </c>
      <c r="AB4" s="17" t="s">
        <v>929</v>
      </c>
      <c r="AC4" s="17" t="s">
        <v>827</v>
      </c>
      <c r="AD4" s="17" t="s">
        <v>930</v>
      </c>
      <c r="AE4" s="3" t="s">
        <v>4093</v>
      </c>
      <c r="AF4" s="3" t="s">
        <v>4094</v>
      </c>
      <c r="AG4" s="3" t="s">
        <v>4095</v>
      </c>
      <c r="AH4" s="3" t="s">
        <v>4096</v>
      </c>
      <c r="AI4" s="3" t="s">
        <v>4097</v>
      </c>
      <c r="AJ4" s="17" t="s">
        <v>4098</v>
      </c>
    </row>
    <row r="5" ht="26.25" customHeight="1">
      <c r="A5" s="4" t="s">
        <v>931</v>
      </c>
      <c r="B5" s="4" t="s">
        <v>202</v>
      </c>
      <c r="C5" s="4" t="s">
        <v>932</v>
      </c>
      <c r="D5" s="4" t="s">
        <v>569</v>
      </c>
      <c r="E5" s="4">
        <v>1.0</v>
      </c>
      <c r="F5" s="4" t="s">
        <v>933</v>
      </c>
      <c r="G5" s="4" t="s">
        <v>255</v>
      </c>
      <c r="H5" s="4">
        <v>10</v>
      </c>
      <c r="I5" s="4">
        <v>3</v>
      </c>
      <c r="J5" s="4">
        <v>1</v>
      </c>
      <c r="K5" s="4">
        <v>9</v>
      </c>
      <c r="L5" s="4">
        <v>4</v>
      </c>
      <c r="M5" s="4">
        <v>0</v>
      </c>
      <c r="N5" s="4">
        <v>4</v>
      </c>
      <c r="O5" s="4">
        <v>9</v>
      </c>
      <c r="P5" s="20" t="str">
        <f t="shared" ref="P5:P56" si="1">MIN(0.5,O5*0.005)</f>
        <v>4.5%</v>
      </c>
      <c r="Q5" s="20">
        <v>0.1</v>
      </c>
      <c r="R5" s="4">
        <v>1.55</v>
      </c>
      <c r="S5" s="4" t="s">
        <v>94</v>
      </c>
      <c r="T5" s="4" t="s">
        <v>934</v>
      </c>
      <c r="U5" s="4" t="s">
        <v>935</v>
      </c>
      <c r="V5" s="21" t="str">
        <f t="shared" ref="V5:V56" si="2">SUM(I5:O5)</f>
        <v>30</v>
      </c>
      <c r="W5" s="21" t="str">
        <f t="shared" ref="W5:W56" si="3">IF(D5="Gold",32,IF(D5="Orange",34,30))</f>
        <v>30</v>
      </c>
      <c r="X5" s="21" t="str">
        <f t="shared" ref="X5:X56" si="4">IF(D5="Grey",10,IF(D5="Green",12,IF(D5="Blue",14,IF(D5="Purple",16,18))))</f>
        <v>10</v>
      </c>
      <c r="Y5" s="22" t="str">
        <f t="shared" ref="Y5:Y56" si="5">IF(V5=W5,"PASS","FAIL")</f>
        <v>PASS</v>
      </c>
      <c r="Z5" s="22" t="str">
        <f t="shared" ref="Z5:Z56" si="6">IF(MAX(I5:O5)&lt;=X5,"PASS","FAIL")</f>
        <v>PASS</v>
      </c>
      <c r="AA5" s="6" t="s">
        <v>936</v>
      </c>
      <c r="AB5" s="6" t="s">
        <v>937</v>
      </c>
      <c r="AC5" s="6" t="s">
        <v>843</v>
      </c>
      <c r="AD5" s="6" t="s">
        <v>844</v>
      </c>
      <c r="AE5" s="4">
        <v>19</v>
      </c>
      <c r="AF5" s="4">
        <v>89</v>
      </c>
      <c r="AG5" s="4">
        <v>86</v>
      </c>
      <c r="AH5" s="4">
        <v>3</v>
      </c>
      <c r="AI5" s="4">
        <v>0</v>
      </c>
      <c r="AJ5" s="4" t="s">
        <v>4099</v>
      </c>
    </row>
    <row r="6" ht="26.25" customHeight="1">
      <c r="A6" s="4" t="s">
        <v>938</v>
      </c>
      <c r="B6" s="4" t="s">
        <v>202</v>
      </c>
      <c r="C6" s="4" t="s">
        <v>939</v>
      </c>
      <c r="D6" s="4" t="s">
        <v>572</v>
      </c>
      <c r="E6" s="4">
        <v>2.0</v>
      </c>
      <c r="F6" s="4" t="s">
        <v>940</v>
      </c>
      <c r="G6" s="4" t="s">
        <v>255</v>
      </c>
      <c r="H6" s="4">
        <v>8</v>
      </c>
      <c r="I6" s="4">
        <v>0</v>
      </c>
      <c r="J6" s="4">
        <v>0</v>
      </c>
      <c r="K6" s="4">
        <v>10</v>
      </c>
      <c r="L6" s="4">
        <v>1</v>
      </c>
      <c r="M6" s="4">
        <v>0</v>
      </c>
      <c r="N6" s="4">
        <v>7</v>
      </c>
      <c r="O6" s="4">
        <v>12</v>
      </c>
      <c r="P6" s="20" t="str">
        <f t="shared" si="1"/>
        <v>6.0%</v>
      </c>
      <c r="Q6" s="20">
        <v>0.12</v>
      </c>
      <c r="R6" s="4">
        <v>1.55</v>
      </c>
      <c r="S6" s="4" t="s">
        <v>94</v>
      </c>
      <c r="T6" s="4" t="s">
        <v>941</v>
      </c>
      <c r="U6" s="4" t="s">
        <v>942</v>
      </c>
      <c r="V6" s="21" t="str">
        <f t="shared" si="2"/>
        <v>30</v>
      </c>
      <c r="W6" s="21" t="str">
        <f t="shared" si="3"/>
        <v>30</v>
      </c>
      <c r="X6" s="21" t="str">
        <f t="shared" si="4"/>
        <v>12</v>
      </c>
      <c r="Y6" s="22" t="str">
        <f t="shared" si="5"/>
        <v>PASS</v>
      </c>
      <c r="Z6" s="22" t="str">
        <f t="shared" si="6"/>
        <v>PASS</v>
      </c>
      <c r="AA6" s="6" t="s">
        <v>943</v>
      </c>
      <c r="AB6" s="6" t="s">
        <v>944</v>
      </c>
      <c r="AC6" s="6" t="s">
        <v>843</v>
      </c>
      <c r="AD6" s="6" t="s">
        <v>844</v>
      </c>
      <c r="AE6" s="4">
        <v>8</v>
      </c>
      <c r="AF6" s="4">
        <v>93</v>
      </c>
      <c r="AG6" s="4">
        <v>86</v>
      </c>
      <c r="AH6" s="4">
        <v>5</v>
      </c>
      <c r="AI6" s="4">
        <v>2</v>
      </c>
      <c r="AJ6" s="4" t="s">
        <v>4100</v>
      </c>
    </row>
    <row r="7" ht="26.25" customHeight="1">
      <c r="A7" s="4" t="s">
        <v>945</v>
      </c>
      <c r="B7" s="4" t="s">
        <v>209</v>
      </c>
      <c r="C7" s="4" t="s">
        <v>932</v>
      </c>
      <c r="D7" s="4" t="s">
        <v>569</v>
      </c>
      <c r="E7" s="4">
        <v>1.0</v>
      </c>
      <c r="F7" s="4" t="s">
        <v>933</v>
      </c>
      <c r="G7" s="4" t="s">
        <v>258</v>
      </c>
      <c r="H7" s="4">
        <v>10</v>
      </c>
      <c r="I7" s="4">
        <v>2</v>
      </c>
      <c r="J7" s="4">
        <v>0</v>
      </c>
      <c r="K7" s="4">
        <v>0</v>
      </c>
      <c r="L7" s="4">
        <v>3</v>
      </c>
      <c r="M7" s="4">
        <v>10</v>
      </c>
      <c r="N7" s="4">
        <v>8</v>
      </c>
      <c r="O7" s="4">
        <v>7</v>
      </c>
      <c r="P7" s="20" t="str">
        <f t="shared" si="1"/>
        <v>3.5%</v>
      </c>
      <c r="Q7" s="20">
        <v>0.07</v>
      </c>
      <c r="R7" s="4">
        <v>1.5</v>
      </c>
      <c r="S7" s="4" t="s">
        <v>98</v>
      </c>
      <c r="T7" s="4" t="s">
        <v>946</v>
      </c>
      <c r="U7" s="4" t="s">
        <v>935</v>
      </c>
      <c r="V7" s="21" t="str">
        <f t="shared" si="2"/>
        <v>30</v>
      </c>
      <c r="W7" s="21" t="str">
        <f t="shared" si="3"/>
        <v>30</v>
      </c>
      <c r="X7" s="21" t="str">
        <f t="shared" si="4"/>
        <v>10</v>
      </c>
      <c r="Y7" s="22" t="str">
        <f t="shared" si="5"/>
        <v>PASS</v>
      </c>
      <c r="Z7" s="22" t="str">
        <f t="shared" si="6"/>
        <v>PASS</v>
      </c>
      <c r="AA7" s="6" t="s">
        <v>947</v>
      </c>
      <c r="AB7" s="6" t="s">
        <v>948</v>
      </c>
      <c r="AC7" s="6" t="s">
        <v>851</v>
      </c>
      <c r="AD7" s="6" t="s">
        <v>852</v>
      </c>
      <c r="AE7" s="4">
        <v>16</v>
      </c>
      <c r="AF7" s="4">
        <v>87</v>
      </c>
      <c r="AG7" s="4">
        <v>84</v>
      </c>
      <c r="AH7" s="4">
        <v>3</v>
      </c>
      <c r="AI7" s="4">
        <v>0</v>
      </c>
      <c r="AJ7" s="4" t="s">
        <v>4101</v>
      </c>
    </row>
    <row r="8" ht="26.25" customHeight="1">
      <c r="A8" s="4" t="s">
        <v>949</v>
      </c>
      <c r="B8" s="4" t="s">
        <v>230</v>
      </c>
      <c r="C8" s="4" t="s">
        <v>950</v>
      </c>
      <c r="D8" s="4" t="s">
        <v>569</v>
      </c>
      <c r="E8" s="4">
        <v>1.0</v>
      </c>
      <c r="F8" s="4" t="s">
        <v>933</v>
      </c>
      <c r="G8" s="4" t="s">
        <v>257</v>
      </c>
      <c r="H8" s="4">
        <v>14</v>
      </c>
      <c r="I8" s="4">
        <v>4</v>
      </c>
      <c r="J8" s="4">
        <v>3</v>
      </c>
      <c r="K8" s="4">
        <v>6</v>
      </c>
      <c r="L8" s="4">
        <v>4</v>
      </c>
      <c r="M8" s="4">
        <v>6</v>
      </c>
      <c r="N8" s="4">
        <v>5</v>
      </c>
      <c r="O8" s="4">
        <v>2</v>
      </c>
      <c r="P8" s="20" t="str">
        <f t="shared" si="1"/>
        <v>1.0%</v>
      </c>
      <c r="Q8" s="20">
        <v>0.08</v>
      </c>
      <c r="R8" s="4">
        <v>1.5</v>
      </c>
      <c r="S8" s="4" t="s">
        <v>231</v>
      </c>
      <c r="T8" s="4" t="s">
        <v>951</v>
      </c>
      <c r="U8" s="4" t="s">
        <v>952</v>
      </c>
      <c r="V8" s="21" t="str">
        <f t="shared" si="2"/>
        <v>30</v>
      </c>
      <c r="W8" s="21" t="str">
        <f t="shared" si="3"/>
        <v>30</v>
      </c>
      <c r="X8" s="21" t="str">
        <f t="shared" si="4"/>
        <v>10</v>
      </c>
      <c r="Y8" s="22" t="str">
        <f t="shared" si="5"/>
        <v>PASS</v>
      </c>
      <c r="Z8" s="22" t="str">
        <f t="shared" si="6"/>
        <v>PASS</v>
      </c>
      <c r="AA8" s="6" t="s">
        <v>953</v>
      </c>
      <c r="AB8" s="6" t="s">
        <v>954</v>
      </c>
      <c r="AC8" s="6" t="s">
        <v>875</v>
      </c>
      <c r="AD8" s="6" t="s">
        <v>876</v>
      </c>
      <c r="AE8" s="4">
        <v>26</v>
      </c>
      <c r="AF8" s="4">
        <v>80</v>
      </c>
      <c r="AG8" s="4">
        <v>82</v>
      </c>
      <c r="AH8" s="4">
        <v>-2</v>
      </c>
      <c r="AI8" s="4">
        <v>0</v>
      </c>
      <c r="AJ8" s="4" t="s">
        <v>4101</v>
      </c>
    </row>
    <row r="9" ht="26.25" customHeight="1">
      <c r="A9" s="4" t="s">
        <v>955</v>
      </c>
      <c r="B9" s="4" t="s">
        <v>202</v>
      </c>
      <c r="C9" s="4" t="s">
        <v>956</v>
      </c>
      <c r="D9" s="4" t="s">
        <v>575</v>
      </c>
      <c r="E9" s="4">
        <v>3.0</v>
      </c>
      <c r="F9" s="4" t="s">
        <v>940</v>
      </c>
      <c r="G9" s="4" t="s">
        <v>255</v>
      </c>
      <c r="H9" s="4">
        <v>12</v>
      </c>
      <c r="I9" s="4">
        <v>1</v>
      </c>
      <c r="J9" s="4">
        <v>1</v>
      </c>
      <c r="K9" s="4">
        <v>14</v>
      </c>
      <c r="L9" s="4">
        <v>2</v>
      </c>
      <c r="M9" s="4">
        <v>0</v>
      </c>
      <c r="N9" s="4">
        <v>3</v>
      </c>
      <c r="O9" s="4">
        <v>9</v>
      </c>
      <c r="P9" s="20" t="str">
        <f t="shared" si="1"/>
        <v>4.5%</v>
      </c>
      <c r="Q9" s="20">
        <v>0.13</v>
      </c>
      <c r="R9" s="4">
        <v>1.55</v>
      </c>
      <c r="S9" s="4" t="s">
        <v>94</v>
      </c>
      <c r="T9" s="4" t="s">
        <v>957</v>
      </c>
      <c r="U9" s="4" t="s">
        <v>958</v>
      </c>
      <c r="V9" s="21" t="str">
        <f t="shared" si="2"/>
        <v>30</v>
      </c>
      <c r="W9" s="21" t="str">
        <f t="shared" si="3"/>
        <v>30</v>
      </c>
      <c r="X9" s="21" t="str">
        <f t="shared" si="4"/>
        <v>14</v>
      </c>
      <c r="Y9" s="22" t="str">
        <f t="shared" si="5"/>
        <v>PASS</v>
      </c>
      <c r="Z9" s="22" t="str">
        <f t="shared" si="6"/>
        <v>PASS</v>
      </c>
      <c r="AA9" s="6" t="s">
        <v>959</v>
      </c>
      <c r="AB9" s="6" t="s">
        <v>960</v>
      </c>
      <c r="AC9" s="6" t="s">
        <v>843</v>
      </c>
      <c r="AD9" s="6" t="s">
        <v>844</v>
      </c>
      <c r="AE9" s="4">
        <v>15</v>
      </c>
      <c r="AF9" s="4">
        <v>89</v>
      </c>
      <c r="AG9" s="4">
        <v>86</v>
      </c>
      <c r="AH9" s="4">
        <v>0</v>
      </c>
      <c r="AI9" s="4">
        <v>3</v>
      </c>
      <c r="AJ9" s="4" t="s">
        <v>4102</v>
      </c>
    </row>
    <row r="10" ht="26.25" customHeight="1">
      <c r="A10" s="4" t="s">
        <v>961</v>
      </c>
      <c r="B10" s="4" t="s">
        <v>209</v>
      </c>
      <c r="C10" s="4" t="s">
        <v>950</v>
      </c>
      <c r="D10" s="4" t="s">
        <v>575</v>
      </c>
      <c r="E10" s="4">
        <v>3.0</v>
      </c>
      <c r="F10" s="4" t="s">
        <v>940</v>
      </c>
      <c r="G10" s="4" t="s">
        <v>259</v>
      </c>
      <c r="H10" s="4">
        <v>14</v>
      </c>
      <c r="I10" s="4">
        <v>4</v>
      </c>
      <c r="J10" s="4">
        <v>0</v>
      </c>
      <c r="K10" s="4">
        <v>0</v>
      </c>
      <c r="L10" s="4">
        <v>3</v>
      </c>
      <c r="M10" s="4">
        <v>14</v>
      </c>
      <c r="N10" s="4">
        <v>6</v>
      </c>
      <c r="O10" s="4">
        <v>3</v>
      </c>
      <c r="P10" s="20" t="str">
        <f t="shared" si="1"/>
        <v>1.5%</v>
      </c>
      <c r="Q10" s="20">
        <v>0.08</v>
      </c>
      <c r="R10" s="4">
        <v>1.5</v>
      </c>
      <c r="S10" s="4" t="s">
        <v>98</v>
      </c>
      <c r="T10" s="4" t="s">
        <v>962</v>
      </c>
      <c r="U10" s="4" t="s">
        <v>963</v>
      </c>
      <c r="V10" s="21" t="str">
        <f t="shared" si="2"/>
        <v>30</v>
      </c>
      <c r="W10" s="21" t="str">
        <f t="shared" si="3"/>
        <v>30</v>
      </c>
      <c r="X10" s="21" t="str">
        <f t="shared" si="4"/>
        <v>14</v>
      </c>
      <c r="Y10" s="22" t="str">
        <f t="shared" si="5"/>
        <v>PASS</v>
      </c>
      <c r="Z10" s="22" t="str">
        <f t="shared" si="6"/>
        <v>PASS</v>
      </c>
      <c r="AA10" s="6" t="s">
        <v>964</v>
      </c>
      <c r="AB10" s="6" t="s">
        <v>965</v>
      </c>
      <c r="AC10" s="6" t="s">
        <v>851</v>
      </c>
      <c r="AD10" s="6" t="s">
        <v>852</v>
      </c>
      <c r="AE10" s="4">
        <v>26</v>
      </c>
      <c r="AF10" s="4">
        <v>82</v>
      </c>
      <c r="AG10" s="4">
        <v>84</v>
      </c>
      <c r="AH10" s="4">
        <v>-2</v>
      </c>
      <c r="AI10" s="4">
        <v>0</v>
      </c>
      <c r="AJ10" s="4" t="s">
        <v>4101</v>
      </c>
    </row>
    <row r="11" ht="26.25" customHeight="1">
      <c r="A11" s="4" t="s">
        <v>966</v>
      </c>
      <c r="B11" s="4" t="s">
        <v>222</v>
      </c>
      <c r="C11" s="4" t="s">
        <v>950</v>
      </c>
      <c r="D11" s="4" t="s">
        <v>575</v>
      </c>
      <c r="E11" s="4">
        <v>3.0</v>
      </c>
      <c r="F11" s="4" t="s">
        <v>940</v>
      </c>
      <c r="G11" s="4" t="s">
        <v>254</v>
      </c>
      <c r="H11" s="4">
        <v>14</v>
      </c>
      <c r="I11" s="4">
        <v>7</v>
      </c>
      <c r="J11" s="4">
        <v>4</v>
      </c>
      <c r="K11" s="4">
        <v>1</v>
      </c>
      <c r="L11" s="4">
        <v>5</v>
      </c>
      <c r="M11" s="4">
        <v>3</v>
      </c>
      <c r="N11" s="4">
        <v>8</v>
      </c>
      <c r="O11" s="4">
        <v>2</v>
      </c>
      <c r="P11" s="20" t="str">
        <f t="shared" si="1"/>
        <v>1.0%</v>
      </c>
      <c r="Q11" s="20">
        <v>0.06</v>
      </c>
      <c r="R11" s="4">
        <v>1.5</v>
      </c>
      <c r="S11" s="4" t="s">
        <v>967</v>
      </c>
      <c r="T11" s="4" t="s">
        <v>968</v>
      </c>
      <c r="U11" s="4" t="s">
        <v>963</v>
      </c>
      <c r="V11" s="21" t="str">
        <f t="shared" si="2"/>
        <v>30</v>
      </c>
      <c r="W11" s="21" t="str">
        <f t="shared" si="3"/>
        <v>30</v>
      </c>
      <c r="X11" s="21" t="str">
        <f t="shared" si="4"/>
        <v>14</v>
      </c>
      <c r="Y11" s="22" t="str">
        <f t="shared" si="5"/>
        <v>PASS</v>
      </c>
      <c r="Z11" s="22" t="str">
        <f t="shared" si="6"/>
        <v>PASS</v>
      </c>
      <c r="AA11" s="6" t="s">
        <v>969</v>
      </c>
      <c r="AB11" s="6" t="s">
        <v>970</v>
      </c>
      <c r="AC11" s="6" t="s">
        <v>867</v>
      </c>
      <c r="AD11" s="6" t="s">
        <v>868</v>
      </c>
      <c r="AE11" s="4">
        <v>35</v>
      </c>
      <c r="AF11" s="4">
        <v>77</v>
      </c>
      <c r="AG11" s="4">
        <v>80</v>
      </c>
      <c r="AH11" s="4">
        <v>-2</v>
      </c>
      <c r="AI11" s="4">
        <v>-1</v>
      </c>
      <c r="AJ11" s="4" t="s">
        <v>4103</v>
      </c>
    </row>
    <row r="12" ht="26.25" customHeight="1">
      <c r="A12" s="4" t="s">
        <v>971</v>
      </c>
      <c r="B12" s="4" t="s">
        <v>230</v>
      </c>
      <c r="C12" s="4" t="s">
        <v>956</v>
      </c>
      <c r="D12" s="4" t="s">
        <v>575</v>
      </c>
      <c r="E12" s="4">
        <v>3.0</v>
      </c>
      <c r="F12" s="4" t="s">
        <v>940</v>
      </c>
      <c r="G12" s="4" t="s">
        <v>256</v>
      </c>
      <c r="H12" s="4">
        <v>12</v>
      </c>
      <c r="I12" s="4">
        <v>4</v>
      </c>
      <c r="J12" s="4">
        <v>2</v>
      </c>
      <c r="K12" s="4">
        <v>6</v>
      </c>
      <c r="L12" s="4">
        <v>4</v>
      </c>
      <c r="M12" s="4">
        <v>6</v>
      </c>
      <c r="N12" s="4">
        <v>5</v>
      </c>
      <c r="O12" s="4">
        <v>3</v>
      </c>
      <c r="P12" s="20" t="str">
        <f t="shared" si="1"/>
        <v>1.5%</v>
      </c>
      <c r="Q12" s="20">
        <v>0.08</v>
      </c>
      <c r="R12" s="4">
        <v>1.5</v>
      </c>
      <c r="S12" s="4" t="s">
        <v>231</v>
      </c>
      <c r="T12" s="4" t="s">
        <v>972</v>
      </c>
      <c r="U12" s="4" t="s">
        <v>958</v>
      </c>
      <c r="V12" s="21" t="str">
        <f t="shared" si="2"/>
        <v>30</v>
      </c>
      <c r="W12" s="21" t="str">
        <f t="shared" si="3"/>
        <v>30</v>
      </c>
      <c r="X12" s="21" t="str">
        <f t="shared" si="4"/>
        <v>14</v>
      </c>
      <c r="Y12" s="22" t="str">
        <f t="shared" si="5"/>
        <v>PASS</v>
      </c>
      <c r="Z12" s="22" t="str">
        <f t="shared" si="6"/>
        <v>PASS</v>
      </c>
      <c r="AA12" s="6" t="s">
        <v>973</v>
      </c>
      <c r="AB12" s="6" t="s">
        <v>974</v>
      </c>
      <c r="AC12" s="6" t="s">
        <v>875</v>
      </c>
      <c r="AD12" s="6" t="s">
        <v>876</v>
      </c>
      <c r="AE12" s="4">
        <v>24</v>
      </c>
      <c r="AF12" s="4">
        <v>82</v>
      </c>
      <c r="AG12" s="4">
        <v>82</v>
      </c>
      <c r="AH12" s="4">
        <v>0</v>
      </c>
      <c r="AI12" s="4">
        <v>0</v>
      </c>
      <c r="AJ12" s="4" t="s">
        <v>4101</v>
      </c>
    </row>
    <row r="13" ht="26.25" customHeight="1">
      <c r="A13" s="4" t="s">
        <v>975</v>
      </c>
      <c r="B13" s="4" t="s">
        <v>196</v>
      </c>
      <c r="C13" s="4" t="s">
        <v>956</v>
      </c>
      <c r="D13" s="4" t="s">
        <v>569</v>
      </c>
      <c r="E13" s="4">
        <v>1.0</v>
      </c>
      <c r="F13" s="4" t="s">
        <v>933</v>
      </c>
      <c r="G13" s="4" t="s">
        <v>256</v>
      </c>
      <c r="H13" s="4">
        <v>12</v>
      </c>
      <c r="I13" s="4">
        <v>5</v>
      </c>
      <c r="J13" s="4">
        <v>8</v>
      </c>
      <c r="K13" s="4">
        <v>2</v>
      </c>
      <c r="L13" s="4">
        <v>8</v>
      </c>
      <c r="M13" s="4">
        <v>0</v>
      </c>
      <c r="N13" s="4">
        <v>4</v>
      </c>
      <c r="O13" s="4">
        <v>3</v>
      </c>
      <c r="P13" s="20" t="str">
        <f t="shared" si="1"/>
        <v>1.5%</v>
      </c>
      <c r="Q13" s="20">
        <v>0.06</v>
      </c>
      <c r="R13" s="4">
        <v>1.5</v>
      </c>
      <c r="S13" s="4" t="s">
        <v>976</v>
      </c>
      <c r="T13" s="4" t="s">
        <v>977</v>
      </c>
      <c r="U13" s="4" t="s">
        <v>978</v>
      </c>
      <c r="V13" s="21" t="str">
        <f t="shared" si="2"/>
        <v>30</v>
      </c>
      <c r="W13" s="21" t="str">
        <f t="shared" si="3"/>
        <v>30</v>
      </c>
      <c r="X13" s="21" t="str">
        <f t="shared" si="4"/>
        <v>10</v>
      </c>
      <c r="Y13" s="22" t="str">
        <f t="shared" si="5"/>
        <v>PASS</v>
      </c>
      <c r="Z13" s="22" t="str">
        <f t="shared" si="6"/>
        <v>PASS</v>
      </c>
      <c r="AA13" s="6" t="s">
        <v>979</v>
      </c>
      <c r="AB13" s="6" t="s">
        <v>980</v>
      </c>
      <c r="AC13" s="6" t="s">
        <v>835</v>
      </c>
      <c r="AD13" s="6" t="s">
        <v>836</v>
      </c>
      <c r="AE13" s="4">
        <v>27</v>
      </c>
      <c r="AF13" s="4">
        <v>79</v>
      </c>
      <c r="AG13" s="4">
        <v>78</v>
      </c>
      <c r="AH13" s="4">
        <v>0</v>
      </c>
      <c r="AI13" s="4">
        <v>1</v>
      </c>
      <c r="AJ13" s="4" t="s">
        <v>4101</v>
      </c>
    </row>
    <row r="14" ht="26.25" customHeight="1">
      <c r="A14" s="4" t="s">
        <v>981</v>
      </c>
      <c r="B14" s="4" t="s">
        <v>215</v>
      </c>
      <c r="C14" s="4" t="s">
        <v>956</v>
      </c>
      <c r="D14" s="4" t="s">
        <v>572</v>
      </c>
      <c r="E14" s="4">
        <v>2.0</v>
      </c>
      <c r="F14" s="4" t="s">
        <v>940</v>
      </c>
      <c r="G14" s="4" t="s">
        <v>255</v>
      </c>
      <c r="H14" s="4">
        <v>12</v>
      </c>
      <c r="I14" s="4">
        <v>2</v>
      </c>
      <c r="J14" s="4">
        <v>1</v>
      </c>
      <c r="K14" s="4">
        <v>1</v>
      </c>
      <c r="L14" s="4">
        <v>3</v>
      </c>
      <c r="M14" s="4">
        <v>10</v>
      </c>
      <c r="N14" s="4">
        <v>5</v>
      </c>
      <c r="O14" s="4">
        <v>8</v>
      </c>
      <c r="P14" s="20" t="str">
        <f t="shared" si="1"/>
        <v>4.0%</v>
      </c>
      <c r="Q14" s="20">
        <v>0.07</v>
      </c>
      <c r="R14" s="4">
        <v>1.5</v>
      </c>
      <c r="S14" s="4" t="s">
        <v>982</v>
      </c>
      <c r="T14" s="4" t="s">
        <v>983</v>
      </c>
      <c r="U14" s="4" t="s">
        <v>984</v>
      </c>
      <c r="V14" s="21" t="str">
        <f t="shared" si="2"/>
        <v>30</v>
      </c>
      <c r="W14" s="21" t="str">
        <f t="shared" si="3"/>
        <v>30</v>
      </c>
      <c r="X14" s="21" t="str">
        <f t="shared" si="4"/>
        <v>12</v>
      </c>
      <c r="Y14" s="22" t="str">
        <f t="shared" si="5"/>
        <v>PASS</v>
      </c>
      <c r="Z14" s="22" t="str">
        <f t="shared" si="6"/>
        <v>PASS</v>
      </c>
      <c r="AA14" s="6" t="s">
        <v>985</v>
      </c>
      <c r="AB14" s="6" t="s">
        <v>986</v>
      </c>
      <c r="AC14" s="6" t="s">
        <v>859</v>
      </c>
      <c r="AD14" s="6" t="s">
        <v>860</v>
      </c>
      <c r="AE14" s="4">
        <v>18</v>
      </c>
      <c r="AF14" s="4">
        <v>84</v>
      </c>
      <c r="AG14" s="4">
        <v>83</v>
      </c>
      <c r="AH14" s="4">
        <v>0</v>
      </c>
      <c r="AI14" s="4">
        <v>1</v>
      </c>
      <c r="AJ14" s="4" t="s">
        <v>4101</v>
      </c>
    </row>
    <row r="15" ht="26.25" customHeight="1">
      <c r="A15" s="4" t="s">
        <v>987</v>
      </c>
      <c r="B15" s="4" t="s">
        <v>230</v>
      </c>
      <c r="C15" s="4" t="s">
        <v>950</v>
      </c>
      <c r="D15" s="4" t="s">
        <v>575</v>
      </c>
      <c r="E15" s="4">
        <v>3.0</v>
      </c>
      <c r="F15" s="4" t="s">
        <v>940</v>
      </c>
      <c r="G15" s="4" t="s">
        <v>256</v>
      </c>
      <c r="H15" s="4">
        <v>14</v>
      </c>
      <c r="I15" s="4">
        <v>5</v>
      </c>
      <c r="J15" s="4">
        <v>1</v>
      </c>
      <c r="K15" s="4">
        <v>5</v>
      </c>
      <c r="L15" s="4">
        <v>4</v>
      </c>
      <c r="M15" s="4">
        <v>7</v>
      </c>
      <c r="N15" s="4">
        <v>6</v>
      </c>
      <c r="O15" s="4">
        <v>2</v>
      </c>
      <c r="P15" s="20" t="str">
        <f t="shared" si="1"/>
        <v>1.0%</v>
      </c>
      <c r="Q15" s="20">
        <v>0.08</v>
      </c>
      <c r="R15" s="4">
        <v>1.5</v>
      </c>
      <c r="S15" s="4" t="s">
        <v>231</v>
      </c>
      <c r="T15" s="4" t="s">
        <v>988</v>
      </c>
      <c r="U15" s="4" t="s">
        <v>963</v>
      </c>
      <c r="V15" s="21" t="str">
        <f t="shared" si="2"/>
        <v>30</v>
      </c>
      <c r="W15" s="21" t="str">
        <f t="shared" si="3"/>
        <v>30</v>
      </c>
      <c r="X15" s="21" t="str">
        <f t="shared" si="4"/>
        <v>14</v>
      </c>
      <c r="Y15" s="22" t="str">
        <f t="shared" si="5"/>
        <v>PASS</v>
      </c>
      <c r="Z15" s="22" t="str">
        <f t="shared" si="6"/>
        <v>PASS</v>
      </c>
      <c r="AA15" s="6" t="s">
        <v>989</v>
      </c>
      <c r="AB15" s="6" t="s">
        <v>990</v>
      </c>
      <c r="AC15" s="6" t="s">
        <v>875</v>
      </c>
      <c r="AD15" s="6" t="s">
        <v>876</v>
      </c>
      <c r="AE15" s="4">
        <v>29</v>
      </c>
      <c r="AF15" s="4">
        <v>81</v>
      </c>
      <c r="AG15" s="4">
        <v>82</v>
      </c>
      <c r="AH15" s="4">
        <v>-2</v>
      </c>
      <c r="AI15" s="4">
        <v>1</v>
      </c>
      <c r="AJ15" s="4" t="s">
        <v>4101</v>
      </c>
    </row>
    <row r="16" ht="26.25" customHeight="1">
      <c r="A16" s="4" t="s">
        <v>991</v>
      </c>
      <c r="B16" s="4" t="s">
        <v>215</v>
      </c>
      <c r="C16" s="4" t="s">
        <v>950</v>
      </c>
      <c r="D16" s="4" t="s">
        <v>575</v>
      </c>
      <c r="E16" s="4">
        <v>3.0</v>
      </c>
      <c r="F16" s="4" t="s">
        <v>940</v>
      </c>
      <c r="G16" s="4" t="s">
        <v>256</v>
      </c>
      <c r="H16" s="4">
        <v>14</v>
      </c>
      <c r="I16" s="4">
        <v>3</v>
      </c>
      <c r="J16" s="4">
        <v>1</v>
      </c>
      <c r="K16" s="4">
        <v>1</v>
      </c>
      <c r="L16" s="4">
        <v>3</v>
      </c>
      <c r="M16" s="4">
        <v>12</v>
      </c>
      <c r="N16" s="4">
        <v>6</v>
      </c>
      <c r="O16" s="4">
        <v>4</v>
      </c>
      <c r="P16" s="20" t="str">
        <f t="shared" si="1"/>
        <v>2.0%</v>
      </c>
      <c r="Q16" s="20">
        <v>0.08</v>
      </c>
      <c r="R16" s="4">
        <v>1.5</v>
      </c>
      <c r="S16" s="4" t="s">
        <v>982</v>
      </c>
      <c r="T16" s="4" t="s">
        <v>992</v>
      </c>
      <c r="U16" s="4" t="s">
        <v>963</v>
      </c>
      <c r="V16" s="21" t="str">
        <f t="shared" si="2"/>
        <v>30</v>
      </c>
      <c r="W16" s="21" t="str">
        <f t="shared" si="3"/>
        <v>30</v>
      </c>
      <c r="X16" s="21" t="str">
        <f t="shared" si="4"/>
        <v>14</v>
      </c>
      <c r="Y16" s="22" t="str">
        <f t="shared" si="5"/>
        <v>PASS</v>
      </c>
      <c r="Z16" s="22" t="str">
        <f t="shared" si="6"/>
        <v>PASS</v>
      </c>
      <c r="AA16" s="6" t="s">
        <v>993</v>
      </c>
      <c r="AB16" s="6" t="s">
        <v>994</v>
      </c>
      <c r="AC16" s="6" t="s">
        <v>859</v>
      </c>
      <c r="AD16" s="6" t="s">
        <v>860</v>
      </c>
      <c r="AE16" s="4">
        <v>23</v>
      </c>
      <c r="AF16" s="4">
        <v>82</v>
      </c>
      <c r="AG16" s="4">
        <v>83</v>
      </c>
      <c r="AH16" s="4">
        <v>-2</v>
      </c>
      <c r="AI16" s="4">
        <v>1</v>
      </c>
      <c r="AJ16" s="4" t="s">
        <v>4101</v>
      </c>
    </row>
    <row r="17" ht="26.25" customHeight="1">
      <c r="A17" s="4" t="s">
        <v>995</v>
      </c>
      <c r="B17" s="4" t="s">
        <v>202</v>
      </c>
      <c r="C17" s="4" t="s">
        <v>956</v>
      </c>
      <c r="D17" s="4" t="s">
        <v>572</v>
      </c>
      <c r="E17" s="4">
        <v>2.0</v>
      </c>
      <c r="F17" s="4" t="s">
        <v>940</v>
      </c>
      <c r="G17" s="4" t="s">
        <v>256</v>
      </c>
      <c r="H17" s="4">
        <v>12</v>
      </c>
      <c r="I17" s="4">
        <v>3</v>
      </c>
      <c r="J17" s="4">
        <v>2</v>
      </c>
      <c r="K17" s="4">
        <v>11</v>
      </c>
      <c r="L17" s="4">
        <v>3</v>
      </c>
      <c r="M17" s="4">
        <v>0</v>
      </c>
      <c r="N17" s="4">
        <v>4</v>
      </c>
      <c r="O17" s="4">
        <v>7</v>
      </c>
      <c r="P17" s="20" t="str">
        <f t="shared" si="1"/>
        <v>3.5%</v>
      </c>
      <c r="Q17" s="20">
        <v>0.12</v>
      </c>
      <c r="R17" s="4">
        <v>1.55</v>
      </c>
      <c r="S17" s="4" t="s">
        <v>94</v>
      </c>
      <c r="T17" s="4" t="s">
        <v>996</v>
      </c>
      <c r="U17" s="4" t="s">
        <v>984</v>
      </c>
      <c r="V17" s="21" t="str">
        <f t="shared" si="2"/>
        <v>30</v>
      </c>
      <c r="W17" s="21" t="str">
        <f t="shared" si="3"/>
        <v>30</v>
      </c>
      <c r="X17" s="21" t="str">
        <f t="shared" si="4"/>
        <v>12</v>
      </c>
      <c r="Y17" s="22" t="str">
        <f t="shared" si="5"/>
        <v>PASS</v>
      </c>
      <c r="Z17" s="22" t="str">
        <f t="shared" si="6"/>
        <v>PASS</v>
      </c>
      <c r="AA17" s="6" t="s">
        <v>997</v>
      </c>
      <c r="AB17" s="6" t="s">
        <v>998</v>
      </c>
      <c r="AC17" s="6" t="s">
        <v>843</v>
      </c>
      <c r="AD17" s="6" t="s">
        <v>844</v>
      </c>
      <c r="AE17" s="4">
        <v>21</v>
      </c>
      <c r="AF17" s="4">
        <v>88</v>
      </c>
      <c r="AG17" s="4">
        <v>86</v>
      </c>
      <c r="AH17" s="4">
        <v>0</v>
      </c>
      <c r="AI17" s="4">
        <v>2</v>
      </c>
      <c r="AJ17" s="4" t="s">
        <v>4101</v>
      </c>
    </row>
    <row r="18" ht="26.25" customHeight="1">
      <c r="A18" s="4" t="s">
        <v>999</v>
      </c>
      <c r="B18" s="4" t="s">
        <v>230</v>
      </c>
      <c r="C18" s="4" t="s">
        <v>932</v>
      </c>
      <c r="D18" s="4" t="s">
        <v>569</v>
      </c>
      <c r="E18" s="4">
        <v>1.0</v>
      </c>
      <c r="F18" s="4" t="s">
        <v>940</v>
      </c>
      <c r="G18" s="4" t="s">
        <v>257</v>
      </c>
      <c r="H18" s="4">
        <v>10</v>
      </c>
      <c r="I18" s="4">
        <v>2</v>
      </c>
      <c r="J18" s="4">
        <v>1</v>
      </c>
      <c r="K18" s="4">
        <v>6</v>
      </c>
      <c r="L18" s="4">
        <v>3</v>
      </c>
      <c r="M18" s="4">
        <v>7</v>
      </c>
      <c r="N18" s="4">
        <v>5</v>
      </c>
      <c r="O18" s="4">
        <v>6</v>
      </c>
      <c r="P18" s="20" t="str">
        <f t="shared" si="1"/>
        <v>3.0%</v>
      </c>
      <c r="Q18" s="20">
        <v>0.07</v>
      </c>
      <c r="R18" s="4">
        <v>1.5</v>
      </c>
      <c r="S18" s="4" t="s">
        <v>231</v>
      </c>
      <c r="T18" s="4" t="s">
        <v>1000</v>
      </c>
      <c r="U18" s="4" t="s">
        <v>935</v>
      </c>
      <c r="V18" s="21" t="str">
        <f t="shared" si="2"/>
        <v>30</v>
      </c>
      <c r="W18" s="21" t="str">
        <f t="shared" si="3"/>
        <v>30</v>
      </c>
      <c r="X18" s="21" t="str">
        <f t="shared" si="4"/>
        <v>10</v>
      </c>
      <c r="Y18" s="22" t="str">
        <f t="shared" si="5"/>
        <v>PASS</v>
      </c>
      <c r="Z18" s="22" t="str">
        <f t="shared" si="6"/>
        <v>PASS</v>
      </c>
      <c r="AA18" s="6" t="s">
        <v>1001</v>
      </c>
      <c r="AB18" s="6" t="s">
        <v>1002</v>
      </c>
      <c r="AC18" s="6" t="s">
        <v>875</v>
      </c>
      <c r="AD18" s="6" t="s">
        <v>876</v>
      </c>
      <c r="AE18" s="4">
        <v>16</v>
      </c>
      <c r="AF18" s="4">
        <v>85</v>
      </c>
      <c r="AG18" s="4">
        <v>82</v>
      </c>
      <c r="AH18" s="4">
        <v>3</v>
      </c>
      <c r="AI18" s="4">
        <v>0</v>
      </c>
      <c r="AJ18" s="4" t="s">
        <v>4101</v>
      </c>
    </row>
    <row r="19" ht="26.25" customHeight="1">
      <c r="A19" s="4" t="s">
        <v>1003</v>
      </c>
      <c r="B19" s="4" t="s">
        <v>215</v>
      </c>
      <c r="C19" s="4" t="s">
        <v>956</v>
      </c>
      <c r="D19" s="4" t="s">
        <v>572</v>
      </c>
      <c r="E19" s="4">
        <v>2.0</v>
      </c>
      <c r="F19" s="4" t="s">
        <v>940</v>
      </c>
      <c r="G19" s="4" t="s">
        <v>257</v>
      </c>
      <c r="H19" s="4">
        <v>12</v>
      </c>
      <c r="I19" s="4">
        <v>2</v>
      </c>
      <c r="J19" s="4">
        <v>0</v>
      </c>
      <c r="K19" s="4">
        <v>1</v>
      </c>
      <c r="L19" s="4">
        <v>3</v>
      </c>
      <c r="M19" s="4">
        <v>9</v>
      </c>
      <c r="N19" s="4">
        <v>6</v>
      </c>
      <c r="O19" s="4">
        <v>9</v>
      </c>
      <c r="P19" s="20" t="str">
        <f t="shared" si="1"/>
        <v>4.5%</v>
      </c>
      <c r="Q19" s="20">
        <v>0.06</v>
      </c>
      <c r="R19" s="4">
        <v>1.5</v>
      </c>
      <c r="S19" s="4" t="s">
        <v>982</v>
      </c>
      <c r="T19" s="4" t="s">
        <v>1004</v>
      </c>
      <c r="U19" s="4" t="s">
        <v>984</v>
      </c>
      <c r="V19" s="21" t="str">
        <f t="shared" si="2"/>
        <v>30</v>
      </c>
      <c r="W19" s="21" t="str">
        <f t="shared" si="3"/>
        <v>30</v>
      </c>
      <c r="X19" s="21" t="str">
        <f t="shared" si="4"/>
        <v>12</v>
      </c>
      <c r="Y19" s="22" t="str">
        <f t="shared" si="5"/>
        <v>PASS</v>
      </c>
      <c r="Z19" s="22" t="str">
        <f t="shared" si="6"/>
        <v>PASS</v>
      </c>
      <c r="AA19" s="6" t="s">
        <v>1005</v>
      </c>
      <c r="AB19" s="6" t="s">
        <v>1006</v>
      </c>
      <c r="AC19" s="6" t="s">
        <v>859</v>
      </c>
      <c r="AD19" s="6" t="s">
        <v>860</v>
      </c>
      <c r="AE19" s="4">
        <v>18</v>
      </c>
      <c r="AF19" s="4">
        <v>84</v>
      </c>
      <c r="AG19" s="4">
        <v>83</v>
      </c>
      <c r="AH19" s="4">
        <v>0</v>
      </c>
      <c r="AI19" s="4">
        <v>1</v>
      </c>
      <c r="AJ19" s="4" t="s">
        <v>4101</v>
      </c>
    </row>
    <row r="20" ht="26.25" customHeight="1">
      <c r="A20" s="4" t="s">
        <v>1007</v>
      </c>
      <c r="B20" s="4" t="s">
        <v>230</v>
      </c>
      <c r="C20" s="4" t="s">
        <v>956</v>
      </c>
      <c r="D20" s="4" t="s">
        <v>575</v>
      </c>
      <c r="E20" s="4">
        <v>3.0</v>
      </c>
      <c r="F20" s="4" t="s">
        <v>940</v>
      </c>
      <c r="G20" s="4" t="s">
        <v>257</v>
      </c>
      <c r="H20" s="4">
        <v>12</v>
      </c>
      <c r="I20" s="4">
        <v>4</v>
      </c>
      <c r="J20" s="4">
        <v>3</v>
      </c>
      <c r="K20" s="4">
        <v>8</v>
      </c>
      <c r="L20" s="4">
        <v>4</v>
      </c>
      <c r="M20" s="4">
        <v>4</v>
      </c>
      <c r="N20" s="4">
        <v>4</v>
      </c>
      <c r="O20" s="4">
        <v>3</v>
      </c>
      <c r="P20" s="20" t="str">
        <f t="shared" si="1"/>
        <v>1.5%</v>
      </c>
      <c r="Q20" s="20">
        <v>0.08</v>
      </c>
      <c r="R20" s="4">
        <v>1.5</v>
      </c>
      <c r="S20" s="4" t="s">
        <v>231</v>
      </c>
      <c r="T20" s="4" t="s">
        <v>1008</v>
      </c>
      <c r="U20" s="4" t="s">
        <v>958</v>
      </c>
      <c r="V20" s="21" t="str">
        <f t="shared" si="2"/>
        <v>30</v>
      </c>
      <c r="W20" s="21" t="str">
        <f t="shared" si="3"/>
        <v>30</v>
      </c>
      <c r="X20" s="21" t="str">
        <f t="shared" si="4"/>
        <v>14</v>
      </c>
      <c r="Y20" s="22" t="str">
        <f t="shared" si="5"/>
        <v>PASS</v>
      </c>
      <c r="Z20" s="22" t="str">
        <f t="shared" si="6"/>
        <v>PASS</v>
      </c>
      <c r="AA20" s="6" t="s">
        <v>1009</v>
      </c>
      <c r="AB20" s="6" t="s">
        <v>1010</v>
      </c>
      <c r="AC20" s="6" t="s">
        <v>875</v>
      </c>
      <c r="AD20" s="6" t="s">
        <v>876</v>
      </c>
      <c r="AE20" s="4">
        <v>24</v>
      </c>
      <c r="AF20" s="4">
        <v>81</v>
      </c>
      <c r="AG20" s="4">
        <v>82</v>
      </c>
      <c r="AH20" s="4">
        <v>0</v>
      </c>
      <c r="AI20" s="4">
        <v>-1</v>
      </c>
      <c r="AJ20" s="4" t="s">
        <v>4101</v>
      </c>
    </row>
    <row r="21" ht="26.25" customHeight="1">
      <c r="A21" s="4" t="s">
        <v>1011</v>
      </c>
      <c r="B21" s="4" t="s">
        <v>196</v>
      </c>
      <c r="C21" s="4" t="s">
        <v>1012</v>
      </c>
      <c r="D21" s="4" t="s">
        <v>575</v>
      </c>
      <c r="E21" s="4">
        <v>3.0</v>
      </c>
      <c r="F21" s="4" t="s">
        <v>940</v>
      </c>
      <c r="G21" s="4" t="s">
        <v>259</v>
      </c>
      <c r="H21" s="4">
        <v>16</v>
      </c>
      <c r="I21" s="4">
        <v>7</v>
      </c>
      <c r="J21" s="4">
        <v>7</v>
      </c>
      <c r="K21" s="4">
        <v>0</v>
      </c>
      <c r="L21" s="4">
        <v>10</v>
      </c>
      <c r="M21" s="4">
        <v>0</v>
      </c>
      <c r="N21" s="4">
        <v>5</v>
      </c>
      <c r="O21" s="4">
        <v>1</v>
      </c>
      <c r="P21" s="20" t="str">
        <f t="shared" si="1"/>
        <v>0.5%</v>
      </c>
      <c r="Q21" s="20">
        <v>0.05</v>
      </c>
      <c r="R21" s="4">
        <v>1.5</v>
      </c>
      <c r="S21" s="4" t="s">
        <v>976</v>
      </c>
      <c r="T21" s="4" t="s">
        <v>1013</v>
      </c>
      <c r="U21" s="4" t="s">
        <v>1014</v>
      </c>
      <c r="V21" s="21" t="str">
        <f t="shared" si="2"/>
        <v>30</v>
      </c>
      <c r="W21" s="21" t="str">
        <f t="shared" si="3"/>
        <v>30</v>
      </c>
      <c r="X21" s="21" t="str">
        <f t="shared" si="4"/>
        <v>14</v>
      </c>
      <c r="Y21" s="22" t="str">
        <f t="shared" si="5"/>
        <v>PASS</v>
      </c>
      <c r="Z21" s="22" t="str">
        <f t="shared" si="6"/>
        <v>PASS</v>
      </c>
      <c r="AA21" s="6" t="s">
        <v>1015</v>
      </c>
      <c r="AB21" s="6" t="s">
        <v>1016</v>
      </c>
      <c r="AC21" s="6" t="s">
        <v>835</v>
      </c>
      <c r="AD21" s="6" t="s">
        <v>836</v>
      </c>
      <c r="AE21" s="4">
        <v>37</v>
      </c>
      <c r="AF21" s="4">
        <v>74</v>
      </c>
      <c r="AG21" s="4">
        <v>78</v>
      </c>
      <c r="AH21" s="4">
        <v>-4</v>
      </c>
      <c r="AI21" s="4">
        <v>0</v>
      </c>
      <c r="AJ21" s="4" t="s">
        <v>4101</v>
      </c>
    </row>
    <row r="22" ht="26.25" customHeight="1">
      <c r="A22" s="4" t="s">
        <v>1017</v>
      </c>
      <c r="B22" s="4" t="s">
        <v>215</v>
      </c>
      <c r="C22" s="4" t="s">
        <v>950</v>
      </c>
      <c r="D22" s="4" t="s">
        <v>578</v>
      </c>
      <c r="E22" s="4">
        <v>4.0</v>
      </c>
      <c r="F22" s="4" t="s">
        <v>940</v>
      </c>
      <c r="G22" s="4" t="s">
        <v>259</v>
      </c>
      <c r="H22" s="4">
        <v>14</v>
      </c>
      <c r="I22" s="4">
        <v>2</v>
      </c>
      <c r="J22" s="4">
        <v>0</v>
      </c>
      <c r="K22" s="4">
        <v>1</v>
      </c>
      <c r="L22" s="4">
        <v>2</v>
      </c>
      <c r="M22" s="4">
        <v>12</v>
      </c>
      <c r="N22" s="4">
        <v>5</v>
      </c>
      <c r="O22" s="4">
        <v>8</v>
      </c>
      <c r="P22" s="20" t="str">
        <f t="shared" si="1"/>
        <v>4.0%</v>
      </c>
      <c r="Q22" s="20">
        <v>0.07</v>
      </c>
      <c r="R22" s="4">
        <v>1.5</v>
      </c>
      <c r="S22" s="4" t="s">
        <v>982</v>
      </c>
      <c r="T22" s="4" t="s">
        <v>1018</v>
      </c>
      <c r="U22" s="4" t="s">
        <v>1019</v>
      </c>
      <c r="V22" s="21" t="str">
        <f t="shared" si="2"/>
        <v>30</v>
      </c>
      <c r="W22" s="21" t="str">
        <f t="shared" si="3"/>
        <v>30</v>
      </c>
      <c r="X22" s="21" t="str">
        <f t="shared" si="4"/>
        <v>16</v>
      </c>
      <c r="Y22" s="22" t="str">
        <f t="shared" si="5"/>
        <v>PASS</v>
      </c>
      <c r="Z22" s="22" t="str">
        <f t="shared" si="6"/>
        <v>PASS</v>
      </c>
      <c r="AA22" s="6" t="s">
        <v>1020</v>
      </c>
      <c r="AB22" s="6" t="s">
        <v>1021</v>
      </c>
      <c r="AC22" s="6" t="s">
        <v>859</v>
      </c>
      <c r="AD22" s="6" t="s">
        <v>860</v>
      </c>
      <c r="AE22" s="4">
        <v>20</v>
      </c>
      <c r="AF22" s="4">
        <v>82</v>
      </c>
      <c r="AG22" s="4">
        <v>83</v>
      </c>
      <c r="AH22" s="4">
        <v>-2</v>
      </c>
      <c r="AI22" s="4">
        <v>1</v>
      </c>
      <c r="AJ22" s="4" t="s">
        <v>4101</v>
      </c>
    </row>
    <row r="23" ht="26.25" customHeight="1">
      <c r="A23" s="4" t="s">
        <v>1022</v>
      </c>
      <c r="B23" s="4" t="s">
        <v>196</v>
      </c>
      <c r="C23" s="4" t="s">
        <v>950</v>
      </c>
      <c r="D23" s="4" t="s">
        <v>578</v>
      </c>
      <c r="E23" s="4">
        <v>4.0</v>
      </c>
      <c r="F23" s="4" t="s">
        <v>940</v>
      </c>
      <c r="G23" s="4" t="s">
        <v>254</v>
      </c>
      <c r="H23" s="4">
        <v>14</v>
      </c>
      <c r="I23" s="4">
        <v>4</v>
      </c>
      <c r="J23" s="4">
        <v>10</v>
      </c>
      <c r="K23" s="4">
        <v>5</v>
      </c>
      <c r="L23" s="4">
        <v>5</v>
      </c>
      <c r="M23" s="4">
        <v>0</v>
      </c>
      <c r="N23" s="4">
        <v>2</v>
      </c>
      <c r="O23" s="4">
        <v>4</v>
      </c>
      <c r="P23" s="20" t="str">
        <f t="shared" si="1"/>
        <v>2.0%</v>
      </c>
      <c r="Q23" s="20">
        <v>0.07</v>
      </c>
      <c r="R23" s="4">
        <v>1.5</v>
      </c>
      <c r="S23" s="4" t="s">
        <v>976</v>
      </c>
      <c r="T23" s="4" t="s">
        <v>1023</v>
      </c>
      <c r="U23" s="4" t="s">
        <v>1019</v>
      </c>
      <c r="V23" s="21" t="str">
        <f t="shared" si="2"/>
        <v>30</v>
      </c>
      <c r="W23" s="21" t="str">
        <f t="shared" si="3"/>
        <v>30</v>
      </c>
      <c r="X23" s="21" t="str">
        <f t="shared" si="4"/>
        <v>16</v>
      </c>
      <c r="Y23" s="22" t="str">
        <f t="shared" si="5"/>
        <v>PASS</v>
      </c>
      <c r="Z23" s="22" t="str">
        <f t="shared" si="6"/>
        <v>PASS</v>
      </c>
      <c r="AA23" s="6" t="s">
        <v>1024</v>
      </c>
      <c r="AB23" s="6" t="s">
        <v>1025</v>
      </c>
      <c r="AC23" s="6" t="s">
        <v>835</v>
      </c>
      <c r="AD23" s="6" t="s">
        <v>836</v>
      </c>
      <c r="AE23" s="4">
        <v>26</v>
      </c>
      <c r="AF23" s="4">
        <v>78</v>
      </c>
      <c r="AG23" s="4">
        <v>78</v>
      </c>
      <c r="AH23" s="4">
        <v>-2</v>
      </c>
      <c r="AI23" s="4">
        <v>2</v>
      </c>
      <c r="AJ23" s="4" t="s">
        <v>4101</v>
      </c>
    </row>
    <row r="24" ht="26.25" customHeight="1">
      <c r="A24" s="4" t="s">
        <v>1026</v>
      </c>
      <c r="B24" s="4" t="s">
        <v>222</v>
      </c>
      <c r="C24" s="4" t="s">
        <v>1012</v>
      </c>
      <c r="D24" s="4" t="s">
        <v>578</v>
      </c>
      <c r="E24" s="4">
        <v>4.0</v>
      </c>
      <c r="F24" s="4" t="s">
        <v>940</v>
      </c>
      <c r="G24" s="4" t="s">
        <v>259</v>
      </c>
      <c r="H24" s="4">
        <v>16</v>
      </c>
      <c r="I24" s="4">
        <v>8</v>
      </c>
      <c r="J24" s="4">
        <v>4</v>
      </c>
      <c r="K24" s="4">
        <v>0</v>
      </c>
      <c r="L24" s="4">
        <v>4</v>
      </c>
      <c r="M24" s="4">
        <v>3</v>
      </c>
      <c r="N24" s="4">
        <v>10</v>
      </c>
      <c r="O24" s="4">
        <v>1</v>
      </c>
      <c r="P24" s="20" t="str">
        <f t="shared" si="1"/>
        <v>0.5%</v>
      </c>
      <c r="Q24" s="20">
        <v>0.06</v>
      </c>
      <c r="R24" s="4">
        <v>1.5</v>
      </c>
      <c r="S24" s="4" t="s">
        <v>967</v>
      </c>
      <c r="T24" s="4" t="s">
        <v>1027</v>
      </c>
      <c r="U24" s="4" t="s">
        <v>1028</v>
      </c>
      <c r="V24" s="21" t="str">
        <f t="shared" si="2"/>
        <v>30</v>
      </c>
      <c r="W24" s="21" t="str">
        <f t="shared" si="3"/>
        <v>30</v>
      </c>
      <c r="X24" s="21" t="str">
        <f t="shared" si="4"/>
        <v>16</v>
      </c>
      <c r="Y24" s="22" t="str">
        <f t="shared" si="5"/>
        <v>PASS</v>
      </c>
      <c r="Z24" s="22" t="str">
        <f t="shared" si="6"/>
        <v>PASS</v>
      </c>
      <c r="AA24" s="6" t="s">
        <v>1029</v>
      </c>
      <c r="AB24" s="6" t="s">
        <v>1030</v>
      </c>
      <c r="AC24" s="6" t="s">
        <v>867</v>
      </c>
      <c r="AD24" s="6" t="s">
        <v>868</v>
      </c>
      <c r="AE24" s="4">
        <v>40</v>
      </c>
      <c r="AF24" s="4">
        <v>76</v>
      </c>
      <c r="AG24" s="4">
        <v>80</v>
      </c>
      <c r="AH24" s="4">
        <v>-4</v>
      </c>
      <c r="AI24" s="4">
        <v>0</v>
      </c>
      <c r="AJ24" s="4" t="s">
        <v>4101</v>
      </c>
    </row>
    <row r="25" ht="26.25" customHeight="1">
      <c r="A25" s="4" t="s">
        <v>1031</v>
      </c>
      <c r="B25" s="4" t="s">
        <v>202</v>
      </c>
      <c r="C25" s="4" t="s">
        <v>956</v>
      </c>
      <c r="D25" s="4" t="s">
        <v>569</v>
      </c>
      <c r="E25" s="4">
        <v>1.0</v>
      </c>
      <c r="F25" s="4" t="s">
        <v>940</v>
      </c>
      <c r="G25" s="4" t="s">
        <v>259</v>
      </c>
      <c r="H25" s="4">
        <v>12</v>
      </c>
      <c r="I25" s="4">
        <v>4</v>
      </c>
      <c r="J25" s="4">
        <v>2</v>
      </c>
      <c r="K25" s="4">
        <v>8</v>
      </c>
      <c r="L25" s="4">
        <v>5</v>
      </c>
      <c r="M25" s="4">
        <v>0</v>
      </c>
      <c r="N25" s="4">
        <v>5</v>
      </c>
      <c r="O25" s="4">
        <v>6</v>
      </c>
      <c r="P25" s="20" t="str">
        <f t="shared" si="1"/>
        <v>3.0%</v>
      </c>
      <c r="Q25" s="20">
        <v>0.1</v>
      </c>
      <c r="R25" s="4">
        <v>1.55</v>
      </c>
      <c r="S25" s="4" t="s">
        <v>94</v>
      </c>
      <c r="T25" s="4" t="s">
        <v>1032</v>
      </c>
      <c r="U25" s="4" t="s">
        <v>978</v>
      </c>
      <c r="V25" s="21" t="str">
        <f t="shared" si="2"/>
        <v>30</v>
      </c>
      <c r="W25" s="21" t="str">
        <f t="shared" si="3"/>
        <v>30</v>
      </c>
      <c r="X25" s="21" t="str">
        <f t="shared" si="4"/>
        <v>10</v>
      </c>
      <c r="Y25" s="22" t="str">
        <f t="shared" si="5"/>
        <v>PASS</v>
      </c>
      <c r="Z25" s="22" t="str">
        <f t="shared" si="6"/>
        <v>PASS</v>
      </c>
      <c r="AA25" s="6" t="s">
        <v>1033</v>
      </c>
      <c r="AB25" s="6" t="s">
        <v>1034</v>
      </c>
      <c r="AC25" s="6" t="s">
        <v>843</v>
      </c>
      <c r="AD25" s="6" t="s">
        <v>844</v>
      </c>
      <c r="AE25" s="4">
        <v>24</v>
      </c>
      <c r="AF25" s="4">
        <v>87</v>
      </c>
      <c r="AG25" s="4">
        <v>86</v>
      </c>
      <c r="AH25" s="4">
        <v>0</v>
      </c>
      <c r="AI25" s="4">
        <v>1</v>
      </c>
      <c r="AJ25" s="4" t="s">
        <v>4101</v>
      </c>
    </row>
    <row r="26" ht="26.25" customHeight="1">
      <c r="A26" s="4" t="s">
        <v>1035</v>
      </c>
      <c r="B26" s="4" t="s">
        <v>238</v>
      </c>
      <c r="C26" s="4" t="s">
        <v>1012</v>
      </c>
      <c r="D26" s="4" t="s">
        <v>569</v>
      </c>
      <c r="E26" s="4">
        <v>1.0</v>
      </c>
      <c r="F26" s="4" t="s">
        <v>933</v>
      </c>
      <c r="G26" s="4" t="s">
        <v>259</v>
      </c>
      <c r="H26" s="4">
        <v>16</v>
      </c>
      <c r="I26" s="4">
        <v>7</v>
      </c>
      <c r="J26" s="4">
        <v>9</v>
      </c>
      <c r="K26" s="4">
        <v>0</v>
      </c>
      <c r="L26" s="4">
        <v>8</v>
      </c>
      <c r="M26" s="4">
        <v>0</v>
      </c>
      <c r="N26" s="4">
        <v>4</v>
      </c>
      <c r="O26" s="4">
        <v>2</v>
      </c>
      <c r="P26" s="20" t="str">
        <f t="shared" si="1"/>
        <v>1.0%</v>
      </c>
      <c r="Q26" s="20">
        <v>0.05</v>
      </c>
      <c r="R26" s="4">
        <v>1.55</v>
      </c>
      <c r="S26" s="4" t="s">
        <v>1036</v>
      </c>
      <c r="T26" s="4" t="s">
        <v>1037</v>
      </c>
      <c r="U26" s="4" t="s">
        <v>1038</v>
      </c>
      <c r="V26" s="21" t="str">
        <f t="shared" si="2"/>
        <v>30</v>
      </c>
      <c r="W26" s="21" t="str">
        <f t="shared" si="3"/>
        <v>30</v>
      </c>
      <c r="X26" s="21" t="str">
        <f t="shared" si="4"/>
        <v>10</v>
      </c>
      <c r="Y26" s="22" t="str">
        <f t="shared" si="5"/>
        <v>PASS</v>
      </c>
      <c r="Z26" s="22" t="str">
        <f t="shared" si="6"/>
        <v>PASS</v>
      </c>
      <c r="AA26" s="6" t="s">
        <v>1039</v>
      </c>
      <c r="AB26" s="6" t="s">
        <v>1040</v>
      </c>
      <c r="AC26" s="6" t="s">
        <v>884</v>
      </c>
      <c r="AD26" s="6" t="s">
        <v>885</v>
      </c>
      <c r="AE26" s="4">
        <v>37</v>
      </c>
      <c r="AF26" s="4">
        <v>70</v>
      </c>
      <c r="AG26" s="4">
        <v>74</v>
      </c>
      <c r="AH26" s="4">
        <v>-4</v>
      </c>
      <c r="AI26" s="4">
        <v>0</v>
      </c>
      <c r="AJ26" s="4" t="s">
        <v>4101</v>
      </c>
    </row>
    <row r="27" ht="26.25" customHeight="1">
      <c r="A27" s="4" t="s">
        <v>1041</v>
      </c>
      <c r="B27" s="4" t="s">
        <v>238</v>
      </c>
      <c r="C27" s="4" t="s">
        <v>1012</v>
      </c>
      <c r="D27" s="4" t="s">
        <v>578</v>
      </c>
      <c r="E27" s="4">
        <v>4.0</v>
      </c>
      <c r="F27" s="4" t="s">
        <v>940</v>
      </c>
      <c r="G27" s="4" t="s">
        <v>259</v>
      </c>
      <c r="H27" s="4">
        <v>16</v>
      </c>
      <c r="I27" s="4">
        <v>8</v>
      </c>
      <c r="J27" s="4">
        <v>12</v>
      </c>
      <c r="K27" s="4">
        <v>0</v>
      </c>
      <c r="L27" s="4">
        <v>7</v>
      </c>
      <c r="M27" s="4">
        <v>0</v>
      </c>
      <c r="N27" s="4">
        <v>2</v>
      </c>
      <c r="O27" s="4">
        <v>1</v>
      </c>
      <c r="P27" s="20" t="str">
        <f t="shared" si="1"/>
        <v>0.5%</v>
      </c>
      <c r="Q27" s="20">
        <v>0.06</v>
      </c>
      <c r="R27" s="4">
        <v>1.55</v>
      </c>
      <c r="S27" s="4" t="s">
        <v>1036</v>
      </c>
      <c r="T27" s="4" t="s">
        <v>1042</v>
      </c>
      <c r="U27" s="4" t="s">
        <v>1028</v>
      </c>
      <c r="V27" s="21" t="str">
        <f t="shared" si="2"/>
        <v>30</v>
      </c>
      <c r="W27" s="21" t="str">
        <f t="shared" si="3"/>
        <v>30</v>
      </c>
      <c r="X27" s="21" t="str">
        <f t="shared" si="4"/>
        <v>16</v>
      </c>
      <c r="Y27" s="22" t="str">
        <f t="shared" si="5"/>
        <v>PASS</v>
      </c>
      <c r="Z27" s="22" t="str">
        <f t="shared" si="6"/>
        <v>PASS</v>
      </c>
      <c r="AA27" s="6" t="s">
        <v>1043</v>
      </c>
      <c r="AB27" s="6" t="s">
        <v>1044</v>
      </c>
      <c r="AC27" s="6" t="s">
        <v>884</v>
      </c>
      <c r="AD27" s="6" t="s">
        <v>885</v>
      </c>
      <c r="AE27" s="4">
        <v>40</v>
      </c>
      <c r="AF27" s="4">
        <v>68</v>
      </c>
      <c r="AG27" s="4">
        <v>74</v>
      </c>
      <c r="AH27" s="4">
        <v>-4</v>
      </c>
      <c r="AI27" s="4">
        <v>-2</v>
      </c>
      <c r="AJ27" s="4" t="s">
        <v>4104</v>
      </c>
    </row>
    <row r="28" ht="26.25" customHeight="1">
      <c r="A28" s="4" t="s">
        <v>1045</v>
      </c>
      <c r="B28" s="4" t="s">
        <v>202</v>
      </c>
      <c r="C28" s="4" t="s">
        <v>1012</v>
      </c>
      <c r="D28" s="4" t="s">
        <v>581</v>
      </c>
      <c r="E28" s="4">
        <v>5.0</v>
      </c>
      <c r="F28" s="4" t="s">
        <v>940</v>
      </c>
      <c r="G28" s="4" t="s">
        <v>255</v>
      </c>
      <c r="H28" s="4">
        <v>16</v>
      </c>
      <c r="I28" s="4">
        <v>5</v>
      </c>
      <c r="J28" s="4">
        <v>4</v>
      </c>
      <c r="K28" s="4">
        <v>15</v>
      </c>
      <c r="L28" s="4">
        <v>3</v>
      </c>
      <c r="M28" s="4">
        <v>0</v>
      </c>
      <c r="N28" s="4">
        <v>2</v>
      </c>
      <c r="O28" s="4">
        <v>3</v>
      </c>
      <c r="P28" s="20" t="str">
        <f t="shared" si="1"/>
        <v>1.5%</v>
      </c>
      <c r="Q28" s="20">
        <v>0.13</v>
      </c>
      <c r="R28" s="4">
        <v>1.55</v>
      </c>
      <c r="S28" s="4" t="s">
        <v>94</v>
      </c>
      <c r="T28" s="4" t="s">
        <v>1046</v>
      </c>
      <c r="U28" s="4" t="s">
        <v>1047</v>
      </c>
      <c r="V28" s="21" t="str">
        <f t="shared" si="2"/>
        <v>32</v>
      </c>
      <c r="W28" s="21" t="str">
        <f t="shared" si="3"/>
        <v>32</v>
      </c>
      <c r="X28" s="21" t="str">
        <f t="shared" si="4"/>
        <v>18</v>
      </c>
      <c r="Y28" s="22" t="str">
        <f t="shared" si="5"/>
        <v>PASS</v>
      </c>
      <c r="Z28" s="22" t="str">
        <f t="shared" si="6"/>
        <v>PASS</v>
      </c>
      <c r="AA28" s="6" t="s">
        <v>1048</v>
      </c>
      <c r="AB28" s="6" t="s">
        <v>1049</v>
      </c>
      <c r="AC28" s="6" t="s">
        <v>843</v>
      </c>
      <c r="AD28" s="6" t="s">
        <v>844</v>
      </c>
      <c r="AE28" s="4">
        <v>31</v>
      </c>
      <c r="AF28" s="4">
        <v>83</v>
      </c>
      <c r="AG28" s="4">
        <v>86</v>
      </c>
      <c r="AH28" s="4">
        <v>-4</v>
      </c>
      <c r="AI28" s="4">
        <v>1</v>
      </c>
      <c r="AJ28" s="4" t="s">
        <v>4101</v>
      </c>
    </row>
    <row r="29" ht="26.25" customHeight="1">
      <c r="A29" s="4" t="s">
        <v>1050</v>
      </c>
      <c r="B29" s="4" t="s">
        <v>222</v>
      </c>
      <c r="C29" s="4" t="s">
        <v>950</v>
      </c>
      <c r="D29" s="4" t="s">
        <v>581</v>
      </c>
      <c r="E29" s="4">
        <v>5.0</v>
      </c>
      <c r="F29" s="4" t="s">
        <v>940</v>
      </c>
      <c r="G29" s="4" t="s">
        <v>255</v>
      </c>
      <c r="H29" s="4">
        <v>14</v>
      </c>
      <c r="I29" s="4">
        <v>5</v>
      </c>
      <c r="J29" s="4">
        <v>8</v>
      </c>
      <c r="K29" s="4">
        <v>1</v>
      </c>
      <c r="L29" s="4">
        <v>4</v>
      </c>
      <c r="M29" s="4">
        <v>5</v>
      </c>
      <c r="N29" s="4">
        <v>7</v>
      </c>
      <c r="O29" s="4">
        <v>2</v>
      </c>
      <c r="P29" s="20" t="str">
        <f t="shared" si="1"/>
        <v>1.0%</v>
      </c>
      <c r="Q29" s="20">
        <v>0.08</v>
      </c>
      <c r="R29" s="4">
        <v>1.5</v>
      </c>
      <c r="S29" s="4" t="s">
        <v>967</v>
      </c>
      <c r="T29" s="4" t="s">
        <v>1051</v>
      </c>
      <c r="U29" s="4" t="s">
        <v>1052</v>
      </c>
      <c r="V29" s="21" t="str">
        <f t="shared" si="2"/>
        <v>32</v>
      </c>
      <c r="W29" s="21" t="str">
        <f t="shared" si="3"/>
        <v>32</v>
      </c>
      <c r="X29" s="21" t="str">
        <f t="shared" si="4"/>
        <v>18</v>
      </c>
      <c r="Y29" s="22" t="str">
        <f t="shared" si="5"/>
        <v>PASS</v>
      </c>
      <c r="Z29" s="22" t="str">
        <f t="shared" si="6"/>
        <v>PASS</v>
      </c>
      <c r="AA29" s="6" t="s">
        <v>1053</v>
      </c>
      <c r="AB29" s="6" t="s">
        <v>1054</v>
      </c>
      <c r="AC29" s="6" t="s">
        <v>867</v>
      </c>
      <c r="AD29" s="6" t="s">
        <v>868</v>
      </c>
      <c r="AE29" s="4">
        <v>29</v>
      </c>
      <c r="AF29" s="4">
        <v>80</v>
      </c>
      <c r="AG29" s="4">
        <v>80</v>
      </c>
      <c r="AH29" s="4">
        <v>-2</v>
      </c>
      <c r="AI29" s="4">
        <v>2</v>
      </c>
      <c r="AJ29" s="4" t="s">
        <v>4101</v>
      </c>
    </row>
    <row r="30" ht="26.25" customHeight="1">
      <c r="A30" s="4" t="s">
        <v>1055</v>
      </c>
      <c r="B30" s="4" t="s">
        <v>222</v>
      </c>
      <c r="C30" s="4" t="s">
        <v>1056</v>
      </c>
      <c r="D30" s="4" t="s">
        <v>581</v>
      </c>
      <c r="E30" s="4">
        <v>5.0</v>
      </c>
      <c r="F30" s="4" t="s">
        <v>940</v>
      </c>
      <c r="G30" s="4" t="s">
        <v>259</v>
      </c>
      <c r="H30" s="4">
        <v>18</v>
      </c>
      <c r="I30" s="4">
        <v>9</v>
      </c>
      <c r="J30" s="4">
        <v>5</v>
      </c>
      <c r="K30" s="4">
        <v>0</v>
      </c>
      <c r="L30" s="4">
        <v>7</v>
      </c>
      <c r="M30" s="4">
        <v>3</v>
      </c>
      <c r="N30" s="4">
        <v>8</v>
      </c>
      <c r="O30" s="4">
        <v>0</v>
      </c>
      <c r="P30" s="20" t="str">
        <f t="shared" si="1"/>
        <v>0.0%</v>
      </c>
      <c r="Q30" s="20">
        <v>0.05</v>
      </c>
      <c r="R30" s="4">
        <v>1.5</v>
      </c>
      <c r="S30" s="4" t="s">
        <v>967</v>
      </c>
      <c r="T30" s="4" t="s">
        <v>1057</v>
      </c>
      <c r="U30" s="4" t="s">
        <v>1058</v>
      </c>
      <c r="V30" s="21" t="str">
        <f t="shared" si="2"/>
        <v>32</v>
      </c>
      <c r="W30" s="21" t="str">
        <f t="shared" si="3"/>
        <v>32</v>
      </c>
      <c r="X30" s="21" t="str">
        <f t="shared" si="4"/>
        <v>18</v>
      </c>
      <c r="Y30" s="22" t="str">
        <f t="shared" si="5"/>
        <v>PASS</v>
      </c>
      <c r="Z30" s="22" t="str">
        <f t="shared" si="6"/>
        <v>PASS</v>
      </c>
      <c r="AA30" s="6" t="s">
        <v>1059</v>
      </c>
      <c r="AB30" s="6" t="s">
        <v>1060</v>
      </c>
      <c r="AC30" s="6" t="s">
        <v>867</v>
      </c>
      <c r="AD30" s="6" t="s">
        <v>868</v>
      </c>
      <c r="AE30" s="4">
        <v>45</v>
      </c>
      <c r="AF30" s="4">
        <v>74</v>
      </c>
      <c r="AG30" s="4">
        <v>80</v>
      </c>
      <c r="AH30" s="4">
        <v>-6</v>
      </c>
      <c r="AI30" s="4">
        <v>0</v>
      </c>
      <c r="AJ30" s="4" t="s">
        <v>4101</v>
      </c>
    </row>
    <row r="31" ht="26.25" customHeight="1">
      <c r="A31" s="4" t="s">
        <v>1061</v>
      </c>
      <c r="B31" s="4" t="s">
        <v>238</v>
      </c>
      <c r="C31" s="4" t="s">
        <v>1056</v>
      </c>
      <c r="D31" s="4" t="s">
        <v>578</v>
      </c>
      <c r="E31" s="4">
        <v>4.0</v>
      </c>
      <c r="F31" s="4" t="s">
        <v>940</v>
      </c>
      <c r="G31" s="4" t="s">
        <v>254</v>
      </c>
      <c r="H31" s="4">
        <v>18</v>
      </c>
      <c r="I31" s="4">
        <v>5</v>
      </c>
      <c r="J31" s="4">
        <v>10</v>
      </c>
      <c r="K31" s="4">
        <v>2</v>
      </c>
      <c r="L31" s="4">
        <v>4</v>
      </c>
      <c r="M31" s="4">
        <v>0</v>
      </c>
      <c r="N31" s="4">
        <v>2</v>
      </c>
      <c r="O31" s="4">
        <v>7</v>
      </c>
      <c r="P31" s="20" t="str">
        <f t="shared" si="1"/>
        <v>3.5%</v>
      </c>
      <c r="Q31" s="20">
        <v>0.07</v>
      </c>
      <c r="R31" s="4">
        <v>1.55</v>
      </c>
      <c r="S31" s="4" t="s">
        <v>1036</v>
      </c>
      <c r="T31" s="4" t="s">
        <v>1062</v>
      </c>
      <c r="U31" s="4" t="s">
        <v>1063</v>
      </c>
      <c r="V31" s="21" t="str">
        <f t="shared" si="2"/>
        <v>30</v>
      </c>
      <c r="W31" s="21" t="str">
        <f t="shared" si="3"/>
        <v>30</v>
      </c>
      <c r="X31" s="21" t="str">
        <f t="shared" si="4"/>
        <v>16</v>
      </c>
      <c r="Y31" s="22" t="str">
        <f t="shared" si="5"/>
        <v>PASS</v>
      </c>
      <c r="Z31" s="22" t="str">
        <f t="shared" si="6"/>
        <v>PASS</v>
      </c>
      <c r="AA31" s="6" t="s">
        <v>1064</v>
      </c>
      <c r="AB31" s="6" t="s">
        <v>1065</v>
      </c>
      <c r="AC31" s="6" t="s">
        <v>884</v>
      </c>
      <c r="AD31" s="6" t="s">
        <v>885</v>
      </c>
      <c r="AE31" s="4">
        <v>33</v>
      </c>
      <c r="AF31" s="4">
        <v>67</v>
      </c>
      <c r="AG31" s="4">
        <v>74</v>
      </c>
      <c r="AH31" s="4">
        <v>-6</v>
      </c>
      <c r="AI31" s="4">
        <v>-1</v>
      </c>
      <c r="AJ31" s="4" t="s">
        <v>4105</v>
      </c>
    </row>
    <row r="32" ht="26.25" customHeight="1">
      <c r="A32" s="4" t="s">
        <v>1066</v>
      </c>
      <c r="B32" s="4" t="s">
        <v>238</v>
      </c>
      <c r="C32" s="4" t="s">
        <v>1056</v>
      </c>
      <c r="D32" s="4" t="s">
        <v>578</v>
      </c>
      <c r="E32" s="4">
        <v>4.0</v>
      </c>
      <c r="F32" s="4" t="s">
        <v>940</v>
      </c>
      <c r="G32" s="4" t="s">
        <v>254</v>
      </c>
      <c r="H32" s="4">
        <v>18</v>
      </c>
      <c r="I32" s="4">
        <v>6</v>
      </c>
      <c r="J32" s="4">
        <v>13</v>
      </c>
      <c r="K32" s="4">
        <v>1</v>
      </c>
      <c r="L32" s="4">
        <v>5</v>
      </c>
      <c r="M32" s="4">
        <v>0</v>
      </c>
      <c r="N32" s="4">
        <v>2</v>
      </c>
      <c r="O32" s="4">
        <v>3</v>
      </c>
      <c r="P32" s="20" t="str">
        <f t="shared" si="1"/>
        <v>1.5%</v>
      </c>
      <c r="Q32" s="20">
        <v>0.09</v>
      </c>
      <c r="R32" s="4">
        <v>1.55</v>
      </c>
      <c r="S32" s="4" t="s">
        <v>1036</v>
      </c>
      <c r="T32" s="4" t="s">
        <v>1067</v>
      </c>
      <c r="U32" s="4" t="s">
        <v>1063</v>
      </c>
      <c r="V32" s="21" t="str">
        <f t="shared" si="2"/>
        <v>30</v>
      </c>
      <c r="W32" s="21" t="str">
        <f t="shared" si="3"/>
        <v>30</v>
      </c>
      <c r="X32" s="21" t="str">
        <f t="shared" si="4"/>
        <v>16</v>
      </c>
      <c r="Y32" s="22" t="str">
        <f t="shared" si="5"/>
        <v>PASS</v>
      </c>
      <c r="Z32" s="22" t="str">
        <f t="shared" si="6"/>
        <v>PASS</v>
      </c>
      <c r="AA32" s="6" t="s">
        <v>1068</v>
      </c>
      <c r="AB32" s="6" t="s">
        <v>1069</v>
      </c>
      <c r="AC32" s="6" t="s">
        <v>884</v>
      </c>
      <c r="AD32" s="6" t="s">
        <v>885</v>
      </c>
      <c r="AE32" s="4">
        <v>36</v>
      </c>
      <c r="AF32" s="4">
        <v>69</v>
      </c>
      <c r="AG32" s="4">
        <v>74</v>
      </c>
      <c r="AH32" s="4">
        <v>-6</v>
      </c>
      <c r="AI32" s="4">
        <v>1</v>
      </c>
      <c r="AJ32" s="4" t="s">
        <v>4101</v>
      </c>
    </row>
    <row r="33" ht="26.25" customHeight="1">
      <c r="A33" s="4" t="s">
        <v>1070</v>
      </c>
      <c r="B33" s="4" t="s">
        <v>238</v>
      </c>
      <c r="C33" s="4" t="s">
        <v>1056</v>
      </c>
      <c r="D33" s="4" t="s">
        <v>578</v>
      </c>
      <c r="E33" s="4">
        <v>4.0</v>
      </c>
      <c r="F33" s="4" t="s">
        <v>940</v>
      </c>
      <c r="G33" s="4" t="s">
        <v>254</v>
      </c>
      <c r="H33" s="4">
        <v>18</v>
      </c>
      <c r="I33" s="4">
        <v>5</v>
      </c>
      <c r="J33" s="4">
        <v>9</v>
      </c>
      <c r="K33" s="4">
        <v>2</v>
      </c>
      <c r="L33" s="4">
        <v>3</v>
      </c>
      <c r="M33" s="4">
        <v>0</v>
      </c>
      <c r="N33" s="4">
        <v>2</v>
      </c>
      <c r="O33" s="4">
        <v>9</v>
      </c>
      <c r="P33" s="20" t="str">
        <f t="shared" si="1"/>
        <v>4.5%</v>
      </c>
      <c r="Q33" s="20">
        <v>0.06</v>
      </c>
      <c r="R33" s="4">
        <v>1.55</v>
      </c>
      <c r="S33" s="4" t="s">
        <v>1036</v>
      </c>
      <c r="T33" s="4" t="s">
        <v>1071</v>
      </c>
      <c r="U33" s="4" t="s">
        <v>1063</v>
      </c>
      <c r="V33" s="21" t="str">
        <f t="shared" si="2"/>
        <v>30</v>
      </c>
      <c r="W33" s="21" t="str">
        <f t="shared" si="3"/>
        <v>30</v>
      </c>
      <c r="X33" s="21" t="str">
        <f t="shared" si="4"/>
        <v>16</v>
      </c>
      <c r="Y33" s="22" t="str">
        <f t="shared" si="5"/>
        <v>PASS</v>
      </c>
      <c r="Z33" s="22" t="str">
        <f t="shared" si="6"/>
        <v>PASS</v>
      </c>
      <c r="AA33" s="6" t="s">
        <v>1072</v>
      </c>
      <c r="AB33" s="6" t="s">
        <v>1073</v>
      </c>
      <c r="AC33" s="6" t="s">
        <v>884</v>
      </c>
      <c r="AD33" s="6" t="s">
        <v>885</v>
      </c>
      <c r="AE33" s="4">
        <v>33</v>
      </c>
      <c r="AF33" s="4">
        <v>68</v>
      </c>
      <c r="AG33" s="4">
        <v>74</v>
      </c>
      <c r="AH33" s="4">
        <v>-6</v>
      </c>
      <c r="AI33" s="4">
        <v>0</v>
      </c>
      <c r="AJ33" s="4" t="s">
        <v>4101</v>
      </c>
    </row>
    <row r="34" ht="26.25" customHeight="1">
      <c r="A34" s="4" t="s">
        <v>1074</v>
      </c>
      <c r="B34" s="4" t="s">
        <v>244</v>
      </c>
      <c r="C34" s="4" t="s">
        <v>1075</v>
      </c>
      <c r="D34" s="4" t="s">
        <v>584</v>
      </c>
      <c r="E34" s="4">
        <v>6.0</v>
      </c>
      <c r="F34" s="4" t="s">
        <v>940</v>
      </c>
      <c r="G34" s="4" t="s">
        <v>258</v>
      </c>
      <c r="H34" s="4">
        <v>20</v>
      </c>
      <c r="I34" s="4">
        <v>5</v>
      </c>
      <c r="J34" s="4">
        <v>4</v>
      </c>
      <c r="K34" s="4">
        <v>2</v>
      </c>
      <c r="L34" s="4">
        <v>4</v>
      </c>
      <c r="M34" s="4">
        <v>12</v>
      </c>
      <c r="N34" s="4">
        <v>5</v>
      </c>
      <c r="O34" s="4">
        <v>2</v>
      </c>
      <c r="P34" s="20" t="str">
        <f t="shared" si="1"/>
        <v>1.0%</v>
      </c>
      <c r="Q34" s="20">
        <v>0.1</v>
      </c>
      <c r="R34" s="4">
        <v>1.6</v>
      </c>
      <c r="S34" s="4" t="s">
        <v>967</v>
      </c>
      <c r="T34" s="4" t="s">
        <v>1076</v>
      </c>
      <c r="U34" s="4" t="s">
        <v>1077</v>
      </c>
      <c r="V34" s="21" t="str">
        <f t="shared" si="2"/>
        <v>34</v>
      </c>
      <c r="W34" s="21" t="str">
        <f t="shared" si="3"/>
        <v>34</v>
      </c>
      <c r="X34" s="21" t="str">
        <f t="shared" si="4"/>
        <v>18</v>
      </c>
      <c r="Y34" s="22" t="str">
        <f t="shared" si="5"/>
        <v>PASS</v>
      </c>
      <c r="Z34" s="22" t="str">
        <f t="shared" si="6"/>
        <v>PASS</v>
      </c>
      <c r="AA34" s="6" t="s">
        <v>1078</v>
      </c>
      <c r="AB34" s="6" t="s">
        <v>1079</v>
      </c>
      <c r="AC34" s="6" t="s">
        <v>892</v>
      </c>
      <c r="AD34" s="6" t="s">
        <v>893</v>
      </c>
      <c r="AE34" s="4">
        <v>35</v>
      </c>
      <c r="AF34" s="4">
        <v>86</v>
      </c>
      <c r="AG34" s="4">
        <v>84</v>
      </c>
      <c r="AH34" s="4">
        <v>0</v>
      </c>
      <c r="AI34" s="4">
        <v>2</v>
      </c>
      <c r="AJ34" s="4" t="s">
        <v>4106</v>
      </c>
    </row>
    <row r="35" ht="26.25" customHeight="1">
      <c r="A35" s="4" t="s">
        <v>1080</v>
      </c>
      <c r="B35" s="4" t="s">
        <v>202</v>
      </c>
      <c r="C35" s="4" t="s">
        <v>939</v>
      </c>
      <c r="D35" s="4" t="s">
        <v>569</v>
      </c>
      <c r="E35" s="4">
        <v>1.0</v>
      </c>
      <c r="F35" s="4" t="s">
        <v>940</v>
      </c>
      <c r="G35" s="4" t="s">
        <v>255</v>
      </c>
      <c r="H35" s="4">
        <v>8</v>
      </c>
      <c r="I35" s="4">
        <v>1</v>
      </c>
      <c r="J35" s="4">
        <v>2</v>
      </c>
      <c r="K35" s="4">
        <v>10</v>
      </c>
      <c r="L35" s="4">
        <v>2</v>
      </c>
      <c r="M35" s="4">
        <v>0</v>
      </c>
      <c r="N35" s="4">
        <v>5</v>
      </c>
      <c r="O35" s="4">
        <v>10</v>
      </c>
      <c r="P35" s="20" t="str">
        <f t="shared" si="1"/>
        <v>5.0%</v>
      </c>
      <c r="Q35" s="20">
        <v>0.12</v>
      </c>
      <c r="R35" s="4">
        <v>1.55</v>
      </c>
      <c r="S35" s="4" t="s">
        <v>94</v>
      </c>
      <c r="T35" s="4" t="s">
        <v>1081</v>
      </c>
      <c r="U35" s="4" t="s">
        <v>1082</v>
      </c>
      <c r="V35" s="21" t="str">
        <f t="shared" si="2"/>
        <v>30</v>
      </c>
      <c r="W35" s="21" t="str">
        <f t="shared" si="3"/>
        <v>30</v>
      </c>
      <c r="X35" s="21" t="str">
        <f t="shared" si="4"/>
        <v>10</v>
      </c>
      <c r="Y35" s="22" t="str">
        <f t="shared" si="5"/>
        <v>PASS</v>
      </c>
      <c r="Z35" s="22" t="str">
        <f t="shared" si="6"/>
        <v>PASS</v>
      </c>
      <c r="AA35" s="6" t="s">
        <v>1083</v>
      </c>
      <c r="AB35" s="6" t="s">
        <v>1084</v>
      </c>
      <c r="AC35" s="6" t="s">
        <v>843</v>
      </c>
      <c r="AD35" s="6" t="s">
        <v>844</v>
      </c>
      <c r="AE35" s="4">
        <v>11</v>
      </c>
      <c r="AF35" s="4">
        <v>93</v>
      </c>
      <c r="AG35" s="4">
        <v>86</v>
      </c>
      <c r="AH35" s="4">
        <v>5</v>
      </c>
      <c r="AI35" s="4">
        <v>2</v>
      </c>
      <c r="AJ35" s="4" t="s">
        <v>4107</v>
      </c>
    </row>
    <row r="36" ht="26.25" customHeight="1">
      <c r="A36" s="4" t="s">
        <v>1085</v>
      </c>
      <c r="B36" s="4" t="s">
        <v>230</v>
      </c>
      <c r="C36" s="4" t="s">
        <v>939</v>
      </c>
      <c r="D36" s="4" t="s">
        <v>572</v>
      </c>
      <c r="E36" s="4">
        <v>2.0</v>
      </c>
      <c r="F36" s="4" t="s">
        <v>940</v>
      </c>
      <c r="G36" s="4" t="s">
        <v>257</v>
      </c>
      <c r="H36" s="4">
        <v>8</v>
      </c>
      <c r="I36" s="4">
        <v>2</v>
      </c>
      <c r="J36" s="4">
        <v>0</v>
      </c>
      <c r="K36" s="4">
        <v>5</v>
      </c>
      <c r="L36" s="4">
        <v>3</v>
      </c>
      <c r="M36" s="4">
        <v>7</v>
      </c>
      <c r="N36" s="4">
        <v>5</v>
      </c>
      <c r="O36" s="4">
        <v>8</v>
      </c>
      <c r="P36" s="20" t="str">
        <f t="shared" si="1"/>
        <v>4.0%</v>
      </c>
      <c r="Q36" s="20">
        <v>0.09</v>
      </c>
      <c r="R36" s="4">
        <v>1.5</v>
      </c>
      <c r="S36" s="4" t="s">
        <v>231</v>
      </c>
      <c r="T36" s="4" t="s">
        <v>1086</v>
      </c>
      <c r="U36" s="4" t="s">
        <v>942</v>
      </c>
      <c r="V36" s="21" t="str">
        <f t="shared" si="2"/>
        <v>30</v>
      </c>
      <c r="W36" s="21" t="str">
        <f t="shared" si="3"/>
        <v>30</v>
      </c>
      <c r="X36" s="21" t="str">
        <f t="shared" si="4"/>
        <v>12</v>
      </c>
      <c r="Y36" s="22" t="str">
        <f t="shared" si="5"/>
        <v>PASS</v>
      </c>
      <c r="Z36" s="22" t="str">
        <f t="shared" si="6"/>
        <v>PASS</v>
      </c>
      <c r="AA36" s="6" t="s">
        <v>1087</v>
      </c>
      <c r="AB36" s="6" t="s">
        <v>1088</v>
      </c>
      <c r="AC36" s="6" t="s">
        <v>875</v>
      </c>
      <c r="AD36" s="6" t="s">
        <v>876</v>
      </c>
      <c r="AE36" s="4">
        <v>14</v>
      </c>
      <c r="AF36" s="4">
        <v>89</v>
      </c>
      <c r="AG36" s="4">
        <v>82</v>
      </c>
      <c r="AH36" s="4">
        <v>5</v>
      </c>
      <c r="AI36" s="4">
        <v>2</v>
      </c>
      <c r="AJ36" s="4" t="s">
        <v>4101</v>
      </c>
    </row>
    <row r="37" ht="26.25" customHeight="1">
      <c r="A37" s="4" t="s">
        <v>1089</v>
      </c>
      <c r="B37" s="4" t="s">
        <v>202</v>
      </c>
      <c r="C37" s="4" t="s">
        <v>939</v>
      </c>
      <c r="D37" s="4" t="s">
        <v>572</v>
      </c>
      <c r="E37" s="4">
        <v>2.0</v>
      </c>
      <c r="F37" s="4" t="s">
        <v>940</v>
      </c>
      <c r="G37" s="4" t="s">
        <v>257</v>
      </c>
      <c r="H37" s="4">
        <v>8</v>
      </c>
      <c r="I37" s="4">
        <v>1</v>
      </c>
      <c r="J37" s="4">
        <v>0</v>
      </c>
      <c r="K37" s="4">
        <v>11</v>
      </c>
      <c r="L37" s="4">
        <v>2</v>
      </c>
      <c r="M37" s="4">
        <v>0</v>
      </c>
      <c r="N37" s="4">
        <v>4</v>
      </c>
      <c r="O37" s="4">
        <v>12</v>
      </c>
      <c r="P37" s="20" t="str">
        <f t="shared" si="1"/>
        <v>6.0%</v>
      </c>
      <c r="Q37" s="20">
        <v>0.12</v>
      </c>
      <c r="R37" s="4">
        <v>1.55</v>
      </c>
      <c r="S37" s="4" t="s">
        <v>94</v>
      </c>
      <c r="T37" s="4" t="s">
        <v>1090</v>
      </c>
      <c r="U37" s="4" t="s">
        <v>942</v>
      </c>
      <c r="V37" s="21" t="str">
        <f t="shared" si="2"/>
        <v>30</v>
      </c>
      <c r="W37" s="21" t="str">
        <f t="shared" si="3"/>
        <v>30</v>
      </c>
      <c r="X37" s="21" t="str">
        <f t="shared" si="4"/>
        <v>12</v>
      </c>
      <c r="Y37" s="22" t="str">
        <f t="shared" si="5"/>
        <v>PASS</v>
      </c>
      <c r="Z37" s="22" t="str">
        <f t="shared" si="6"/>
        <v>PASS</v>
      </c>
      <c r="AA37" s="6" t="s">
        <v>1091</v>
      </c>
      <c r="AB37" s="6" t="s">
        <v>1092</v>
      </c>
      <c r="AC37" s="6" t="s">
        <v>843</v>
      </c>
      <c r="AD37" s="6" t="s">
        <v>844</v>
      </c>
      <c r="AE37" s="4">
        <v>11</v>
      </c>
      <c r="AF37" s="4">
        <v>93</v>
      </c>
      <c r="AG37" s="4">
        <v>86</v>
      </c>
      <c r="AH37" s="4">
        <v>5</v>
      </c>
      <c r="AI37" s="4">
        <v>2</v>
      </c>
      <c r="AJ37" s="4" t="s">
        <v>4108</v>
      </c>
    </row>
    <row r="38" ht="26.25" customHeight="1">
      <c r="A38" s="4" t="s">
        <v>1093</v>
      </c>
      <c r="B38" s="4" t="s">
        <v>202</v>
      </c>
      <c r="C38" s="4" t="s">
        <v>932</v>
      </c>
      <c r="D38" s="4" t="s">
        <v>569</v>
      </c>
      <c r="E38" s="4">
        <v>1.0</v>
      </c>
      <c r="F38" s="4" t="s">
        <v>940</v>
      </c>
      <c r="G38" s="4" t="s">
        <v>255</v>
      </c>
      <c r="H38" s="4">
        <v>10</v>
      </c>
      <c r="I38" s="4">
        <v>2</v>
      </c>
      <c r="J38" s="4">
        <v>1</v>
      </c>
      <c r="K38" s="4">
        <v>9</v>
      </c>
      <c r="L38" s="4">
        <v>3</v>
      </c>
      <c r="M38" s="4">
        <v>0</v>
      </c>
      <c r="N38" s="4">
        <v>5</v>
      </c>
      <c r="O38" s="4">
        <v>10</v>
      </c>
      <c r="P38" s="20" t="str">
        <f t="shared" si="1"/>
        <v>5.0%</v>
      </c>
      <c r="Q38" s="20">
        <v>0.11</v>
      </c>
      <c r="R38" s="4">
        <v>1.55</v>
      </c>
      <c r="S38" s="4" t="s">
        <v>94</v>
      </c>
      <c r="T38" s="4" t="s">
        <v>1094</v>
      </c>
      <c r="U38" s="4" t="s">
        <v>935</v>
      </c>
      <c r="V38" s="21" t="str">
        <f t="shared" si="2"/>
        <v>30</v>
      </c>
      <c r="W38" s="21" t="str">
        <f t="shared" si="3"/>
        <v>30</v>
      </c>
      <c r="X38" s="21" t="str">
        <f t="shared" si="4"/>
        <v>10</v>
      </c>
      <c r="Y38" s="22" t="str">
        <f t="shared" si="5"/>
        <v>PASS</v>
      </c>
      <c r="Z38" s="22" t="str">
        <f t="shared" si="6"/>
        <v>PASS</v>
      </c>
      <c r="AA38" s="6" t="s">
        <v>1095</v>
      </c>
      <c r="AB38" s="6" t="s">
        <v>1096</v>
      </c>
      <c r="AC38" s="6" t="s">
        <v>843</v>
      </c>
      <c r="AD38" s="6" t="s">
        <v>844</v>
      </c>
      <c r="AE38" s="4">
        <v>16</v>
      </c>
      <c r="AF38" s="4">
        <v>91</v>
      </c>
      <c r="AG38" s="4">
        <v>86</v>
      </c>
      <c r="AH38" s="4">
        <v>3</v>
      </c>
      <c r="AI38" s="4">
        <v>2</v>
      </c>
      <c r="AJ38" s="4" t="s">
        <v>4101</v>
      </c>
    </row>
    <row r="39" ht="26.25" customHeight="1">
      <c r="A39" s="4" t="s">
        <v>1097</v>
      </c>
      <c r="B39" s="4" t="s">
        <v>230</v>
      </c>
      <c r="C39" s="4" t="s">
        <v>956</v>
      </c>
      <c r="D39" s="4" t="s">
        <v>572</v>
      </c>
      <c r="E39" s="4">
        <v>2.0</v>
      </c>
      <c r="F39" s="4" t="s">
        <v>940</v>
      </c>
      <c r="G39" s="4" t="s">
        <v>257</v>
      </c>
      <c r="H39" s="4">
        <v>12</v>
      </c>
      <c r="I39" s="4">
        <v>4</v>
      </c>
      <c r="J39" s="4">
        <v>2</v>
      </c>
      <c r="K39" s="4">
        <v>6</v>
      </c>
      <c r="L39" s="4">
        <v>4</v>
      </c>
      <c r="M39" s="4">
        <v>6</v>
      </c>
      <c r="N39" s="4">
        <v>4</v>
      </c>
      <c r="O39" s="4">
        <v>4</v>
      </c>
      <c r="P39" s="20" t="str">
        <f t="shared" si="1"/>
        <v>2.0%</v>
      </c>
      <c r="Q39" s="20">
        <v>0.08</v>
      </c>
      <c r="R39" s="4">
        <v>1.5</v>
      </c>
      <c r="S39" s="4" t="s">
        <v>231</v>
      </c>
      <c r="T39" s="4" t="s">
        <v>1098</v>
      </c>
      <c r="U39" s="4" t="s">
        <v>984</v>
      </c>
      <c r="V39" s="21" t="str">
        <f t="shared" si="2"/>
        <v>30</v>
      </c>
      <c r="W39" s="21" t="str">
        <f t="shared" si="3"/>
        <v>30</v>
      </c>
      <c r="X39" s="21" t="str">
        <f t="shared" si="4"/>
        <v>12</v>
      </c>
      <c r="Y39" s="22" t="str">
        <f t="shared" si="5"/>
        <v>PASS</v>
      </c>
      <c r="Z39" s="22" t="str">
        <f t="shared" si="6"/>
        <v>PASS</v>
      </c>
      <c r="AA39" s="6" t="s">
        <v>1099</v>
      </c>
      <c r="AB39" s="6" t="s">
        <v>1100</v>
      </c>
      <c r="AC39" s="6" t="s">
        <v>875</v>
      </c>
      <c r="AD39" s="6" t="s">
        <v>876</v>
      </c>
      <c r="AE39" s="4">
        <v>24</v>
      </c>
      <c r="AF39" s="4">
        <v>82</v>
      </c>
      <c r="AG39" s="4">
        <v>82</v>
      </c>
      <c r="AH39" s="4">
        <v>0</v>
      </c>
      <c r="AI39" s="4">
        <v>0</v>
      </c>
      <c r="AJ39" s="4" t="s">
        <v>4101</v>
      </c>
    </row>
    <row r="40" ht="26.25" customHeight="1">
      <c r="A40" s="4" t="s">
        <v>1101</v>
      </c>
      <c r="B40" s="4" t="s">
        <v>222</v>
      </c>
      <c r="C40" s="4" t="s">
        <v>932</v>
      </c>
      <c r="D40" s="4" t="s">
        <v>572</v>
      </c>
      <c r="E40" s="4">
        <v>2.0</v>
      </c>
      <c r="F40" s="4" t="s">
        <v>940</v>
      </c>
      <c r="G40" s="4" t="s">
        <v>256</v>
      </c>
      <c r="H40" s="4">
        <v>10</v>
      </c>
      <c r="I40" s="4">
        <v>4</v>
      </c>
      <c r="J40" s="4">
        <v>5</v>
      </c>
      <c r="K40" s="4">
        <v>2</v>
      </c>
      <c r="L40" s="4">
        <v>4</v>
      </c>
      <c r="M40" s="4">
        <v>4</v>
      </c>
      <c r="N40" s="4">
        <v>7</v>
      </c>
      <c r="O40" s="4">
        <v>4</v>
      </c>
      <c r="P40" s="20" t="str">
        <f t="shared" si="1"/>
        <v>2.0%</v>
      </c>
      <c r="Q40" s="20">
        <v>0.07</v>
      </c>
      <c r="R40" s="4">
        <v>1.5</v>
      </c>
      <c r="S40" s="4" t="s">
        <v>967</v>
      </c>
      <c r="T40" s="4" t="s">
        <v>1102</v>
      </c>
      <c r="U40" s="4" t="s">
        <v>1103</v>
      </c>
      <c r="V40" s="21" t="str">
        <f t="shared" si="2"/>
        <v>30</v>
      </c>
      <c r="W40" s="21" t="str">
        <f t="shared" si="3"/>
        <v>30</v>
      </c>
      <c r="X40" s="21" t="str">
        <f t="shared" si="4"/>
        <v>12</v>
      </c>
      <c r="Y40" s="22" t="str">
        <f t="shared" si="5"/>
        <v>PASS</v>
      </c>
      <c r="Z40" s="22" t="str">
        <f t="shared" si="6"/>
        <v>PASS</v>
      </c>
      <c r="AA40" s="6" t="s">
        <v>1104</v>
      </c>
      <c r="AB40" s="6" t="s">
        <v>1105</v>
      </c>
      <c r="AC40" s="6" t="s">
        <v>867</v>
      </c>
      <c r="AD40" s="6" t="s">
        <v>868</v>
      </c>
      <c r="AE40" s="4">
        <v>22</v>
      </c>
      <c r="AF40" s="4">
        <v>84</v>
      </c>
      <c r="AG40" s="4">
        <v>80</v>
      </c>
      <c r="AH40" s="4">
        <v>3</v>
      </c>
      <c r="AI40" s="4">
        <v>1</v>
      </c>
      <c r="AJ40" s="4" t="s">
        <v>4101</v>
      </c>
    </row>
    <row r="41" ht="26.25" customHeight="1">
      <c r="A41" s="4" t="s">
        <v>1106</v>
      </c>
      <c r="B41" s="4" t="s">
        <v>209</v>
      </c>
      <c r="C41" s="4" t="s">
        <v>932</v>
      </c>
      <c r="D41" s="4" t="s">
        <v>572</v>
      </c>
      <c r="E41" s="4">
        <v>2.0</v>
      </c>
      <c r="F41" s="4" t="s">
        <v>940</v>
      </c>
      <c r="G41" s="4" t="s">
        <v>257</v>
      </c>
      <c r="H41" s="4">
        <v>10</v>
      </c>
      <c r="I41" s="4">
        <v>1</v>
      </c>
      <c r="J41" s="4">
        <v>0</v>
      </c>
      <c r="K41" s="4">
        <v>0</v>
      </c>
      <c r="L41" s="4">
        <v>2</v>
      </c>
      <c r="M41" s="4">
        <v>12</v>
      </c>
      <c r="N41" s="4">
        <v>8</v>
      </c>
      <c r="O41" s="4">
        <v>7</v>
      </c>
      <c r="P41" s="20" t="str">
        <f t="shared" si="1"/>
        <v>3.5%</v>
      </c>
      <c r="Q41" s="20">
        <v>0.07</v>
      </c>
      <c r="R41" s="4">
        <v>1.5</v>
      </c>
      <c r="S41" s="4" t="s">
        <v>98</v>
      </c>
      <c r="T41" s="4" t="s">
        <v>1107</v>
      </c>
      <c r="U41" s="4" t="s">
        <v>1103</v>
      </c>
      <c r="V41" s="21" t="str">
        <f t="shared" si="2"/>
        <v>30</v>
      </c>
      <c r="W41" s="21" t="str">
        <f t="shared" si="3"/>
        <v>30</v>
      </c>
      <c r="X41" s="21" t="str">
        <f t="shared" si="4"/>
        <v>12</v>
      </c>
      <c r="Y41" s="22" t="str">
        <f t="shared" si="5"/>
        <v>PASS</v>
      </c>
      <c r="Z41" s="22" t="str">
        <f t="shared" si="6"/>
        <v>PASS</v>
      </c>
      <c r="AA41" s="6" t="s">
        <v>1108</v>
      </c>
      <c r="AB41" s="6" t="s">
        <v>1109</v>
      </c>
      <c r="AC41" s="6" t="s">
        <v>851</v>
      </c>
      <c r="AD41" s="6" t="s">
        <v>852</v>
      </c>
      <c r="AE41" s="4">
        <v>13</v>
      </c>
      <c r="AF41" s="4">
        <v>88</v>
      </c>
      <c r="AG41" s="4">
        <v>84</v>
      </c>
      <c r="AH41" s="4">
        <v>3</v>
      </c>
      <c r="AI41" s="4">
        <v>1</v>
      </c>
      <c r="AJ41" s="4" t="s">
        <v>4101</v>
      </c>
    </row>
    <row r="42" ht="26.25" customHeight="1">
      <c r="A42" s="4" t="s">
        <v>1110</v>
      </c>
      <c r="B42" s="4" t="s">
        <v>196</v>
      </c>
      <c r="C42" s="4" t="s">
        <v>950</v>
      </c>
      <c r="D42" s="4" t="s">
        <v>572</v>
      </c>
      <c r="E42" s="4">
        <v>2.0</v>
      </c>
      <c r="F42" s="4" t="s">
        <v>940</v>
      </c>
      <c r="G42" s="4" t="s">
        <v>254</v>
      </c>
      <c r="H42" s="4">
        <v>14</v>
      </c>
      <c r="I42" s="4">
        <v>6</v>
      </c>
      <c r="J42" s="4">
        <v>7</v>
      </c>
      <c r="K42" s="4">
        <v>1</v>
      </c>
      <c r="L42" s="4">
        <v>8</v>
      </c>
      <c r="M42" s="4">
        <v>0</v>
      </c>
      <c r="N42" s="4">
        <v>5</v>
      </c>
      <c r="O42" s="4">
        <v>3</v>
      </c>
      <c r="P42" s="20" t="str">
        <f t="shared" si="1"/>
        <v>1.5%</v>
      </c>
      <c r="Q42" s="20">
        <v>0.05</v>
      </c>
      <c r="R42" s="4">
        <v>1.5</v>
      </c>
      <c r="S42" s="4" t="s">
        <v>976</v>
      </c>
      <c r="T42" s="4" t="s">
        <v>1111</v>
      </c>
      <c r="U42" s="4" t="s">
        <v>1112</v>
      </c>
      <c r="V42" s="21" t="str">
        <f t="shared" si="2"/>
        <v>30</v>
      </c>
      <c r="W42" s="21" t="str">
        <f t="shared" si="3"/>
        <v>30</v>
      </c>
      <c r="X42" s="21" t="str">
        <f t="shared" si="4"/>
        <v>12</v>
      </c>
      <c r="Y42" s="22" t="str">
        <f t="shared" si="5"/>
        <v>PASS</v>
      </c>
      <c r="Z42" s="22" t="str">
        <f t="shared" si="6"/>
        <v>PASS</v>
      </c>
      <c r="AA42" s="6" t="s">
        <v>1113</v>
      </c>
      <c r="AB42" s="6" t="s">
        <v>1114</v>
      </c>
      <c r="AC42" s="6" t="s">
        <v>835</v>
      </c>
      <c r="AD42" s="6" t="s">
        <v>836</v>
      </c>
      <c r="AE42" s="4">
        <v>32</v>
      </c>
      <c r="AF42" s="4">
        <v>75</v>
      </c>
      <c r="AG42" s="4">
        <v>78</v>
      </c>
      <c r="AH42" s="4">
        <v>-2</v>
      </c>
      <c r="AI42" s="4">
        <v>-1</v>
      </c>
      <c r="AJ42" s="4" t="s">
        <v>4101</v>
      </c>
    </row>
    <row r="43" ht="26.25" customHeight="1">
      <c r="A43" s="4" t="s">
        <v>1115</v>
      </c>
      <c r="B43" s="4" t="s">
        <v>222</v>
      </c>
      <c r="C43" s="4" t="s">
        <v>950</v>
      </c>
      <c r="D43" s="4" t="s">
        <v>575</v>
      </c>
      <c r="E43" s="4">
        <v>3.0</v>
      </c>
      <c r="F43" s="4" t="s">
        <v>940</v>
      </c>
      <c r="G43" s="4" t="s">
        <v>255</v>
      </c>
      <c r="H43" s="4">
        <v>14</v>
      </c>
      <c r="I43" s="4">
        <v>5</v>
      </c>
      <c r="J43" s="4">
        <v>5</v>
      </c>
      <c r="K43" s="4">
        <v>1</v>
      </c>
      <c r="L43" s="4">
        <v>4</v>
      </c>
      <c r="M43" s="4">
        <v>5</v>
      </c>
      <c r="N43" s="4">
        <v>7</v>
      </c>
      <c r="O43" s="4">
        <v>3</v>
      </c>
      <c r="P43" s="20" t="str">
        <f t="shared" si="1"/>
        <v>1.5%</v>
      </c>
      <c r="Q43" s="20">
        <v>0.06</v>
      </c>
      <c r="R43" s="4">
        <v>1.5</v>
      </c>
      <c r="S43" s="4" t="s">
        <v>967</v>
      </c>
      <c r="T43" s="4" t="s">
        <v>1116</v>
      </c>
      <c r="U43" s="4" t="s">
        <v>963</v>
      </c>
      <c r="V43" s="21" t="str">
        <f t="shared" si="2"/>
        <v>30</v>
      </c>
      <c r="W43" s="21" t="str">
        <f t="shared" si="3"/>
        <v>30</v>
      </c>
      <c r="X43" s="21" t="str">
        <f t="shared" si="4"/>
        <v>14</v>
      </c>
      <c r="Y43" s="22" t="str">
        <f t="shared" si="5"/>
        <v>PASS</v>
      </c>
      <c r="Z43" s="22" t="str">
        <f t="shared" si="6"/>
        <v>PASS</v>
      </c>
      <c r="AA43" s="6" t="s">
        <v>1117</v>
      </c>
      <c r="AB43" s="6" t="s">
        <v>1118</v>
      </c>
      <c r="AC43" s="6" t="s">
        <v>867</v>
      </c>
      <c r="AD43" s="6" t="s">
        <v>868</v>
      </c>
      <c r="AE43" s="4">
        <v>29</v>
      </c>
      <c r="AF43" s="4">
        <v>79</v>
      </c>
      <c r="AG43" s="4">
        <v>80</v>
      </c>
      <c r="AH43" s="4">
        <v>-2</v>
      </c>
      <c r="AI43" s="4">
        <v>1</v>
      </c>
      <c r="AJ43" s="4" t="s">
        <v>4101</v>
      </c>
    </row>
    <row r="44" ht="26.25" customHeight="1">
      <c r="A44" s="4" t="s">
        <v>1119</v>
      </c>
      <c r="B44" s="4" t="s">
        <v>209</v>
      </c>
      <c r="C44" s="4" t="s">
        <v>956</v>
      </c>
      <c r="D44" s="4" t="s">
        <v>572</v>
      </c>
      <c r="E44" s="4">
        <v>2.0</v>
      </c>
      <c r="F44" s="4" t="s">
        <v>940</v>
      </c>
      <c r="G44" s="4" t="s">
        <v>258</v>
      </c>
      <c r="H44" s="4">
        <v>12</v>
      </c>
      <c r="I44" s="4">
        <v>2</v>
      </c>
      <c r="J44" s="4">
        <v>0</v>
      </c>
      <c r="K44" s="4">
        <v>0</v>
      </c>
      <c r="L44" s="4">
        <v>2</v>
      </c>
      <c r="M44" s="4">
        <v>11</v>
      </c>
      <c r="N44" s="4">
        <v>8</v>
      </c>
      <c r="O44" s="4">
        <v>7</v>
      </c>
      <c r="P44" s="20" t="str">
        <f t="shared" si="1"/>
        <v>3.5%</v>
      </c>
      <c r="Q44" s="20">
        <v>0.08</v>
      </c>
      <c r="R44" s="4">
        <v>1.5</v>
      </c>
      <c r="S44" s="4" t="s">
        <v>98</v>
      </c>
      <c r="T44" s="4" t="s">
        <v>1120</v>
      </c>
      <c r="U44" s="4" t="s">
        <v>984</v>
      </c>
      <c r="V44" s="21" t="str">
        <f t="shared" si="2"/>
        <v>30</v>
      </c>
      <c r="W44" s="21" t="str">
        <f t="shared" si="3"/>
        <v>30</v>
      </c>
      <c r="X44" s="21" t="str">
        <f t="shared" si="4"/>
        <v>12</v>
      </c>
      <c r="Y44" s="22" t="str">
        <f t="shared" si="5"/>
        <v>PASS</v>
      </c>
      <c r="Z44" s="22" t="str">
        <f t="shared" si="6"/>
        <v>PASS</v>
      </c>
      <c r="AA44" s="6" t="s">
        <v>1121</v>
      </c>
      <c r="AB44" s="6" t="s">
        <v>1122</v>
      </c>
      <c r="AC44" s="6" t="s">
        <v>851</v>
      </c>
      <c r="AD44" s="6" t="s">
        <v>852</v>
      </c>
      <c r="AE44" s="4">
        <v>18</v>
      </c>
      <c r="AF44" s="4">
        <v>86</v>
      </c>
      <c r="AG44" s="4">
        <v>84</v>
      </c>
      <c r="AH44" s="4">
        <v>0</v>
      </c>
      <c r="AI44" s="4">
        <v>2</v>
      </c>
      <c r="AJ44" s="4" t="s">
        <v>4109</v>
      </c>
    </row>
    <row r="45" ht="26.25" customHeight="1">
      <c r="A45" s="4" t="s">
        <v>1123</v>
      </c>
      <c r="B45" s="4" t="s">
        <v>196</v>
      </c>
      <c r="C45" s="4" t="s">
        <v>1012</v>
      </c>
      <c r="D45" s="4" t="s">
        <v>575</v>
      </c>
      <c r="E45" s="4">
        <v>3.0</v>
      </c>
      <c r="F45" s="4" t="s">
        <v>940</v>
      </c>
      <c r="G45" s="4" t="s">
        <v>254</v>
      </c>
      <c r="H45" s="4">
        <v>16</v>
      </c>
      <c r="I45" s="4">
        <v>8</v>
      </c>
      <c r="J45" s="4">
        <v>8</v>
      </c>
      <c r="K45" s="4">
        <v>0</v>
      </c>
      <c r="L45" s="4">
        <v>10</v>
      </c>
      <c r="M45" s="4">
        <v>0</v>
      </c>
      <c r="N45" s="4">
        <v>3</v>
      </c>
      <c r="O45" s="4">
        <v>1</v>
      </c>
      <c r="P45" s="20" t="str">
        <f t="shared" si="1"/>
        <v>0.5%</v>
      </c>
      <c r="Q45" s="20">
        <v>0.06</v>
      </c>
      <c r="R45" s="4">
        <v>1.5</v>
      </c>
      <c r="S45" s="4" t="s">
        <v>976</v>
      </c>
      <c r="T45" s="4" t="s">
        <v>1124</v>
      </c>
      <c r="U45" s="4" t="s">
        <v>1014</v>
      </c>
      <c r="V45" s="21" t="str">
        <f t="shared" si="2"/>
        <v>30</v>
      </c>
      <c r="W45" s="21" t="str">
        <f t="shared" si="3"/>
        <v>30</v>
      </c>
      <c r="X45" s="21" t="str">
        <f t="shared" si="4"/>
        <v>14</v>
      </c>
      <c r="Y45" s="22" t="str">
        <f t="shared" si="5"/>
        <v>PASS</v>
      </c>
      <c r="Z45" s="22" t="str">
        <f t="shared" si="6"/>
        <v>PASS</v>
      </c>
      <c r="AA45" s="6" t="s">
        <v>1125</v>
      </c>
      <c r="AB45" s="6" t="s">
        <v>1126</v>
      </c>
      <c r="AC45" s="6" t="s">
        <v>835</v>
      </c>
      <c r="AD45" s="6" t="s">
        <v>836</v>
      </c>
      <c r="AE45" s="4">
        <v>40</v>
      </c>
      <c r="AF45" s="4">
        <v>73</v>
      </c>
      <c r="AG45" s="4">
        <v>78</v>
      </c>
      <c r="AH45" s="4">
        <v>-4</v>
      </c>
      <c r="AI45" s="4">
        <v>-1</v>
      </c>
      <c r="AJ45" s="4" t="s">
        <v>4101</v>
      </c>
    </row>
    <row r="46" ht="26.25" customHeight="1">
      <c r="A46" s="4" t="s">
        <v>1127</v>
      </c>
      <c r="B46" s="4" t="s">
        <v>202</v>
      </c>
      <c r="C46" s="4" t="s">
        <v>950</v>
      </c>
      <c r="D46" s="4" t="s">
        <v>581</v>
      </c>
      <c r="E46" s="4">
        <v>5.0</v>
      </c>
      <c r="F46" s="4" t="s">
        <v>940</v>
      </c>
      <c r="G46" s="4" t="s">
        <v>257</v>
      </c>
      <c r="H46" s="4">
        <v>14</v>
      </c>
      <c r="I46" s="4">
        <v>3</v>
      </c>
      <c r="J46" s="4">
        <v>2</v>
      </c>
      <c r="K46" s="4">
        <v>17</v>
      </c>
      <c r="L46" s="4">
        <v>2</v>
      </c>
      <c r="M46" s="4">
        <v>0</v>
      </c>
      <c r="N46" s="4">
        <v>2</v>
      </c>
      <c r="O46" s="4">
        <v>6</v>
      </c>
      <c r="P46" s="20" t="str">
        <f t="shared" si="1"/>
        <v>3.0%</v>
      </c>
      <c r="Q46" s="20">
        <v>0.15</v>
      </c>
      <c r="R46" s="4">
        <v>1.55</v>
      </c>
      <c r="S46" s="4" t="s">
        <v>94</v>
      </c>
      <c r="T46" s="4" t="s">
        <v>1128</v>
      </c>
      <c r="U46" s="4" t="s">
        <v>1052</v>
      </c>
      <c r="V46" s="21" t="str">
        <f t="shared" si="2"/>
        <v>32</v>
      </c>
      <c r="W46" s="21" t="str">
        <f t="shared" si="3"/>
        <v>32</v>
      </c>
      <c r="X46" s="21" t="str">
        <f t="shared" si="4"/>
        <v>18</v>
      </c>
      <c r="Y46" s="22" t="str">
        <f t="shared" si="5"/>
        <v>PASS</v>
      </c>
      <c r="Z46" s="22" t="str">
        <f t="shared" si="6"/>
        <v>PASS</v>
      </c>
      <c r="AA46" s="6" t="s">
        <v>1129</v>
      </c>
      <c r="AB46" s="6" t="s">
        <v>1130</v>
      </c>
      <c r="AC46" s="6" t="s">
        <v>843</v>
      </c>
      <c r="AD46" s="6" t="s">
        <v>844</v>
      </c>
      <c r="AE46" s="4">
        <v>23</v>
      </c>
      <c r="AF46" s="4">
        <v>86</v>
      </c>
      <c r="AG46" s="4">
        <v>86</v>
      </c>
      <c r="AH46" s="4">
        <v>-2</v>
      </c>
      <c r="AI46" s="4">
        <v>2</v>
      </c>
      <c r="AJ46" s="4" t="s">
        <v>4101</v>
      </c>
    </row>
    <row r="47" ht="26.25" customHeight="1">
      <c r="A47" s="4" t="s">
        <v>1131</v>
      </c>
      <c r="B47" s="4" t="s">
        <v>238</v>
      </c>
      <c r="C47" s="4" t="s">
        <v>1012</v>
      </c>
      <c r="D47" s="4" t="s">
        <v>578</v>
      </c>
      <c r="E47" s="4">
        <v>4.0</v>
      </c>
      <c r="F47" s="4" t="s">
        <v>940</v>
      </c>
      <c r="G47" s="4" t="s">
        <v>259</v>
      </c>
      <c r="H47" s="4">
        <v>16</v>
      </c>
      <c r="I47" s="4">
        <v>9</v>
      </c>
      <c r="J47" s="4">
        <v>9</v>
      </c>
      <c r="K47" s="4">
        <v>0</v>
      </c>
      <c r="L47" s="4">
        <v>9</v>
      </c>
      <c r="M47" s="4">
        <v>0</v>
      </c>
      <c r="N47" s="4">
        <v>2</v>
      </c>
      <c r="O47" s="4">
        <v>1</v>
      </c>
      <c r="P47" s="20" t="str">
        <f t="shared" si="1"/>
        <v>0.5%</v>
      </c>
      <c r="Q47" s="20">
        <v>0.05</v>
      </c>
      <c r="R47" s="4">
        <v>1.55</v>
      </c>
      <c r="S47" s="4" t="s">
        <v>1036</v>
      </c>
      <c r="T47" s="4" t="s">
        <v>1132</v>
      </c>
      <c r="U47" s="4" t="s">
        <v>1028</v>
      </c>
      <c r="V47" s="21" t="str">
        <f t="shared" si="2"/>
        <v>30</v>
      </c>
      <c r="W47" s="21" t="str">
        <f t="shared" si="3"/>
        <v>30</v>
      </c>
      <c r="X47" s="21" t="str">
        <f t="shared" si="4"/>
        <v>16</v>
      </c>
      <c r="Y47" s="22" t="str">
        <f t="shared" si="5"/>
        <v>PASS</v>
      </c>
      <c r="Z47" s="22" t="str">
        <f t="shared" si="6"/>
        <v>PASS</v>
      </c>
      <c r="AA47" s="6" t="s">
        <v>1133</v>
      </c>
      <c r="AB47" s="6" t="s">
        <v>1134</v>
      </c>
      <c r="AC47" s="6" t="s">
        <v>884</v>
      </c>
      <c r="AD47" s="6" t="s">
        <v>885</v>
      </c>
      <c r="AE47" s="4">
        <v>43</v>
      </c>
      <c r="AF47" s="4">
        <v>69</v>
      </c>
      <c r="AG47" s="4">
        <v>74</v>
      </c>
      <c r="AH47" s="4">
        <v>-4</v>
      </c>
      <c r="AI47" s="4">
        <v>-1</v>
      </c>
      <c r="AJ47" s="4" t="s">
        <v>4110</v>
      </c>
    </row>
    <row r="48" ht="26.25" customHeight="1">
      <c r="A48" s="4" t="s">
        <v>1135</v>
      </c>
      <c r="B48" s="4" t="s">
        <v>222</v>
      </c>
      <c r="C48" s="4" t="s">
        <v>1012</v>
      </c>
      <c r="D48" s="4" t="s">
        <v>578</v>
      </c>
      <c r="E48" s="4">
        <v>4.0</v>
      </c>
      <c r="F48" s="4" t="s">
        <v>940</v>
      </c>
      <c r="G48" s="4" t="s">
        <v>259</v>
      </c>
      <c r="H48" s="4">
        <v>16</v>
      </c>
      <c r="I48" s="4">
        <v>7</v>
      </c>
      <c r="J48" s="4">
        <v>6</v>
      </c>
      <c r="K48" s="4">
        <v>1</v>
      </c>
      <c r="L48" s="4">
        <v>4</v>
      </c>
      <c r="M48" s="4">
        <v>3</v>
      </c>
      <c r="N48" s="4">
        <v>8</v>
      </c>
      <c r="O48" s="4">
        <v>1</v>
      </c>
      <c r="P48" s="20" t="str">
        <f t="shared" si="1"/>
        <v>0.5%</v>
      </c>
      <c r="Q48" s="20">
        <v>0.06</v>
      </c>
      <c r="R48" s="4">
        <v>1.5</v>
      </c>
      <c r="S48" s="4" t="s">
        <v>967</v>
      </c>
      <c r="T48" s="4" t="s">
        <v>1136</v>
      </c>
      <c r="U48" s="4" t="s">
        <v>1028</v>
      </c>
      <c r="V48" s="21" t="str">
        <f t="shared" si="2"/>
        <v>30</v>
      </c>
      <c r="W48" s="21" t="str">
        <f t="shared" si="3"/>
        <v>30</v>
      </c>
      <c r="X48" s="21" t="str">
        <f t="shared" si="4"/>
        <v>16</v>
      </c>
      <c r="Y48" s="22" t="str">
        <f t="shared" si="5"/>
        <v>PASS</v>
      </c>
      <c r="Z48" s="22" t="str">
        <f t="shared" si="6"/>
        <v>PASS</v>
      </c>
      <c r="AA48" s="6" t="s">
        <v>1137</v>
      </c>
      <c r="AB48" s="6" t="s">
        <v>1138</v>
      </c>
      <c r="AC48" s="6" t="s">
        <v>867</v>
      </c>
      <c r="AD48" s="6" t="s">
        <v>868</v>
      </c>
      <c r="AE48" s="4">
        <v>37</v>
      </c>
      <c r="AF48" s="4">
        <v>75</v>
      </c>
      <c r="AG48" s="4">
        <v>80</v>
      </c>
      <c r="AH48" s="4">
        <v>-4</v>
      </c>
      <c r="AI48" s="4">
        <v>-1</v>
      </c>
      <c r="AJ48" s="4" t="s">
        <v>4101</v>
      </c>
    </row>
    <row r="49" ht="26.25" customHeight="1">
      <c r="A49" s="4" t="s">
        <v>1139</v>
      </c>
      <c r="B49" s="4" t="s">
        <v>230</v>
      </c>
      <c r="C49" s="4" t="s">
        <v>956</v>
      </c>
      <c r="D49" s="4" t="s">
        <v>569</v>
      </c>
      <c r="E49" s="4">
        <v>1.0</v>
      </c>
      <c r="F49" s="4" t="s">
        <v>940</v>
      </c>
      <c r="G49" s="4" t="s">
        <v>254</v>
      </c>
      <c r="H49" s="4">
        <v>12</v>
      </c>
      <c r="I49" s="4">
        <v>4</v>
      </c>
      <c r="J49" s="4">
        <v>2</v>
      </c>
      <c r="K49" s="4">
        <v>5</v>
      </c>
      <c r="L49" s="4">
        <v>4</v>
      </c>
      <c r="M49" s="4">
        <v>5</v>
      </c>
      <c r="N49" s="4">
        <v>5</v>
      </c>
      <c r="O49" s="4">
        <v>5</v>
      </c>
      <c r="P49" s="20" t="str">
        <f t="shared" si="1"/>
        <v>2.5%</v>
      </c>
      <c r="Q49" s="20">
        <v>0.07</v>
      </c>
      <c r="R49" s="4">
        <v>1.5</v>
      </c>
      <c r="S49" s="4" t="s">
        <v>231</v>
      </c>
      <c r="T49" s="4" t="s">
        <v>1140</v>
      </c>
      <c r="U49" s="4" t="s">
        <v>978</v>
      </c>
      <c r="V49" s="21" t="str">
        <f t="shared" si="2"/>
        <v>30</v>
      </c>
      <c r="W49" s="21" t="str">
        <f t="shared" si="3"/>
        <v>30</v>
      </c>
      <c r="X49" s="21" t="str">
        <f t="shared" si="4"/>
        <v>10</v>
      </c>
      <c r="Y49" s="22" t="str">
        <f t="shared" si="5"/>
        <v>PASS</v>
      </c>
      <c r="Z49" s="22" t="str">
        <f t="shared" si="6"/>
        <v>PASS</v>
      </c>
      <c r="AA49" s="6" t="s">
        <v>1141</v>
      </c>
      <c r="AB49" s="6" t="s">
        <v>1142</v>
      </c>
      <c r="AC49" s="6" t="s">
        <v>875</v>
      </c>
      <c r="AD49" s="6" t="s">
        <v>876</v>
      </c>
      <c r="AE49" s="4">
        <v>24</v>
      </c>
      <c r="AF49" s="4">
        <v>82</v>
      </c>
      <c r="AG49" s="4">
        <v>82</v>
      </c>
      <c r="AH49" s="4">
        <v>0</v>
      </c>
      <c r="AI49" s="4">
        <v>0</v>
      </c>
      <c r="AJ49" s="4" t="s">
        <v>4101</v>
      </c>
    </row>
    <row r="50" ht="26.25" customHeight="1">
      <c r="A50" s="4" t="s">
        <v>1143</v>
      </c>
      <c r="B50" s="4" t="s">
        <v>196</v>
      </c>
      <c r="C50" s="4" t="s">
        <v>956</v>
      </c>
      <c r="D50" s="4" t="s">
        <v>569</v>
      </c>
      <c r="E50" s="4">
        <v>1.0</v>
      </c>
      <c r="F50" s="4" t="s">
        <v>940</v>
      </c>
      <c r="G50" s="4" t="s">
        <v>254</v>
      </c>
      <c r="H50" s="4">
        <v>12</v>
      </c>
      <c r="I50" s="4">
        <v>5</v>
      </c>
      <c r="J50" s="4">
        <v>7</v>
      </c>
      <c r="K50" s="4">
        <v>2</v>
      </c>
      <c r="L50" s="4">
        <v>8</v>
      </c>
      <c r="M50" s="4">
        <v>0</v>
      </c>
      <c r="N50" s="4">
        <v>4</v>
      </c>
      <c r="O50" s="4">
        <v>4</v>
      </c>
      <c r="P50" s="20" t="str">
        <f t="shared" si="1"/>
        <v>2.0%</v>
      </c>
      <c r="Q50" s="20">
        <v>0.05</v>
      </c>
      <c r="R50" s="4">
        <v>1.5</v>
      </c>
      <c r="S50" s="4" t="s">
        <v>976</v>
      </c>
      <c r="T50" s="4" t="s">
        <v>1144</v>
      </c>
      <c r="U50" s="4" t="s">
        <v>978</v>
      </c>
      <c r="V50" s="21" t="str">
        <f t="shared" si="2"/>
        <v>30</v>
      </c>
      <c r="W50" s="21" t="str">
        <f t="shared" si="3"/>
        <v>30</v>
      </c>
      <c r="X50" s="21" t="str">
        <f t="shared" si="4"/>
        <v>10</v>
      </c>
      <c r="Y50" s="22" t="str">
        <f t="shared" si="5"/>
        <v>PASS</v>
      </c>
      <c r="Z50" s="22" t="str">
        <f t="shared" si="6"/>
        <v>PASS</v>
      </c>
      <c r="AA50" s="6" t="s">
        <v>1145</v>
      </c>
      <c r="AB50" s="6" t="s">
        <v>1146</v>
      </c>
      <c r="AC50" s="6" t="s">
        <v>835</v>
      </c>
      <c r="AD50" s="6" t="s">
        <v>836</v>
      </c>
      <c r="AE50" s="4">
        <v>27</v>
      </c>
      <c r="AF50" s="4">
        <v>78</v>
      </c>
      <c r="AG50" s="4">
        <v>78</v>
      </c>
      <c r="AH50" s="4">
        <v>0</v>
      </c>
      <c r="AI50" s="4">
        <v>0</v>
      </c>
      <c r="AJ50" s="4" t="s">
        <v>4101</v>
      </c>
    </row>
    <row r="51" ht="26.25" customHeight="1">
      <c r="A51" s="4" t="s">
        <v>1147</v>
      </c>
      <c r="B51" s="4" t="s">
        <v>230</v>
      </c>
      <c r="C51" s="4" t="s">
        <v>932</v>
      </c>
      <c r="D51" s="4" t="s">
        <v>569</v>
      </c>
      <c r="E51" s="4">
        <v>1.0</v>
      </c>
      <c r="F51" s="4" t="s">
        <v>940</v>
      </c>
      <c r="G51" s="4" t="s">
        <v>257</v>
      </c>
      <c r="H51" s="4">
        <v>10</v>
      </c>
      <c r="I51" s="4">
        <v>2</v>
      </c>
      <c r="J51" s="4">
        <v>0</v>
      </c>
      <c r="K51" s="4">
        <v>4</v>
      </c>
      <c r="L51" s="4">
        <v>3</v>
      </c>
      <c r="M51" s="4">
        <v>7</v>
      </c>
      <c r="N51" s="4">
        <v>7</v>
      </c>
      <c r="O51" s="4">
        <v>7</v>
      </c>
      <c r="P51" s="20" t="str">
        <f t="shared" si="1"/>
        <v>3.5%</v>
      </c>
      <c r="Q51" s="20">
        <v>0.06</v>
      </c>
      <c r="R51" s="4">
        <v>1.5</v>
      </c>
      <c r="S51" s="4" t="s">
        <v>231</v>
      </c>
      <c r="T51" s="4" t="s">
        <v>1148</v>
      </c>
      <c r="U51" s="4" t="s">
        <v>935</v>
      </c>
      <c r="V51" s="21" t="str">
        <f t="shared" si="2"/>
        <v>30</v>
      </c>
      <c r="W51" s="21" t="str">
        <f t="shared" si="3"/>
        <v>30</v>
      </c>
      <c r="X51" s="21" t="str">
        <f t="shared" si="4"/>
        <v>10</v>
      </c>
      <c r="Y51" s="22" t="str">
        <f t="shared" si="5"/>
        <v>PASS</v>
      </c>
      <c r="Z51" s="22" t="str">
        <f t="shared" si="6"/>
        <v>PASS</v>
      </c>
      <c r="AA51" s="6" t="s">
        <v>1149</v>
      </c>
      <c r="AB51" s="6" t="s">
        <v>1150</v>
      </c>
      <c r="AC51" s="6" t="s">
        <v>875</v>
      </c>
      <c r="AD51" s="6" t="s">
        <v>876</v>
      </c>
      <c r="AE51" s="4">
        <v>16</v>
      </c>
      <c r="AF51" s="4">
        <v>86</v>
      </c>
      <c r="AG51" s="4">
        <v>82</v>
      </c>
      <c r="AH51" s="4">
        <v>3</v>
      </c>
      <c r="AI51" s="4">
        <v>1</v>
      </c>
      <c r="AJ51" s="4" t="s">
        <v>4101</v>
      </c>
    </row>
    <row r="52" ht="26.25" customHeight="1">
      <c r="A52" s="4" t="s">
        <v>1151</v>
      </c>
      <c r="B52" s="4" t="s">
        <v>230</v>
      </c>
      <c r="C52" s="4" t="s">
        <v>956</v>
      </c>
      <c r="D52" s="4" t="s">
        <v>569</v>
      </c>
      <c r="E52" s="4">
        <v>1.0</v>
      </c>
      <c r="F52" s="4" t="s">
        <v>940</v>
      </c>
      <c r="G52" s="4" t="s">
        <v>254</v>
      </c>
      <c r="H52" s="4">
        <v>12</v>
      </c>
      <c r="I52" s="4">
        <v>4</v>
      </c>
      <c r="J52" s="4">
        <v>2</v>
      </c>
      <c r="K52" s="4">
        <v>5</v>
      </c>
      <c r="L52" s="4">
        <v>5</v>
      </c>
      <c r="M52" s="4">
        <v>4</v>
      </c>
      <c r="N52" s="4">
        <v>5</v>
      </c>
      <c r="O52" s="4">
        <v>5</v>
      </c>
      <c r="P52" s="20" t="str">
        <f t="shared" si="1"/>
        <v>2.5%</v>
      </c>
      <c r="Q52" s="20">
        <v>0.07</v>
      </c>
      <c r="R52" s="4">
        <v>1.5</v>
      </c>
      <c r="S52" s="4" t="s">
        <v>231</v>
      </c>
      <c r="T52" s="4" t="s">
        <v>1152</v>
      </c>
      <c r="U52" s="4" t="s">
        <v>978</v>
      </c>
      <c r="V52" s="21" t="str">
        <f t="shared" si="2"/>
        <v>30</v>
      </c>
      <c r="W52" s="21" t="str">
        <f t="shared" si="3"/>
        <v>30</v>
      </c>
      <c r="X52" s="21" t="str">
        <f t="shared" si="4"/>
        <v>10</v>
      </c>
      <c r="Y52" s="22" t="str">
        <f t="shared" si="5"/>
        <v>PASS</v>
      </c>
      <c r="Z52" s="22" t="str">
        <f t="shared" si="6"/>
        <v>PASS</v>
      </c>
      <c r="AA52" s="6" t="s">
        <v>1153</v>
      </c>
      <c r="AB52" s="6" t="s">
        <v>1154</v>
      </c>
      <c r="AC52" s="6" t="s">
        <v>875</v>
      </c>
      <c r="AD52" s="6" t="s">
        <v>876</v>
      </c>
      <c r="AE52" s="4">
        <v>24</v>
      </c>
      <c r="AF52" s="4">
        <v>82</v>
      </c>
      <c r="AG52" s="4">
        <v>82</v>
      </c>
      <c r="AH52" s="4">
        <v>0</v>
      </c>
      <c r="AI52" s="4">
        <v>0</v>
      </c>
      <c r="AJ52" s="4" t="s">
        <v>4101</v>
      </c>
    </row>
    <row r="53" ht="26.25" customHeight="1">
      <c r="A53" s="4" t="s">
        <v>1155</v>
      </c>
      <c r="B53" s="4" t="s">
        <v>230</v>
      </c>
      <c r="C53" s="4" t="s">
        <v>950</v>
      </c>
      <c r="D53" s="4" t="s">
        <v>572</v>
      </c>
      <c r="E53" s="4">
        <v>2.0</v>
      </c>
      <c r="F53" s="4" t="s">
        <v>940</v>
      </c>
      <c r="G53" s="4" t="s">
        <v>254</v>
      </c>
      <c r="H53" s="4">
        <v>14</v>
      </c>
      <c r="I53" s="4">
        <v>6</v>
      </c>
      <c r="J53" s="4">
        <v>1</v>
      </c>
      <c r="K53" s="4">
        <v>4</v>
      </c>
      <c r="L53" s="4">
        <v>5</v>
      </c>
      <c r="M53" s="4">
        <v>5</v>
      </c>
      <c r="N53" s="4">
        <v>7</v>
      </c>
      <c r="O53" s="4">
        <v>2</v>
      </c>
      <c r="P53" s="20" t="str">
        <f t="shared" si="1"/>
        <v>1.0%</v>
      </c>
      <c r="Q53" s="20">
        <v>0.06</v>
      </c>
      <c r="R53" s="4">
        <v>1.5</v>
      </c>
      <c r="S53" s="4" t="s">
        <v>231</v>
      </c>
      <c r="T53" s="4" t="s">
        <v>1156</v>
      </c>
      <c r="U53" s="4" t="s">
        <v>1112</v>
      </c>
      <c r="V53" s="21" t="str">
        <f t="shared" si="2"/>
        <v>30</v>
      </c>
      <c r="W53" s="21" t="str">
        <f t="shared" si="3"/>
        <v>30</v>
      </c>
      <c r="X53" s="21" t="str">
        <f t="shared" si="4"/>
        <v>12</v>
      </c>
      <c r="Y53" s="22" t="str">
        <f t="shared" si="5"/>
        <v>PASS</v>
      </c>
      <c r="Z53" s="22" t="str">
        <f t="shared" si="6"/>
        <v>PASS</v>
      </c>
      <c r="AA53" s="6" t="s">
        <v>1157</v>
      </c>
      <c r="AB53" s="6" t="s">
        <v>1158</v>
      </c>
      <c r="AC53" s="6" t="s">
        <v>875</v>
      </c>
      <c r="AD53" s="6" t="s">
        <v>876</v>
      </c>
      <c r="AE53" s="4">
        <v>32</v>
      </c>
      <c r="AF53" s="4">
        <v>79</v>
      </c>
      <c r="AG53" s="4">
        <v>82</v>
      </c>
      <c r="AH53" s="4">
        <v>-2</v>
      </c>
      <c r="AI53" s="4">
        <v>-1</v>
      </c>
      <c r="AJ53" s="4" t="s">
        <v>4111</v>
      </c>
    </row>
    <row r="54" ht="26.25" customHeight="1">
      <c r="A54" s="4" t="s">
        <v>1159</v>
      </c>
      <c r="B54" s="4" t="s">
        <v>196</v>
      </c>
      <c r="C54" s="4" t="s">
        <v>1012</v>
      </c>
      <c r="D54" s="4" t="s">
        <v>572</v>
      </c>
      <c r="E54" s="4">
        <v>2.0</v>
      </c>
      <c r="F54" s="4" t="s">
        <v>940</v>
      </c>
      <c r="G54" s="4" t="s">
        <v>254</v>
      </c>
      <c r="H54" s="4">
        <v>16</v>
      </c>
      <c r="I54" s="4">
        <v>7</v>
      </c>
      <c r="J54" s="4">
        <v>7</v>
      </c>
      <c r="K54" s="4">
        <v>1</v>
      </c>
      <c r="L54" s="4">
        <v>9</v>
      </c>
      <c r="M54" s="4">
        <v>0</v>
      </c>
      <c r="N54" s="4">
        <v>4</v>
      </c>
      <c r="O54" s="4">
        <v>2</v>
      </c>
      <c r="P54" s="20" t="str">
        <f t="shared" si="1"/>
        <v>1.0%</v>
      </c>
      <c r="Q54" s="20">
        <v>0.04</v>
      </c>
      <c r="R54" s="4">
        <v>1.5</v>
      </c>
      <c r="S54" s="4" t="s">
        <v>976</v>
      </c>
      <c r="T54" s="4" t="s">
        <v>1160</v>
      </c>
      <c r="U54" s="4" t="s">
        <v>1161</v>
      </c>
      <c r="V54" s="21" t="str">
        <f t="shared" si="2"/>
        <v>30</v>
      </c>
      <c r="W54" s="21" t="str">
        <f t="shared" si="3"/>
        <v>30</v>
      </c>
      <c r="X54" s="21" t="str">
        <f t="shared" si="4"/>
        <v>12</v>
      </c>
      <c r="Y54" s="22" t="str">
        <f t="shared" si="5"/>
        <v>PASS</v>
      </c>
      <c r="Z54" s="22" t="str">
        <f t="shared" si="6"/>
        <v>PASS</v>
      </c>
      <c r="AA54" s="6" t="s">
        <v>1162</v>
      </c>
      <c r="AB54" s="6" t="s">
        <v>1163</v>
      </c>
      <c r="AC54" s="6" t="s">
        <v>835</v>
      </c>
      <c r="AD54" s="6" t="s">
        <v>836</v>
      </c>
      <c r="AE54" s="4">
        <v>37</v>
      </c>
      <c r="AF54" s="4">
        <v>72</v>
      </c>
      <c r="AG54" s="4">
        <v>78</v>
      </c>
      <c r="AH54" s="4">
        <v>-4</v>
      </c>
      <c r="AI54" s="4">
        <v>-2</v>
      </c>
      <c r="AJ54" s="4" t="s">
        <v>4112</v>
      </c>
    </row>
    <row r="55" ht="26.25" customHeight="1">
      <c r="A55" s="4" t="s">
        <v>1164</v>
      </c>
      <c r="B55" s="4" t="s">
        <v>202</v>
      </c>
      <c r="C55" s="4" t="s">
        <v>939</v>
      </c>
      <c r="D55" s="4" t="s">
        <v>569</v>
      </c>
      <c r="E55" s="4">
        <v>1.0</v>
      </c>
      <c r="F55" s="4" t="s">
        <v>940</v>
      </c>
      <c r="G55" s="4" t="s">
        <v>254</v>
      </c>
      <c r="H55" s="4">
        <v>8</v>
      </c>
      <c r="I55" s="4">
        <v>2</v>
      </c>
      <c r="J55" s="4">
        <v>2</v>
      </c>
      <c r="K55" s="4">
        <v>8</v>
      </c>
      <c r="L55" s="4">
        <v>4</v>
      </c>
      <c r="M55" s="4">
        <v>1</v>
      </c>
      <c r="N55" s="4">
        <v>4</v>
      </c>
      <c r="O55" s="4">
        <v>9</v>
      </c>
      <c r="P55" s="20" t="str">
        <f t="shared" si="1"/>
        <v>4.5%</v>
      </c>
      <c r="Q55" s="20">
        <v>0.1</v>
      </c>
      <c r="R55" s="4">
        <v>1.55</v>
      </c>
      <c r="S55" s="4" t="s">
        <v>94</v>
      </c>
      <c r="T55" s="4" t="s">
        <v>1165</v>
      </c>
      <c r="U55" s="4" t="s">
        <v>1082</v>
      </c>
      <c r="V55" s="21" t="str">
        <f t="shared" si="2"/>
        <v>30</v>
      </c>
      <c r="W55" s="21" t="str">
        <f t="shared" si="3"/>
        <v>30</v>
      </c>
      <c r="X55" s="21" t="str">
        <f t="shared" si="4"/>
        <v>10</v>
      </c>
      <c r="Y55" s="22" t="str">
        <f t="shared" si="5"/>
        <v>PASS</v>
      </c>
      <c r="Z55" s="22" t="str">
        <f t="shared" si="6"/>
        <v>PASS</v>
      </c>
      <c r="AA55" s="6" t="s">
        <v>1166</v>
      </c>
      <c r="AB55" s="6" t="s">
        <v>1167</v>
      </c>
      <c r="AC55" s="6" t="s">
        <v>843</v>
      </c>
      <c r="AD55" s="6" t="s">
        <v>844</v>
      </c>
      <c r="AE55" s="4">
        <v>14</v>
      </c>
      <c r="AF55" s="4">
        <v>92</v>
      </c>
      <c r="AG55" s="4">
        <v>86</v>
      </c>
      <c r="AH55" s="4">
        <v>5</v>
      </c>
      <c r="AI55" s="4">
        <v>1</v>
      </c>
      <c r="AJ55" s="4" t="s">
        <v>4101</v>
      </c>
    </row>
    <row r="56" ht="26.25" customHeight="1">
      <c r="A56" s="4" t="s">
        <v>1168</v>
      </c>
      <c r="B56" s="4" t="s">
        <v>202</v>
      </c>
      <c r="C56" s="4" t="s">
        <v>932</v>
      </c>
      <c r="D56" s="4" t="s">
        <v>569</v>
      </c>
      <c r="E56" s="4">
        <v>1.0</v>
      </c>
      <c r="F56" s="4" t="s">
        <v>940</v>
      </c>
      <c r="G56" s="4" t="s">
        <v>254</v>
      </c>
      <c r="H56" s="4">
        <v>10</v>
      </c>
      <c r="I56" s="4">
        <v>2</v>
      </c>
      <c r="J56" s="4">
        <v>1</v>
      </c>
      <c r="K56" s="4">
        <v>9</v>
      </c>
      <c r="L56" s="4">
        <v>4</v>
      </c>
      <c r="M56" s="4">
        <v>0</v>
      </c>
      <c r="N56" s="4">
        <v>5</v>
      </c>
      <c r="O56" s="4">
        <v>9</v>
      </c>
      <c r="P56" s="20" t="str">
        <f t="shared" si="1"/>
        <v>4.5%</v>
      </c>
      <c r="Q56" s="20">
        <v>0.1</v>
      </c>
      <c r="R56" s="4">
        <v>1.55</v>
      </c>
      <c r="S56" s="4" t="s">
        <v>94</v>
      </c>
      <c r="T56" s="4" t="s">
        <v>1169</v>
      </c>
      <c r="U56" s="4" t="s">
        <v>935</v>
      </c>
      <c r="V56" s="21" t="str">
        <f t="shared" si="2"/>
        <v>30</v>
      </c>
      <c r="W56" s="21" t="str">
        <f t="shared" si="3"/>
        <v>30</v>
      </c>
      <c r="X56" s="21" t="str">
        <f t="shared" si="4"/>
        <v>10</v>
      </c>
      <c r="Y56" s="22" t="str">
        <f t="shared" si="5"/>
        <v>PASS</v>
      </c>
      <c r="Z56" s="22" t="str">
        <f t="shared" si="6"/>
        <v>PASS</v>
      </c>
      <c r="AA56" s="6" t="s">
        <v>1170</v>
      </c>
      <c r="AB56" s="6" t="s">
        <v>1171</v>
      </c>
      <c r="AC56" s="6" t="s">
        <v>843</v>
      </c>
      <c r="AD56" s="6" t="s">
        <v>844</v>
      </c>
      <c r="AE56" s="4">
        <v>16</v>
      </c>
      <c r="AF56" s="4">
        <v>90</v>
      </c>
      <c r="AG56" s="4">
        <v>86</v>
      </c>
      <c r="AH56" s="4">
        <v>3</v>
      </c>
      <c r="AI56" s="4">
        <v>1</v>
      </c>
      <c r="AJ56" s="4" t="s">
        <v>4101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2:AJ2"/>
    <mergeCell ref="A1:AJ1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0.0"/>
    <col customWidth="1" min="2" max="3" width="12.0"/>
    <col customWidth="1" min="4" max="4" width="24.0"/>
    <col customWidth="1" min="5" max="5" width="48.0"/>
    <col customWidth="1" min="6" max="6" width="38.0"/>
    <col customWidth="1" min="7" max="7" width="10.57"/>
    <col customWidth="1" min="8" max="8" width="11.86"/>
    <col customWidth="1" min="9" max="9" width="11.29"/>
    <col customWidth="1" min="10" max="10" width="24.0"/>
    <col customWidth="1" min="11" max="11" width="2.57"/>
    <col customWidth="1" min="12" max="12" width="8.29"/>
    <col customWidth="1" min="13" max="13" width="5.57"/>
    <col customWidth="1" min="14" max="14" width="48.0"/>
    <col customWidth="1" min="15" max="15" width="9.71"/>
    <col customWidth="1" min="16" max="16" width="11.0"/>
    <col customWidth="1" min="17" max="17" width="10.43"/>
    <col customWidth="1" min="18" max="18" width="22.0"/>
    <col customWidth="1" min="19" max="19" width="50.0"/>
    <col customWidth="1" min="20" max="20" width="38.0"/>
    <col customWidth="1" min="21" max="21" width="42.0"/>
    <col customWidth="1" min="22" max="22" width="32.0"/>
    <col customWidth="1" min="23" max="23" width="12.0"/>
    <col customWidth="1" min="24" max="24" width="15.0"/>
    <col customWidth="1" min="25" max="25" width="12.0"/>
    <col customWidth="1" min="26" max="27" width="10.0"/>
    <col customWidth="1" min="28" max="28" width="18.0"/>
    <col customWidth="1" min="29" max="29" width="16.0"/>
    <col customWidth="1" min="30" max="31" width="17.0"/>
    <col customWidth="1" min="32" max="32" width="52.0"/>
  </cols>
  <sheetData>
    <row r="1" ht="30.0" customHeight="1">
      <c r="A1" s="16" t="s">
        <v>1172</v>
      </c>
    </row>
    <row r="2" ht="37.5" customHeight="1">
      <c r="A2" s="23" t="s">
        <v>1173</v>
      </c>
    </row>
    <row r="4" ht="30.0" customHeight="1">
      <c r="A4" s="17" t="s">
        <v>912</v>
      </c>
      <c r="B4" s="17" t="s">
        <v>189</v>
      </c>
      <c r="C4" s="17" t="s">
        <v>260</v>
      </c>
      <c r="D4" s="17" t="s">
        <v>928</v>
      </c>
      <c r="E4" s="17" t="s">
        <v>1174</v>
      </c>
      <c r="F4" s="17" t="s">
        <v>829</v>
      </c>
      <c r="G4" s="17" t="s">
        <v>1175</v>
      </c>
      <c r="H4" s="17" t="s">
        <v>1176</v>
      </c>
      <c r="I4" s="17" t="s">
        <v>1177</v>
      </c>
      <c r="J4" s="17" t="s">
        <v>1178</v>
      </c>
      <c r="K4" s="17" t="s">
        <v>1179</v>
      </c>
      <c r="L4" s="17" t="s">
        <v>1180</v>
      </c>
      <c r="M4" s="17" t="s">
        <v>1181</v>
      </c>
      <c r="N4" s="17" t="s">
        <v>1182</v>
      </c>
      <c r="O4" s="17" t="s">
        <v>1183</v>
      </c>
      <c r="P4" s="17" t="s">
        <v>1184</v>
      </c>
      <c r="Q4" s="17" t="s">
        <v>1185</v>
      </c>
      <c r="R4" s="17" t="s">
        <v>827</v>
      </c>
      <c r="S4" s="17" t="s">
        <v>930</v>
      </c>
      <c r="T4" s="17" t="s">
        <v>1186</v>
      </c>
      <c r="U4" s="17" t="s">
        <v>1187</v>
      </c>
      <c r="V4" s="17" t="s">
        <v>1188</v>
      </c>
      <c r="W4" s="17" t="s">
        <v>1189</v>
      </c>
      <c r="X4" s="17" t="s">
        <v>1190</v>
      </c>
      <c r="Y4" s="17" t="s">
        <v>40</v>
      </c>
      <c r="Z4" s="17" t="s">
        <v>1191</v>
      </c>
      <c r="AA4" s="17" t="s">
        <v>1192</v>
      </c>
      <c r="AB4" s="17" t="s">
        <v>1193</v>
      </c>
      <c r="AC4" s="17" t="s">
        <v>1194</v>
      </c>
      <c r="AD4" s="17" t="s">
        <v>1195</v>
      </c>
      <c r="AE4" s="17" t="s">
        <v>900</v>
      </c>
      <c r="AF4" s="17" t="s">
        <v>1196</v>
      </c>
    </row>
    <row r="5">
      <c r="A5" s="6" t="s">
        <v>931</v>
      </c>
      <c r="B5" s="6" t="s">
        <v>202</v>
      </c>
      <c r="C5" s="6" t="s">
        <v>255</v>
      </c>
      <c r="D5" s="6" t="s">
        <v>936</v>
      </c>
      <c r="E5" s="6" t="s">
        <v>937</v>
      </c>
      <c r="F5" s="6" t="s">
        <v>1197</v>
      </c>
      <c r="G5" s="6">
        <v>1.0</v>
      </c>
      <c r="H5" s="6">
        <v>1.5</v>
      </c>
      <c r="I5" s="6" t="s">
        <v>1198</v>
      </c>
      <c r="J5" s="6" t="s">
        <v>1199</v>
      </c>
      <c r="K5" s="6">
        <v>1.0</v>
      </c>
      <c r="L5" s="6">
        <v>2.0</v>
      </c>
      <c r="M5" s="6" t="s">
        <v>1200</v>
      </c>
      <c r="N5" s="6" t="s">
        <v>1201</v>
      </c>
      <c r="O5" s="6">
        <v>1.0</v>
      </c>
      <c r="P5" s="6">
        <v>2.0</v>
      </c>
      <c r="Q5" s="6" t="s">
        <v>1198</v>
      </c>
      <c r="R5" s="6" t="s">
        <v>843</v>
      </c>
      <c r="S5" s="6" t="s">
        <v>844</v>
      </c>
      <c r="T5" s="6" t="s">
        <v>1202</v>
      </c>
      <c r="U5" s="6" t="s">
        <v>1203</v>
      </c>
      <c r="V5" s="6" t="s">
        <v>1204</v>
      </c>
      <c r="W5" s="6" t="s">
        <v>1205</v>
      </c>
      <c r="X5" s="6" t="s">
        <v>1205</v>
      </c>
      <c r="Y5" s="6" t="s">
        <v>1205</v>
      </c>
      <c r="Z5" s="6" t="s">
        <v>1205</v>
      </c>
      <c r="AA5" s="6" t="s">
        <v>1205</v>
      </c>
      <c r="AB5" s="6" t="s">
        <v>1205</v>
      </c>
      <c r="AC5" s="6" t="s">
        <v>1205</v>
      </c>
      <c r="AD5" s="6" t="s">
        <v>1206</v>
      </c>
      <c r="AE5" s="6" t="s">
        <v>1206</v>
      </c>
      <c r="AF5" s="6" t="s">
        <v>1207</v>
      </c>
    </row>
    <row r="6">
      <c r="A6" s="6" t="s">
        <v>938</v>
      </c>
      <c r="B6" s="6" t="s">
        <v>202</v>
      </c>
      <c r="C6" s="6" t="s">
        <v>255</v>
      </c>
      <c r="D6" s="6" t="s">
        <v>943</v>
      </c>
      <c r="E6" s="6" t="s">
        <v>944</v>
      </c>
      <c r="F6" s="6" t="s">
        <v>1208</v>
      </c>
      <c r="G6" s="6">
        <v>1.0</v>
      </c>
      <c r="H6" s="6">
        <v>1.5</v>
      </c>
      <c r="I6" s="6" t="s">
        <v>1198</v>
      </c>
      <c r="J6" s="6" t="s">
        <v>1209</v>
      </c>
      <c r="K6" s="6">
        <v>1.0</v>
      </c>
      <c r="L6" s="6">
        <v>3.0</v>
      </c>
      <c r="M6" s="6" t="s">
        <v>1200</v>
      </c>
      <c r="N6" s="6" t="s">
        <v>1210</v>
      </c>
      <c r="O6" s="6">
        <v>2.5</v>
      </c>
      <c r="P6" s="6">
        <v>2.5</v>
      </c>
      <c r="Q6" s="6" t="s">
        <v>1198</v>
      </c>
      <c r="R6" s="6" t="s">
        <v>843</v>
      </c>
      <c r="S6" s="6" t="s">
        <v>844</v>
      </c>
      <c r="T6" s="6" t="s">
        <v>1211</v>
      </c>
      <c r="U6" s="6" t="s">
        <v>1212</v>
      </c>
      <c r="V6" s="6" t="s">
        <v>1213</v>
      </c>
      <c r="W6" s="6" t="s">
        <v>1214</v>
      </c>
      <c r="X6" s="6" t="s">
        <v>1214</v>
      </c>
      <c r="Y6" s="6" t="s">
        <v>1214</v>
      </c>
      <c r="Z6" s="6" t="s">
        <v>1205</v>
      </c>
      <c r="AA6" s="6" t="s">
        <v>1205</v>
      </c>
      <c r="AB6" s="6" t="s">
        <v>1205</v>
      </c>
      <c r="AC6" s="6" t="s">
        <v>1205</v>
      </c>
      <c r="AD6" s="6" t="s">
        <v>1206</v>
      </c>
      <c r="AE6" s="6" t="s">
        <v>1206</v>
      </c>
      <c r="AF6" s="6" t="s">
        <v>1215</v>
      </c>
    </row>
    <row r="7">
      <c r="A7" s="6" t="s">
        <v>945</v>
      </c>
      <c r="B7" s="6" t="s">
        <v>209</v>
      </c>
      <c r="C7" s="6" t="s">
        <v>258</v>
      </c>
      <c r="D7" s="6" t="s">
        <v>947</v>
      </c>
      <c r="E7" s="6" t="s">
        <v>948</v>
      </c>
      <c r="F7" s="6" t="s">
        <v>1216</v>
      </c>
      <c r="G7" s="6">
        <v>1.0</v>
      </c>
      <c r="H7" s="6">
        <v>1.5</v>
      </c>
      <c r="I7" s="6" t="s">
        <v>1198</v>
      </c>
      <c r="J7" s="6" t="s">
        <v>1217</v>
      </c>
      <c r="K7" s="6">
        <v>1.0</v>
      </c>
      <c r="L7" s="6">
        <v>2.0</v>
      </c>
      <c r="M7" s="6" t="s">
        <v>1218</v>
      </c>
      <c r="N7" s="6" t="s">
        <v>1219</v>
      </c>
      <c r="O7" s="6">
        <v>1.0</v>
      </c>
      <c r="P7" s="6">
        <v>2.0</v>
      </c>
      <c r="Q7" s="6" t="s">
        <v>1198</v>
      </c>
      <c r="R7" s="6" t="s">
        <v>851</v>
      </c>
      <c r="S7" s="6" t="s">
        <v>852</v>
      </c>
      <c r="T7" s="6" t="s">
        <v>1220</v>
      </c>
      <c r="U7" s="6" t="s">
        <v>1221</v>
      </c>
      <c r="V7" s="6" t="s">
        <v>1222</v>
      </c>
      <c r="W7" s="6" t="s">
        <v>1214</v>
      </c>
      <c r="X7" s="6" t="s">
        <v>1214</v>
      </c>
      <c r="Y7" s="6" t="s">
        <v>1205</v>
      </c>
      <c r="Z7" s="6" t="s">
        <v>1205</v>
      </c>
      <c r="AA7" s="6" t="s">
        <v>1205</v>
      </c>
      <c r="AB7" s="6" t="s">
        <v>1223</v>
      </c>
      <c r="AC7" s="6" t="s">
        <v>1214</v>
      </c>
      <c r="AD7" s="6" t="s">
        <v>1206</v>
      </c>
      <c r="AE7" s="6" t="s">
        <v>1206</v>
      </c>
      <c r="AF7" s="6" t="s">
        <v>1224</v>
      </c>
    </row>
    <row r="8">
      <c r="A8" s="6" t="s">
        <v>949</v>
      </c>
      <c r="B8" s="6" t="s">
        <v>230</v>
      </c>
      <c r="C8" s="6" t="s">
        <v>257</v>
      </c>
      <c r="D8" s="6" t="s">
        <v>953</v>
      </c>
      <c r="E8" s="6" t="s">
        <v>954</v>
      </c>
      <c r="F8" s="6" t="s">
        <v>1225</v>
      </c>
      <c r="G8" s="6">
        <v>1.0</v>
      </c>
      <c r="H8" s="6">
        <v>1.5</v>
      </c>
      <c r="I8" s="6" t="s">
        <v>1198</v>
      </c>
      <c r="J8" s="6" t="s">
        <v>1226</v>
      </c>
      <c r="K8" s="6">
        <v>1.0</v>
      </c>
      <c r="L8" s="6">
        <v>3.0</v>
      </c>
      <c r="M8" s="6" t="s">
        <v>1200</v>
      </c>
      <c r="N8" s="6" t="s">
        <v>1227</v>
      </c>
      <c r="O8" s="6">
        <v>2.0</v>
      </c>
      <c r="P8" s="6">
        <v>2.5</v>
      </c>
      <c r="Q8" s="6" t="s">
        <v>1198</v>
      </c>
      <c r="R8" s="6" t="s">
        <v>875</v>
      </c>
      <c r="S8" s="6" t="s">
        <v>876</v>
      </c>
      <c r="T8" s="6" t="s">
        <v>1228</v>
      </c>
      <c r="U8" s="6" t="s">
        <v>1229</v>
      </c>
      <c r="V8" s="6" t="s">
        <v>1230</v>
      </c>
      <c r="W8" s="6" t="s">
        <v>1205</v>
      </c>
      <c r="X8" s="6" t="s">
        <v>1205</v>
      </c>
      <c r="Y8" s="6" t="s">
        <v>1214</v>
      </c>
      <c r="Z8" s="6" t="s">
        <v>1205</v>
      </c>
      <c r="AA8" s="6" t="s">
        <v>1205</v>
      </c>
      <c r="AB8" s="6" t="s">
        <v>1205</v>
      </c>
      <c r="AC8" s="6" t="s">
        <v>1205</v>
      </c>
      <c r="AD8" s="6" t="s">
        <v>1206</v>
      </c>
      <c r="AE8" s="6" t="s">
        <v>1206</v>
      </c>
      <c r="AF8" s="6" t="s">
        <v>1231</v>
      </c>
    </row>
    <row r="9">
      <c r="A9" s="6" t="s">
        <v>955</v>
      </c>
      <c r="B9" s="6" t="s">
        <v>202</v>
      </c>
      <c r="C9" s="6" t="s">
        <v>255</v>
      </c>
      <c r="D9" s="6" t="s">
        <v>959</v>
      </c>
      <c r="E9" s="6" t="s">
        <v>960</v>
      </c>
      <c r="F9" s="6" t="s">
        <v>1232</v>
      </c>
      <c r="G9" s="6">
        <v>1.0</v>
      </c>
      <c r="H9" s="6">
        <v>1.5</v>
      </c>
      <c r="I9" s="6" t="s">
        <v>1198</v>
      </c>
      <c r="J9" s="6" t="s">
        <v>1233</v>
      </c>
      <c r="K9" s="6">
        <v>1.0</v>
      </c>
      <c r="L9" s="6">
        <v>2.0</v>
      </c>
      <c r="M9" s="6" t="s">
        <v>1200</v>
      </c>
      <c r="N9" s="6" t="s">
        <v>1234</v>
      </c>
      <c r="O9" s="6">
        <v>1.0</v>
      </c>
      <c r="P9" s="6">
        <v>2.0</v>
      </c>
      <c r="Q9" s="6" t="s">
        <v>1198</v>
      </c>
      <c r="R9" s="6" t="s">
        <v>843</v>
      </c>
      <c r="S9" s="6" t="s">
        <v>844</v>
      </c>
      <c r="T9" s="6" t="s">
        <v>1235</v>
      </c>
      <c r="U9" s="6" t="s">
        <v>1236</v>
      </c>
      <c r="V9" s="6" t="s">
        <v>1237</v>
      </c>
      <c r="W9" s="6" t="s">
        <v>1205</v>
      </c>
      <c r="X9" s="6" t="s">
        <v>1205</v>
      </c>
      <c r="Y9" s="6" t="s">
        <v>1205</v>
      </c>
      <c r="Z9" s="6" t="s">
        <v>1205</v>
      </c>
      <c r="AA9" s="6" t="s">
        <v>1205</v>
      </c>
      <c r="AB9" s="6" t="s">
        <v>1205</v>
      </c>
      <c r="AC9" s="6" t="s">
        <v>1205</v>
      </c>
      <c r="AD9" s="6" t="s">
        <v>1206</v>
      </c>
      <c r="AE9" s="6" t="s">
        <v>1206</v>
      </c>
      <c r="AF9" s="6" t="s">
        <v>1238</v>
      </c>
    </row>
    <row r="10">
      <c r="A10" s="6" t="s">
        <v>961</v>
      </c>
      <c r="B10" s="6" t="s">
        <v>209</v>
      </c>
      <c r="C10" s="6" t="s">
        <v>259</v>
      </c>
      <c r="D10" s="6" t="s">
        <v>964</v>
      </c>
      <c r="E10" s="6" t="s">
        <v>965</v>
      </c>
      <c r="F10" s="6" t="s">
        <v>1239</v>
      </c>
      <c r="G10" s="6">
        <v>1.25</v>
      </c>
      <c r="H10" s="6">
        <v>1.5</v>
      </c>
      <c r="I10" s="6" t="s">
        <v>1198</v>
      </c>
      <c r="J10" s="6" t="s">
        <v>1240</v>
      </c>
      <c r="K10" s="6">
        <v>1.0</v>
      </c>
      <c r="L10" s="6">
        <v>3.0</v>
      </c>
      <c r="M10" s="6" t="s">
        <v>1218</v>
      </c>
      <c r="N10" s="6" t="s">
        <v>1241</v>
      </c>
      <c r="O10" s="6">
        <v>1.0</v>
      </c>
      <c r="P10" s="6">
        <v>2.5</v>
      </c>
      <c r="Q10" s="6" t="s">
        <v>1198</v>
      </c>
      <c r="R10" s="6" t="s">
        <v>851</v>
      </c>
      <c r="S10" s="6" t="s">
        <v>852</v>
      </c>
      <c r="T10" s="6" t="s">
        <v>1242</v>
      </c>
      <c r="U10" s="6" t="s">
        <v>1243</v>
      </c>
      <c r="V10" s="6" t="s">
        <v>1244</v>
      </c>
      <c r="W10" s="6" t="s">
        <v>1214</v>
      </c>
      <c r="X10" s="6" t="s">
        <v>1214</v>
      </c>
      <c r="Y10" s="6" t="s">
        <v>1205</v>
      </c>
      <c r="Z10" s="6" t="s">
        <v>1205</v>
      </c>
      <c r="AA10" s="6" t="s">
        <v>1205</v>
      </c>
      <c r="AB10" s="6" t="s">
        <v>1205</v>
      </c>
      <c r="AC10" s="6" t="s">
        <v>1205</v>
      </c>
      <c r="AD10" s="6" t="s">
        <v>1206</v>
      </c>
      <c r="AE10" s="6" t="s">
        <v>1206</v>
      </c>
      <c r="AF10" s="6" t="s">
        <v>1245</v>
      </c>
    </row>
    <row r="11">
      <c r="A11" s="6" t="s">
        <v>966</v>
      </c>
      <c r="B11" s="6" t="s">
        <v>222</v>
      </c>
      <c r="C11" s="6" t="s">
        <v>254</v>
      </c>
      <c r="D11" s="6" t="s">
        <v>969</v>
      </c>
      <c r="E11" s="6" t="s">
        <v>970</v>
      </c>
      <c r="F11" s="6" t="s">
        <v>1246</v>
      </c>
      <c r="G11" s="6">
        <v>1.0</v>
      </c>
      <c r="H11" s="6">
        <v>1.5</v>
      </c>
      <c r="I11" s="6" t="s">
        <v>1198</v>
      </c>
      <c r="J11" s="6" t="s">
        <v>1247</v>
      </c>
      <c r="K11" s="6">
        <v>1.0</v>
      </c>
      <c r="L11" s="6">
        <v>2.0</v>
      </c>
      <c r="M11" s="6" t="s">
        <v>1200</v>
      </c>
      <c r="N11" s="6" t="s">
        <v>1248</v>
      </c>
      <c r="O11" s="6">
        <v>2.0</v>
      </c>
      <c r="P11" s="6">
        <v>2.0</v>
      </c>
      <c r="Q11" s="6" t="s">
        <v>1198</v>
      </c>
      <c r="R11" s="6" t="s">
        <v>867</v>
      </c>
      <c r="S11" s="6" t="s">
        <v>868</v>
      </c>
      <c r="T11" s="6" t="s">
        <v>1249</v>
      </c>
      <c r="U11" s="6" t="s">
        <v>1250</v>
      </c>
      <c r="V11" s="6" t="s">
        <v>1251</v>
      </c>
      <c r="W11" s="6" t="s">
        <v>1205</v>
      </c>
      <c r="X11" s="6" t="s">
        <v>1205</v>
      </c>
      <c r="Y11" s="6" t="s">
        <v>1205</v>
      </c>
      <c r="Z11" s="6" t="s">
        <v>1205</v>
      </c>
      <c r="AA11" s="6" t="s">
        <v>1205</v>
      </c>
      <c r="AB11" s="6" t="s">
        <v>1205</v>
      </c>
      <c r="AC11" s="6" t="s">
        <v>1205</v>
      </c>
      <c r="AD11" s="6" t="s">
        <v>1206</v>
      </c>
      <c r="AE11" s="6" t="s">
        <v>1206</v>
      </c>
      <c r="AF11" s="6" t="s">
        <v>1252</v>
      </c>
    </row>
    <row r="12">
      <c r="A12" s="6" t="s">
        <v>971</v>
      </c>
      <c r="B12" s="6" t="s">
        <v>230</v>
      </c>
      <c r="C12" s="6" t="s">
        <v>256</v>
      </c>
      <c r="D12" s="6" t="s">
        <v>973</v>
      </c>
      <c r="E12" s="6" t="s">
        <v>974</v>
      </c>
      <c r="F12" s="6" t="s">
        <v>1253</v>
      </c>
      <c r="G12" s="6">
        <v>1.0</v>
      </c>
      <c r="H12" s="6">
        <v>1.5</v>
      </c>
      <c r="I12" s="6" t="s">
        <v>1198</v>
      </c>
      <c r="J12" s="6" t="s">
        <v>1254</v>
      </c>
      <c r="K12" s="6">
        <v>1.0</v>
      </c>
      <c r="L12" s="6">
        <v>2.0</v>
      </c>
      <c r="M12" s="6" t="s">
        <v>1218</v>
      </c>
      <c r="N12" s="6" t="s">
        <v>1255</v>
      </c>
      <c r="O12" s="6">
        <v>1.0</v>
      </c>
      <c r="P12" s="6">
        <v>2.0</v>
      </c>
      <c r="Q12" s="6" t="s">
        <v>1198</v>
      </c>
      <c r="R12" s="6" t="s">
        <v>875</v>
      </c>
      <c r="S12" s="6" t="s">
        <v>876</v>
      </c>
      <c r="T12" s="6" t="s">
        <v>1256</v>
      </c>
      <c r="U12" s="6" t="s">
        <v>1257</v>
      </c>
      <c r="V12" s="6" t="s">
        <v>1258</v>
      </c>
      <c r="W12" s="6" t="s">
        <v>1214</v>
      </c>
      <c r="X12" s="6" t="s">
        <v>1214</v>
      </c>
      <c r="Y12" s="6" t="s">
        <v>1205</v>
      </c>
      <c r="Z12" s="6" t="s">
        <v>1205</v>
      </c>
      <c r="AA12" s="6" t="s">
        <v>1205</v>
      </c>
      <c r="AB12" s="6" t="s">
        <v>1223</v>
      </c>
      <c r="AC12" s="6" t="s">
        <v>1214</v>
      </c>
      <c r="AD12" s="6" t="s">
        <v>1206</v>
      </c>
      <c r="AE12" s="6" t="s">
        <v>1206</v>
      </c>
      <c r="AF12" s="6" t="s">
        <v>1259</v>
      </c>
    </row>
    <row r="13">
      <c r="A13" s="6" t="s">
        <v>975</v>
      </c>
      <c r="B13" s="6" t="s">
        <v>196</v>
      </c>
      <c r="C13" s="6" t="s">
        <v>256</v>
      </c>
      <c r="D13" s="6" t="s">
        <v>979</v>
      </c>
      <c r="E13" s="6" t="s">
        <v>980</v>
      </c>
      <c r="F13" s="6" t="s">
        <v>1260</v>
      </c>
      <c r="G13" s="6">
        <v>1.0</v>
      </c>
      <c r="H13" s="6">
        <v>1.5</v>
      </c>
      <c r="I13" s="6" t="s">
        <v>1198</v>
      </c>
      <c r="J13" s="6" t="s">
        <v>1261</v>
      </c>
      <c r="K13" s="6">
        <v>1.0</v>
      </c>
      <c r="L13" s="6">
        <v>2.0</v>
      </c>
      <c r="M13" s="6" t="s">
        <v>1200</v>
      </c>
      <c r="N13" s="6" t="s">
        <v>1262</v>
      </c>
      <c r="O13" s="6">
        <v>1.0</v>
      </c>
      <c r="P13" s="6">
        <v>2.0</v>
      </c>
      <c r="Q13" s="6" t="s">
        <v>1198</v>
      </c>
      <c r="R13" s="6" t="s">
        <v>835</v>
      </c>
      <c r="S13" s="6" t="s">
        <v>836</v>
      </c>
      <c r="T13" s="6" t="s">
        <v>1263</v>
      </c>
      <c r="U13" s="6" t="s">
        <v>1264</v>
      </c>
      <c r="V13" s="6" t="s">
        <v>1265</v>
      </c>
      <c r="W13" s="6" t="s">
        <v>1214</v>
      </c>
      <c r="X13" s="6" t="s">
        <v>1205</v>
      </c>
      <c r="Y13" s="6" t="s">
        <v>1214</v>
      </c>
      <c r="Z13" s="6" t="s">
        <v>1205</v>
      </c>
      <c r="AA13" s="6" t="s">
        <v>1205</v>
      </c>
      <c r="AB13" s="6" t="s">
        <v>1266</v>
      </c>
      <c r="AC13" s="6" t="s">
        <v>1214</v>
      </c>
      <c r="AD13" s="6" t="s">
        <v>1206</v>
      </c>
      <c r="AE13" s="6" t="s">
        <v>1206</v>
      </c>
      <c r="AF13" s="6" t="s">
        <v>1267</v>
      </c>
    </row>
    <row r="14">
      <c r="A14" s="6" t="s">
        <v>981</v>
      </c>
      <c r="B14" s="6" t="s">
        <v>215</v>
      </c>
      <c r="C14" s="6" t="s">
        <v>255</v>
      </c>
      <c r="D14" s="6" t="s">
        <v>985</v>
      </c>
      <c r="E14" s="6" t="s">
        <v>986</v>
      </c>
      <c r="F14" s="6" t="s">
        <v>1268</v>
      </c>
      <c r="G14" s="6">
        <v>1.0</v>
      </c>
      <c r="H14" s="6">
        <v>1.5</v>
      </c>
      <c r="I14" s="6" t="s">
        <v>1198</v>
      </c>
      <c r="J14" s="6" t="s">
        <v>985</v>
      </c>
      <c r="K14" s="6">
        <v>1.0</v>
      </c>
      <c r="L14" s="6">
        <v>2.0</v>
      </c>
      <c r="M14" s="6" t="s">
        <v>1218</v>
      </c>
      <c r="N14" s="6" t="s">
        <v>1269</v>
      </c>
      <c r="O14" s="6">
        <v>1.0</v>
      </c>
      <c r="P14" s="6">
        <v>2.0</v>
      </c>
      <c r="Q14" s="6" t="s">
        <v>1198</v>
      </c>
      <c r="R14" s="6" t="s">
        <v>859</v>
      </c>
      <c r="S14" s="6" t="s">
        <v>860</v>
      </c>
      <c r="T14" s="6" t="s">
        <v>1270</v>
      </c>
      <c r="U14" s="6" t="s">
        <v>1271</v>
      </c>
      <c r="V14" s="6" t="s">
        <v>1272</v>
      </c>
      <c r="W14" s="6" t="s">
        <v>1214</v>
      </c>
      <c r="X14" s="6" t="s">
        <v>1214</v>
      </c>
      <c r="Y14" s="6" t="s">
        <v>1205</v>
      </c>
      <c r="Z14" s="6" t="s">
        <v>1205</v>
      </c>
      <c r="AA14" s="6" t="s">
        <v>1205</v>
      </c>
      <c r="AB14" s="6" t="s">
        <v>1223</v>
      </c>
      <c r="AC14" s="6" t="s">
        <v>1205</v>
      </c>
      <c r="AD14" s="6" t="s">
        <v>1206</v>
      </c>
      <c r="AE14" s="6" t="s">
        <v>1206</v>
      </c>
      <c r="AF14" s="6" t="s">
        <v>1273</v>
      </c>
    </row>
    <row r="15">
      <c r="A15" s="6" t="s">
        <v>987</v>
      </c>
      <c r="B15" s="6" t="s">
        <v>230</v>
      </c>
      <c r="C15" s="6" t="s">
        <v>256</v>
      </c>
      <c r="D15" s="6" t="s">
        <v>989</v>
      </c>
      <c r="E15" s="6" t="s">
        <v>990</v>
      </c>
      <c r="F15" s="6" t="s">
        <v>1274</v>
      </c>
      <c r="G15" s="6">
        <v>1.25</v>
      </c>
      <c r="H15" s="6">
        <v>1.5</v>
      </c>
      <c r="I15" s="6" t="s">
        <v>1198</v>
      </c>
      <c r="J15" s="6" t="s">
        <v>1275</v>
      </c>
      <c r="K15" s="6">
        <v>1.0</v>
      </c>
      <c r="L15" s="6">
        <v>3.0</v>
      </c>
      <c r="M15" s="6" t="s">
        <v>1200</v>
      </c>
      <c r="N15" s="6" t="s">
        <v>1276</v>
      </c>
      <c r="O15" s="6">
        <v>2.0</v>
      </c>
      <c r="P15" s="6">
        <v>2.5</v>
      </c>
      <c r="Q15" s="6" t="s">
        <v>1198</v>
      </c>
      <c r="R15" s="6" t="s">
        <v>875</v>
      </c>
      <c r="S15" s="6" t="s">
        <v>876</v>
      </c>
      <c r="T15" s="6" t="s">
        <v>1277</v>
      </c>
      <c r="U15" s="6" t="s">
        <v>1278</v>
      </c>
      <c r="V15" s="6" t="s">
        <v>1279</v>
      </c>
      <c r="W15" s="6" t="s">
        <v>1214</v>
      </c>
      <c r="X15" s="6" t="s">
        <v>1214</v>
      </c>
      <c r="Y15" s="6" t="s">
        <v>1214</v>
      </c>
      <c r="Z15" s="6" t="s">
        <v>1205</v>
      </c>
      <c r="AA15" s="6" t="s">
        <v>1205</v>
      </c>
      <c r="AB15" s="6" t="s">
        <v>1205</v>
      </c>
      <c r="AC15" s="6" t="s">
        <v>1205</v>
      </c>
      <c r="AD15" s="6" t="s">
        <v>1206</v>
      </c>
      <c r="AE15" s="6" t="s">
        <v>1206</v>
      </c>
      <c r="AF15" s="6" t="s">
        <v>1280</v>
      </c>
    </row>
    <row r="16">
      <c r="A16" s="6" t="s">
        <v>991</v>
      </c>
      <c r="B16" s="6" t="s">
        <v>215</v>
      </c>
      <c r="C16" s="6" t="s">
        <v>256</v>
      </c>
      <c r="D16" s="6" t="s">
        <v>993</v>
      </c>
      <c r="E16" s="6" t="s">
        <v>994</v>
      </c>
      <c r="F16" s="6" t="s">
        <v>1281</v>
      </c>
      <c r="G16" s="6">
        <v>1.0</v>
      </c>
      <c r="H16" s="6">
        <v>1.5</v>
      </c>
      <c r="I16" s="6" t="s">
        <v>1198</v>
      </c>
      <c r="J16" s="6" t="s">
        <v>1282</v>
      </c>
      <c r="K16" s="6">
        <v>1.0</v>
      </c>
      <c r="L16" s="6">
        <v>2.0</v>
      </c>
      <c r="M16" s="6" t="s">
        <v>1218</v>
      </c>
      <c r="N16" s="6" t="s">
        <v>1283</v>
      </c>
      <c r="O16" s="6">
        <v>1.0</v>
      </c>
      <c r="P16" s="6">
        <v>2.0</v>
      </c>
      <c r="Q16" s="6" t="s">
        <v>1198</v>
      </c>
      <c r="R16" s="6" t="s">
        <v>859</v>
      </c>
      <c r="S16" s="6" t="s">
        <v>860</v>
      </c>
      <c r="T16" s="6" t="s">
        <v>1284</v>
      </c>
      <c r="U16" s="6" t="s">
        <v>1285</v>
      </c>
      <c r="V16" s="6" t="s">
        <v>1286</v>
      </c>
      <c r="W16" s="6" t="s">
        <v>1214</v>
      </c>
      <c r="X16" s="6" t="s">
        <v>1214</v>
      </c>
      <c r="Y16" s="6" t="s">
        <v>1205</v>
      </c>
      <c r="Z16" s="6" t="s">
        <v>1205</v>
      </c>
      <c r="AA16" s="6" t="s">
        <v>1205</v>
      </c>
      <c r="AB16" s="6" t="s">
        <v>1223</v>
      </c>
      <c r="AC16" s="6" t="s">
        <v>1214</v>
      </c>
      <c r="AD16" s="6" t="s">
        <v>1206</v>
      </c>
      <c r="AE16" s="6" t="s">
        <v>1206</v>
      </c>
      <c r="AF16" s="6" t="s">
        <v>1287</v>
      </c>
    </row>
    <row r="17">
      <c r="A17" s="6" t="s">
        <v>995</v>
      </c>
      <c r="B17" s="6" t="s">
        <v>202</v>
      </c>
      <c r="C17" s="6" t="s">
        <v>256</v>
      </c>
      <c r="D17" s="6" t="s">
        <v>997</v>
      </c>
      <c r="E17" s="6" t="s">
        <v>998</v>
      </c>
      <c r="F17" s="6" t="s">
        <v>1288</v>
      </c>
      <c r="G17" s="6">
        <v>1.0</v>
      </c>
      <c r="H17" s="6">
        <v>1.5</v>
      </c>
      <c r="I17" s="6" t="s">
        <v>1198</v>
      </c>
      <c r="J17" s="6" t="s">
        <v>1289</v>
      </c>
      <c r="K17" s="6">
        <v>1.0</v>
      </c>
      <c r="L17" s="6">
        <v>2.0</v>
      </c>
      <c r="M17" s="6" t="s">
        <v>1218</v>
      </c>
      <c r="N17" s="6" t="s">
        <v>1290</v>
      </c>
      <c r="O17" s="6">
        <v>1.0</v>
      </c>
      <c r="P17" s="6">
        <v>2.0</v>
      </c>
      <c r="Q17" s="6" t="s">
        <v>1198</v>
      </c>
      <c r="R17" s="6" t="s">
        <v>843</v>
      </c>
      <c r="S17" s="6" t="s">
        <v>844</v>
      </c>
      <c r="T17" s="6" t="s">
        <v>1291</v>
      </c>
      <c r="U17" s="6" t="s">
        <v>1292</v>
      </c>
      <c r="V17" s="6" t="s">
        <v>1293</v>
      </c>
      <c r="W17" s="6" t="s">
        <v>1214</v>
      </c>
      <c r="X17" s="6" t="s">
        <v>1205</v>
      </c>
      <c r="Y17" s="6" t="s">
        <v>1205</v>
      </c>
      <c r="Z17" s="6" t="s">
        <v>1205</v>
      </c>
      <c r="AA17" s="6" t="s">
        <v>1205</v>
      </c>
      <c r="AB17" s="6" t="s">
        <v>1205</v>
      </c>
      <c r="AC17" s="6" t="s">
        <v>1205</v>
      </c>
      <c r="AD17" s="6" t="s">
        <v>1206</v>
      </c>
      <c r="AE17" s="6" t="s">
        <v>1206</v>
      </c>
      <c r="AF17" s="6" t="s">
        <v>1294</v>
      </c>
    </row>
    <row r="18">
      <c r="A18" s="6" t="s">
        <v>999</v>
      </c>
      <c r="B18" s="6" t="s">
        <v>230</v>
      </c>
      <c r="C18" s="6" t="s">
        <v>257</v>
      </c>
      <c r="D18" s="6" t="s">
        <v>1001</v>
      </c>
      <c r="E18" s="6" t="s">
        <v>1002</v>
      </c>
      <c r="F18" s="6" t="s">
        <v>1288</v>
      </c>
      <c r="G18" s="6">
        <v>1.0</v>
      </c>
      <c r="H18" s="6">
        <v>1.5</v>
      </c>
      <c r="I18" s="6" t="s">
        <v>1198</v>
      </c>
      <c r="J18" s="6" t="s">
        <v>1295</v>
      </c>
      <c r="K18" s="6">
        <v>1.0</v>
      </c>
      <c r="L18" s="6">
        <v>3.0</v>
      </c>
      <c r="M18" s="6" t="s">
        <v>1200</v>
      </c>
      <c r="N18" s="6" t="s">
        <v>1296</v>
      </c>
      <c r="O18" s="6">
        <v>2.5</v>
      </c>
      <c r="P18" s="6">
        <v>2.5</v>
      </c>
      <c r="Q18" s="6" t="s">
        <v>1198</v>
      </c>
      <c r="R18" s="6" t="s">
        <v>875</v>
      </c>
      <c r="S18" s="6" t="s">
        <v>876</v>
      </c>
      <c r="T18" s="6" t="s">
        <v>1297</v>
      </c>
      <c r="U18" s="6" t="s">
        <v>1298</v>
      </c>
      <c r="V18" s="6" t="s">
        <v>1299</v>
      </c>
      <c r="W18" s="6" t="s">
        <v>1214</v>
      </c>
      <c r="X18" s="6" t="s">
        <v>1214</v>
      </c>
      <c r="Y18" s="6" t="s">
        <v>1214</v>
      </c>
      <c r="Z18" s="6" t="s">
        <v>1205</v>
      </c>
      <c r="AA18" s="6" t="s">
        <v>1205</v>
      </c>
      <c r="AB18" s="6" t="s">
        <v>1205</v>
      </c>
      <c r="AC18" s="6" t="s">
        <v>1205</v>
      </c>
      <c r="AD18" s="6" t="s">
        <v>1206</v>
      </c>
      <c r="AE18" s="6" t="s">
        <v>1206</v>
      </c>
      <c r="AF18" s="6" t="s">
        <v>1300</v>
      </c>
    </row>
    <row r="19">
      <c r="A19" s="6" t="s">
        <v>1003</v>
      </c>
      <c r="B19" s="6" t="s">
        <v>215</v>
      </c>
      <c r="C19" s="6" t="s">
        <v>257</v>
      </c>
      <c r="D19" s="6" t="s">
        <v>1005</v>
      </c>
      <c r="E19" s="6" t="s">
        <v>1006</v>
      </c>
      <c r="F19" s="6" t="s">
        <v>1288</v>
      </c>
      <c r="G19" s="6">
        <v>1.0</v>
      </c>
      <c r="H19" s="6">
        <v>1.5</v>
      </c>
      <c r="I19" s="6" t="s">
        <v>1198</v>
      </c>
      <c r="J19" s="6" t="s">
        <v>1301</v>
      </c>
      <c r="K19" s="6">
        <v>1.0</v>
      </c>
      <c r="L19" s="6">
        <v>3.0</v>
      </c>
      <c r="M19" s="6" t="s">
        <v>1218</v>
      </c>
      <c r="N19" s="6" t="s">
        <v>1302</v>
      </c>
      <c r="O19" s="6">
        <v>1.5</v>
      </c>
      <c r="P19" s="6">
        <v>2.5</v>
      </c>
      <c r="Q19" s="6" t="s">
        <v>1198</v>
      </c>
      <c r="R19" s="6" t="s">
        <v>859</v>
      </c>
      <c r="S19" s="6" t="s">
        <v>860</v>
      </c>
      <c r="T19" s="6" t="s">
        <v>1303</v>
      </c>
      <c r="U19" s="6" t="s">
        <v>1304</v>
      </c>
      <c r="V19" s="6" t="s">
        <v>1305</v>
      </c>
      <c r="W19" s="6" t="s">
        <v>1214</v>
      </c>
      <c r="X19" s="6" t="s">
        <v>1214</v>
      </c>
      <c r="Y19" s="6" t="s">
        <v>1205</v>
      </c>
      <c r="Z19" s="6" t="s">
        <v>1205</v>
      </c>
      <c r="AA19" s="6" t="s">
        <v>1205</v>
      </c>
      <c r="AB19" s="6" t="s">
        <v>1205</v>
      </c>
      <c r="AC19" s="6" t="s">
        <v>1214</v>
      </c>
      <c r="AD19" s="6" t="s">
        <v>1206</v>
      </c>
      <c r="AE19" s="6" t="s">
        <v>1206</v>
      </c>
      <c r="AF19" s="6" t="s">
        <v>1306</v>
      </c>
    </row>
    <row r="20">
      <c r="A20" s="6" t="s">
        <v>1007</v>
      </c>
      <c r="B20" s="6" t="s">
        <v>230</v>
      </c>
      <c r="C20" s="6" t="s">
        <v>257</v>
      </c>
      <c r="D20" s="6" t="s">
        <v>1009</v>
      </c>
      <c r="E20" s="6" t="s">
        <v>1010</v>
      </c>
      <c r="F20" s="6" t="s">
        <v>1307</v>
      </c>
      <c r="G20" s="6">
        <v>1.0</v>
      </c>
      <c r="H20" s="6">
        <v>1.5</v>
      </c>
      <c r="I20" s="6" t="s">
        <v>1198</v>
      </c>
      <c r="J20" s="6" t="s">
        <v>1308</v>
      </c>
      <c r="K20" s="6">
        <v>1.0</v>
      </c>
      <c r="L20" s="6">
        <v>2.0</v>
      </c>
      <c r="M20" s="6" t="s">
        <v>1200</v>
      </c>
      <c r="N20" s="6" t="s">
        <v>1309</v>
      </c>
      <c r="O20" s="6">
        <v>2.0</v>
      </c>
      <c r="P20" s="6">
        <v>2.0</v>
      </c>
      <c r="Q20" s="6" t="s">
        <v>1198</v>
      </c>
      <c r="R20" s="6" t="s">
        <v>875</v>
      </c>
      <c r="S20" s="6" t="s">
        <v>876</v>
      </c>
      <c r="T20" s="6" t="s">
        <v>1310</v>
      </c>
      <c r="U20" s="6" t="s">
        <v>1311</v>
      </c>
      <c r="V20" s="6" t="s">
        <v>1312</v>
      </c>
      <c r="W20" s="6" t="s">
        <v>1205</v>
      </c>
      <c r="X20" s="6" t="s">
        <v>1205</v>
      </c>
      <c r="Y20" s="6" t="s">
        <v>1214</v>
      </c>
      <c r="Z20" s="6" t="s">
        <v>1205</v>
      </c>
      <c r="AA20" s="6" t="s">
        <v>1205</v>
      </c>
      <c r="AB20" s="6" t="s">
        <v>1205</v>
      </c>
      <c r="AC20" s="6" t="s">
        <v>1205</v>
      </c>
      <c r="AD20" s="6" t="s">
        <v>1206</v>
      </c>
      <c r="AE20" s="6" t="s">
        <v>1206</v>
      </c>
      <c r="AF20" s="6" t="s">
        <v>1313</v>
      </c>
    </row>
    <row r="21" ht="15.75" customHeight="1">
      <c r="A21" s="6" t="s">
        <v>1011</v>
      </c>
      <c r="B21" s="6" t="s">
        <v>196</v>
      </c>
      <c r="C21" s="6" t="s">
        <v>259</v>
      </c>
      <c r="D21" s="6" t="s">
        <v>1015</v>
      </c>
      <c r="E21" s="6" t="s">
        <v>1016</v>
      </c>
      <c r="F21" s="6" t="s">
        <v>1307</v>
      </c>
      <c r="G21" s="6">
        <v>1.0</v>
      </c>
      <c r="H21" s="6">
        <v>1.5</v>
      </c>
      <c r="I21" s="6" t="s">
        <v>1198</v>
      </c>
      <c r="J21" s="6" t="s">
        <v>1314</v>
      </c>
      <c r="K21" s="6">
        <v>1.0</v>
      </c>
      <c r="L21" s="6">
        <v>3.0</v>
      </c>
      <c r="M21" s="6" t="s">
        <v>1200</v>
      </c>
      <c r="N21" s="6" t="s">
        <v>1315</v>
      </c>
      <c r="O21" s="6">
        <v>1.5</v>
      </c>
      <c r="P21" s="6">
        <v>2.5</v>
      </c>
      <c r="Q21" s="6" t="s">
        <v>1198</v>
      </c>
      <c r="R21" s="6" t="s">
        <v>835</v>
      </c>
      <c r="S21" s="6" t="s">
        <v>836</v>
      </c>
      <c r="T21" s="6" t="s">
        <v>1316</v>
      </c>
      <c r="U21" s="6" t="s">
        <v>1317</v>
      </c>
      <c r="V21" s="6" t="s">
        <v>1318</v>
      </c>
      <c r="W21" s="6" t="s">
        <v>1214</v>
      </c>
      <c r="X21" s="6" t="s">
        <v>1214</v>
      </c>
      <c r="Y21" s="6" t="s">
        <v>1214</v>
      </c>
      <c r="Z21" s="6" t="s">
        <v>1205</v>
      </c>
      <c r="AA21" s="6" t="s">
        <v>1214</v>
      </c>
      <c r="AB21" s="6" t="s">
        <v>1205</v>
      </c>
      <c r="AC21" s="6" t="s">
        <v>1205</v>
      </c>
      <c r="AD21" s="6" t="s">
        <v>1206</v>
      </c>
      <c r="AE21" s="6" t="s">
        <v>1206</v>
      </c>
      <c r="AF21" s="6" t="s">
        <v>1319</v>
      </c>
    </row>
    <row r="22" ht="15.75" customHeight="1">
      <c r="A22" s="6" t="s">
        <v>1017</v>
      </c>
      <c r="B22" s="6" t="s">
        <v>215</v>
      </c>
      <c r="C22" s="6" t="s">
        <v>259</v>
      </c>
      <c r="D22" s="6" t="s">
        <v>1020</v>
      </c>
      <c r="E22" s="6" t="s">
        <v>1021</v>
      </c>
      <c r="F22" s="6" t="s">
        <v>1307</v>
      </c>
      <c r="G22" s="6">
        <v>1.0</v>
      </c>
      <c r="H22" s="6">
        <v>1.5</v>
      </c>
      <c r="I22" s="6" t="s">
        <v>1198</v>
      </c>
      <c r="J22" s="6" t="s">
        <v>1320</v>
      </c>
      <c r="K22" s="6">
        <v>1.0</v>
      </c>
      <c r="L22" s="6">
        <v>2.0</v>
      </c>
      <c r="M22" s="6" t="s">
        <v>1200</v>
      </c>
      <c r="N22" s="6" t="s">
        <v>1321</v>
      </c>
      <c r="O22" s="6">
        <v>2.0</v>
      </c>
      <c r="P22" s="6">
        <v>2.0</v>
      </c>
      <c r="Q22" s="6" t="s">
        <v>1198</v>
      </c>
      <c r="R22" s="6" t="s">
        <v>859</v>
      </c>
      <c r="S22" s="6" t="s">
        <v>860</v>
      </c>
      <c r="T22" s="6" t="s">
        <v>1322</v>
      </c>
      <c r="U22" s="6" t="s">
        <v>1323</v>
      </c>
      <c r="V22" s="6" t="s">
        <v>1324</v>
      </c>
      <c r="W22" s="6" t="s">
        <v>1214</v>
      </c>
      <c r="X22" s="6" t="s">
        <v>1214</v>
      </c>
      <c r="Y22" s="6" t="s">
        <v>1214</v>
      </c>
      <c r="Z22" s="6" t="s">
        <v>1205</v>
      </c>
      <c r="AA22" s="6" t="s">
        <v>1205</v>
      </c>
      <c r="AB22" s="6" t="s">
        <v>1205</v>
      </c>
      <c r="AC22" s="6" t="s">
        <v>1205</v>
      </c>
      <c r="AD22" s="6" t="s">
        <v>1206</v>
      </c>
      <c r="AE22" s="6" t="s">
        <v>1206</v>
      </c>
      <c r="AF22" s="6" t="s">
        <v>1325</v>
      </c>
    </row>
    <row r="23" ht="15.75" customHeight="1">
      <c r="A23" s="6" t="s">
        <v>1022</v>
      </c>
      <c r="B23" s="6" t="s">
        <v>196</v>
      </c>
      <c r="C23" s="6" t="s">
        <v>254</v>
      </c>
      <c r="D23" s="6" t="s">
        <v>1024</v>
      </c>
      <c r="E23" s="6" t="s">
        <v>1025</v>
      </c>
      <c r="F23" s="6" t="s">
        <v>1288</v>
      </c>
      <c r="G23" s="6">
        <v>1.0</v>
      </c>
      <c r="H23" s="6">
        <v>1.5</v>
      </c>
      <c r="I23" s="6" t="s">
        <v>1198</v>
      </c>
      <c r="J23" s="6" t="s">
        <v>1326</v>
      </c>
      <c r="K23" s="6">
        <v>1.0</v>
      </c>
      <c r="L23" s="6">
        <v>2.0</v>
      </c>
      <c r="M23" s="6" t="s">
        <v>1200</v>
      </c>
      <c r="N23" s="6" t="s">
        <v>1327</v>
      </c>
      <c r="O23" s="6">
        <v>2.0</v>
      </c>
      <c r="P23" s="6">
        <v>2.0</v>
      </c>
      <c r="Q23" s="6" t="s">
        <v>1198</v>
      </c>
      <c r="R23" s="6" t="s">
        <v>835</v>
      </c>
      <c r="S23" s="6" t="s">
        <v>836</v>
      </c>
      <c r="T23" s="6" t="s">
        <v>1328</v>
      </c>
      <c r="U23" s="6" t="s">
        <v>1329</v>
      </c>
      <c r="V23" s="6" t="s">
        <v>887</v>
      </c>
      <c r="W23" s="6" t="s">
        <v>1214</v>
      </c>
      <c r="X23" s="6" t="s">
        <v>1205</v>
      </c>
      <c r="Y23" s="6" t="s">
        <v>1205</v>
      </c>
      <c r="Z23" s="6" t="s">
        <v>1205</v>
      </c>
      <c r="AA23" s="6" t="s">
        <v>1205</v>
      </c>
      <c r="AB23" s="6" t="s">
        <v>1266</v>
      </c>
      <c r="AC23" s="6" t="s">
        <v>1205</v>
      </c>
      <c r="AD23" s="6" t="s">
        <v>1206</v>
      </c>
      <c r="AE23" s="6" t="s">
        <v>1206</v>
      </c>
      <c r="AF23" s="6" t="s">
        <v>1330</v>
      </c>
    </row>
    <row r="24" ht="15.75" customHeight="1">
      <c r="A24" s="6" t="s">
        <v>1026</v>
      </c>
      <c r="B24" s="6" t="s">
        <v>222</v>
      </c>
      <c r="C24" s="6" t="s">
        <v>259</v>
      </c>
      <c r="D24" s="6" t="s">
        <v>1029</v>
      </c>
      <c r="E24" s="6" t="s">
        <v>1030</v>
      </c>
      <c r="F24" s="6" t="s">
        <v>1307</v>
      </c>
      <c r="G24" s="6">
        <v>1.0</v>
      </c>
      <c r="H24" s="6">
        <v>1.5</v>
      </c>
      <c r="I24" s="6" t="s">
        <v>1198</v>
      </c>
      <c r="J24" s="6" t="s">
        <v>1331</v>
      </c>
      <c r="K24" s="6">
        <v>1.0</v>
      </c>
      <c r="L24" s="6">
        <v>3.0</v>
      </c>
      <c r="M24" s="6" t="s">
        <v>1200</v>
      </c>
      <c r="N24" s="6" t="s">
        <v>1332</v>
      </c>
      <c r="O24" s="6">
        <v>2.0</v>
      </c>
      <c r="P24" s="6">
        <v>2.5</v>
      </c>
      <c r="Q24" s="6" t="s">
        <v>1198</v>
      </c>
      <c r="R24" s="6" t="s">
        <v>867</v>
      </c>
      <c r="S24" s="6" t="s">
        <v>868</v>
      </c>
      <c r="T24" s="6" t="s">
        <v>1333</v>
      </c>
      <c r="U24" s="6" t="s">
        <v>1334</v>
      </c>
      <c r="V24" s="6" t="s">
        <v>1335</v>
      </c>
      <c r="W24" s="6" t="s">
        <v>1214</v>
      </c>
      <c r="X24" s="6" t="s">
        <v>1214</v>
      </c>
      <c r="Y24" s="6" t="s">
        <v>1214</v>
      </c>
      <c r="Z24" s="6" t="s">
        <v>1205</v>
      </c>
      <c r="AA24" s="6" t="s">
        <v>1205</v>
      </c>
      <c r="AB24" s="6" t="s">
        <v>1205</v>
      </c>
      <c r="AC24" s="6" t="s">
        <v>1205</v>
      </c>
      <c r="AD24" s="6" t="s">
        <v>1206</v>
      </c>
      <c r="AE24" s="6" t="s">
        <v>1206</v>
      </c>
      <c r="AF24" s="6" t="s">
        <v>1336</v>
      </c>
    </row>
    <row r="25" ht="15.75" customHeight="1">
      <c r="A25" s="6" t="s">
        <v>1031</v>
      </c>
      <c r="B25" s="6" t="s">
        <v>202</v>
      </c>
      <c r="C25" s="6" t="s">
        <v>259</v>
      </c>
      <c r="D25" s="6" t="s">
        <v>1033</v>
      </c>
      <c r="E25" s="6" t="s">
        <v>1034</v>
      </c>
      <c r="F25" s="6" t="s">
        <v>1307</v>
      </c>
      <c r="G25" s="6">
        <v>1.0</v>
      </c>
      <c r="H25" s="6">
        <v>1.5</v>
      </c>
      <c r="I25" s="6" t="s">
        <v>1198</v>
      </c>
      <c r="J25" s="6" t="s">
        <v>1337</v>
      </c>
      <c r="K25" s="6">
        <v>1.0</v>
      </c>
      <c r="L25" s="6">
        <v>2.0</v>
      </c>
      <c r="M25" s="6" t="s">
        <v>1200</v>
      </c>
      <c r="N25" s="6" t="s">
        <v>1338</v>
      </c>
      <c r="O25" s="6">
        <v>2.0</v>
      </c>
      <c r="P25" s="6">
        <v>2.0</v>
      </c>
      <c r="Q25" s="6" t="s">
        <v>1198</v>
      </c>
      <c r="R25" s="6" t="s">
        <v>843</v>
      </c>
      <c r="S25" s="6" t="s">
        <v>844</v>
      </c>
      <c r="T25" s="6" t="s">
        <v>1339</v>
      </c>
      <c r="U25" s="6" t="s">
        <v>1340</v>
      </c>
      <c r="V25" s="6" t="s">
        <v>1341</v>
      </c>
      <c r="W25" s="6" t="s">
        <v>1205</v>
      </c>
      <c r="X25" s="6" t="s">
        <v>1205</v>
      </c>
      <c r="Y25" s="6" t="s">
        <v>1214</v>
      </c>
      <c r="Z25" s="6" t="s">
        <v>1205</v>
      </c>
      <c r="AA25" s="6" t="s">
        <v>1205</v>
      </c>
      <c r="AB25" s="6" t="s">
        <v>1205</v>
      </c>
      <c r="AC25" s="6" t="s">
        <v>1205</v>
      </c>
      <c r="AD25" s="6" t="s">
        <v>1206</v>
      </c>
      <c r="AE25" s="6" t="s">
        <v>1206</v>
      </c>
      <c r="AF25" s="6" t="s">
        <v>1342</v>
      </c>
    </row>
    <row r="26" ht="15.75" customHeight="1">
      <c r="A26" s="6" t="s">
        <v>1035</v>
      </c>
      <c r="B26" s="6" t="s">
        <v>238</v>
      </c>
      <c r="C26" s="6" t="s">
        <v>259</v>
      </c>
      <c r="D26" s="6" t="s">
        <v>1039</v>
      </c>
      <c r="E26" s="6" t="s">
        <v>1040</v>
      </c>
      <c r="F26" s="6" t="s">
        <v>1307</v>
      </c>
      <c r="G26" s="6">
        <v>1.0</v>
      </c>
      <c r="H26" s="6">
        <v>1.5</v>
      </c>
      <c r="I26" s="6" t="s">
        <v>1198</v>
      </c>
      <c r="J26" s="6" t="s">
        <v>1343</v>
      </c>
      <c r="K26" s="6">
        <v>1.0</v>
      </c>
      <c r="L26" s="6">
        <v>2.0</v>
      </c>
      <c r="M26" s="6" t="s">
        <v>1218</v>
      </c>
      <c r="N26" s="6" t="s">
        <v>1344</v>
      </c>
      <c r="O26" s="6">
        <v>1.0</v>
      </c>
      <c r="P26" s="6">
        <v>2.0</v>
      </c>
      <c r="Q26" s="6" t="s">
        <v>1198</v>
      </c>
      <c r="R26" s="6" t="s">
        <v>884</v>
      </c>
      <c r="S26" s="6" t="s">
        <v>885</v>
      </c>
      <c r="T26" s="6" t="s">
        <v>1345</v>
      </c>
      <c r="U26" s="6" t="s">
        <v>1346</v>
      </c>
      <c r="V26" s="6" t="s">
        <v>1347</v>
      </c>
      <c r="W26" s="6" t="s">
        <v>1214</v>
      </c>
      <c r="X26" s="6" t="s">
        <v>1214</v>
      </c>
      <c r="Y26" s="6" t="s">
        <v>1214</v>
      </c>
      <c r="Z26" s="6" t="s">
        <v>1205</v>
      </c>
      <c r="AA26" s="6" t="s">
        <v>1205</v>
      </c>
      <c r="AB26" s="6" t="s">
        <v>1348</v>
      </c>
      <c r="AC26" s="6" t="s">
        <v>1205</v>
      </c>
      <c r="AD26" s="6" t="s">
        <v>1206</v>
      </c>
      <c r="AE26" s="6" t="s">
        <v>1206</v>
      </c>
      <c r="AF26" s="6" t="s">
        <v>1349</v>
      </c>
    </row>
    <row r="27" ht="15.75" customHeight="1">
      <c r="A27" s="6" t="s">
        <v>1041</v>
      </c>
      <c r="B27" s="6" t="s">
        <v>238</v>
      </c>
      <c r="C27" s="6" t="s">
        <v>259</v>
      </c>
      <c r="D27" s="6" t="s">
        <v>1043</v>
      </c>
      <c r="E27" s="6" t="s">
        <v>1044</v>
      </c>
      <c r="F27" s="6" t="s">
        <v>1350</v>
      </c>
      <c r="G27" s="6">
        <v>1.25</v>
      </c>
      <c r="H27" s="6">
        <v>1.5</v>
      </c>
      <c r="I27" s="6" t="s">
        <v>1198</v>
      </c>
      <c r="J27" s="6" t="s">
        <v>1351</v>
      </c>
      <c r="K27" s="6">
        <v>1.0</v>
      </c>
      <c r="L27" s="6">
        <v>3.0</v>
      </c>
      <c r="M27" s="6" t="s">
        <v>1200</v>
      </c>
      <c r="N27" s="6" t="s">
        <v>1352</v>
      </c>
      <c r="O27" s="6">
        <v>2.0</v>
      </c>
      <c r="P27" s="6">
        <v>2.0</v>
      </c>
      <c r="Q27" s="6" t="s">
        <v>1198</v>
      </c>
      <c r="R27" s="6" t="s">
        <v>884</v>
      </c>
      <c r="S27" s="6" t="s">
        <v>885</v>
      </c>
      <c r="T27" s="6" t="s">
        <v>1353</v>
      </c>
      <c r="U27" s="6" t="s">
        <v>1354</v>
      </c>
      <c r="V27" s="6" t="s">
        <v>1355</v>
      </c>
      <c r="W27" s="6" t="s">
        <v>1214</v>
      </c>
      <c r="X27" s="6" t="s">
        <v>1205</v>
      </c>
      <c r="Y27" s="6" t="s">
        <v>1205</v>
      </c>
      <c r="Z27" s="6" t="s">
        <v>1214</v>
      </c>
      <c r="AA27" s="6" t="s">
        <v>1205</v>
      </c>
      <c r="AB27" s="6" t="s">
        <v>1266</v>
      </c>
      <c r="AC27" s="6" t="s">
        <v>1205</v>
      </c>
      <c r="AD27" s="6" t="s">
        <v>1206</v>
      </c>
      <c r="AE27" s="6" t="s">
        <v>1206</v>
      </c>
      <c r="AF27" s="6" t="s">
        <v>1356</v>
      </c>
    </row>
    <row r="28" ht="15.75" customHeight="1">
      <c r="A28" s="6" t="s">
        <v>1045</v>
      </c>
      <c r="B28" s="6" t="s">
        <v>202</v>
      </c>
      <c r="C28" s="6" t="s">
        <v>255</v>
      </c>
      <c r="D28" s="6" t="s">
        <v>1048</v>
      </c>
      <c r="E28" s="6" t="s">
        <v>1049</v>
      </c>
      <c r="F28" s="6" t="s">
        <v>1357</v>
      </c>
      <c r="G28" s="6">
        <v>1.0</v>
      </c>
      <c r="H28" s="6">
        <v>1.5</v>
      </c>
      <c r="I28" s="6" t="s">
        <v>1198</v>
      </c>
      <c r="J28" s="6" t="s">
        <v>1358</v>
      </c>
      <c r="K28" s="6">
        <v>1.0</v>
      </c>
      <c r="L28" s="6">
        <v>3.0</v>
      </c>
      <c r="M28" s="6" t="s">
        <v>1218</v>
      </c>
      <c r="N28" s="6" t="s">
        <v>1359</v>
      </c>
      <c r="O28" s="6">
        <v>2.0</v>
      </c>
      <c r="P28" s="6">
        <v>2.5</v>
      </c>
      <c r="Q28" s="6" t="s">
        <v>1198</v>
      </c>
      <c r="R28" s="6" t="s">
        <v>843</v>
      </c>
      <c r="S28" s="6" t="s">
        <v>844</v>
      </c>
      <c r="T28" s="6" t="s">
        <v>1360</v>
      </c>
      <c r="U28" s="6" t="s">
        <v>1361</v>
      </c>
      <c r="V28" s="6" t="s">
        <v>1362</v>
      </c>
      <c r="W28" s="6" t="s">
        <v>1214</v>
      </c>
      <c r="X28" s="6" t="s">
        <v>1205</v>
      </c>
      <c r="Y28" s="6" t="s">
        <v>1205</v>
      </c>
      <c r="Z28" s="6" t="s">
        <v>1205</v>
      </c>
      <c r="AA28" s="6" t="s">
        <v>1205</v>
      </c>
      <c r="AB28" s="6" t="s">
        <v>1266</v>
      </c>
      <c r="AC28" s="6" t="s">
        <v>1205</v>
      </c>
      <c r="AD28" s="6" t="s">
        <v>1206</v>
      </c>
      <c r="AE28" s="6" t="s">
        <v>1206</v>
      </c>
      <c r="AF28" s="6" t="s">
        <v>1363</v>
      </c>
    </row>
    <row r="29" ht="15.75" customHeight="1">
      <c r="A29" s="6" t="s">
        <v>1050</v>
      </c>
      <c r="B29" s="6" t="s">
        <v>222</v>
      </c>
      <c r="C29" s="6" t="s">
        <v>255</v>
      </c>
      <c r="D29" s="6" t="s">
        <v>1053</v>
      </c>
      <c r="E29" s="6" t="s">
        <v>1054</v>
      </c>
      <c r="F29" s="6" t="s">
        <v>1307</v>
      </c>
      <c r="G29" s="6">
        <v>1.0</v>
      </c>
      <c r="H29" s="6">
        <v>1.5</v>
      </c>
      <c r="I29" s="6" t="s">
        <v>1198</v>
      </c>
      <c r="J29" s="6" t="s">
        <v>1364</v>
      </c>
      <c r="K29" s="6">
        <v>1.0</v>
      </c>
      <c r="L29" s="6">
        <v>3.0</v>
      </c>
      <c r="M29" s="6" t="s">
        <v>1200</v>
      </c>
      <c r="N29" s="6" t="s">
        <v>1365</v>
      </c>
      <c r="O29" s="6">
        <v>1.5</v>
      </c>
      <c r="P29" s="6">
        <v>2.5</v>
      </c>
      <c r="Q29" s="6" t="s">
        <v>1198</v>
      </c>
      <c r="R29" s="6" t="s">
        <v>867</v>
      </c>
      <c r="S29" s="6" t="s">
        <v>868</v>
      </c>
      <c r="T29" s="6" t="s">
        <v>1366</v>
      </c>
      <c r="U29" s="6" t="s">
        <v>1367</v>
      </c>
      <c r="V29" s="6" t="s">
        <v>1368</v>
      </c>
      <c r="W29" s="6" t="s">
        <v>1214</v>
      </c>
      <c r="X29" s="6" t="s">
        <v>1214</v>
      </c>
      <c r="Y29" s="6" t="s">
        <v>1214</v>
      </c>
      <c r="Z29" s="6" t="s">
        <v>1214</v>
      </c>
      <c r="AA29" s="6" t="s">
        <v>1214</v>
      </c>
      <c r="AB29" s="6" t="s">
        <v>1205</v>
      </c>
      <c r="AC29" s="6" t="s">
        <v>1205</v>
      </c>
      <c r="AD29" s="6" t="s">
        <v>1206</v>
      </c>
      <c r="AE29" s="6" t="s">
        <v>1206</v>
      </c>
      <c r="AF29" s="6" t="s">
        <v>1369</v>
      </c>
    </row>
    <row r="30" ht="15.75" customHeight="1">
      <c r="A30" s="6" t="s">
        <v>1055</v>
      </c>
      <c r="B30" s="6" t="s">
        <v>222</v>
      </c>
      <c r="C30" s="6" t="s">
        <v>259</v>
      </c>
      <c r="D30" s="6" t="s">
        <v>1059</v>
      </c>
      <c r="E30" s="6" t="s">
        <v>1060</v>
      </c>
      <c r="F30" s="6" t="s">
        <v>1307</v>
      </c>
      <c r="G30" s="6">
        <v>1.0</v>
      </c>
      <c r="H30" s="6">
        <v>1.5</v>
      </c>
      <c r="I30" s="6" t="s">
        <v>1198</v>
      </c>
      <c r="J30" s="6" t="s">
        <v>1370</v>
      </c>
      <c r="K30" s="6">
        <v>1.0</v>
      </c>
      <c r="L30" s="6">
        <v>3.0</v>
      </c>
      <c r="M30" s="6" t="s">
        <v>1200</v>
      </c>
      <c r="N30" s="6" t="s">
        <v>1371</v>
      </c>
      <c r="O30" s="6">
        <v>3.5</v>
      </c>
      <c r="P30" s="6">
        <v>2.5</v>
      </c>
      <c r="Q30" s="6" t="s">
        <v>1198</v>
      </c>
      <c r="R30" s="6" t="s">
        <v>867</v>
      </c>
      <c r="S30" s="6" t="s">
        <v>868</v>
      </c>
      <c r="T30" s="6" t="s">
        <v>1372</v>
      </c>
      <c r="U30" s="6" t="s">
        <v>1373</v>
      </c>
      <c r="V30" s="6" t="s">
        <v>1374</v>
      </c>
      <c r="W30" s="6" t="s">
        <v>1214</v>
      </c>
      <c r="X30" s="6" t="s">
        <v>1214</v>
      </c>
      <c r="Y30" s="6" t="s">
        <v>1214</v>
      </c>
      <c r="Z30" s="6" t="s">
        <v>1205</v>
      </c>
      <c r="AA30" s="6" t="s">
        <v>1214</v>
      </c>
      <c r="AB30" s="6" t="s">
        <v>1205</v>
      </c>
      <c r="AC30" s="6" t="s">
        <v>1205</v>
      </c>
      <c r="AD30" s="6" t="s">
        <v>1206</v>
      </c>
      <c r="AE30" s="6" t="s">
        <v>1206</v>
      </c>
      <c r="AF30" s="6" t="s">
        <v>1375</v>
      </c>
    </row>
    <row r="31" ht="15.75" customHeight="1">
      <c r="A31" s="6" t="s">
        <v>1061</v>
      </c>
      <c r="B31" s="6" t="s">
        <v>238</v>
      </c>
      <c r="C31" s="6" t="s">
        <v>254</v>
      </c>
      <c r="D31" s="6" t="s">
        <v>1064</v>
      </c>
      <c r="E31" s="6" t="s">
        <v>1065</v>
      </c>
      <c r="F31" s="6" t="s">
        <v>1376</v>
      </c>
      <c r="G31" s="6">
        <v>1.25</v>
      </c>
      <c r="H31" s="6">
        <v>1.5</v>
      </c>
      <c r="I31" s="6" t="s">
        <v>1198</v>
      </c>
      <c r="J31" s="6" t="s">
        <v>1377</v>
      </c>
      <c r="K31" s="6">
        <v>1.0</v>
      </c>
      <c r="L31" s="6">
        <v>2.0</v>
      </c>
      <c r="M31" s="6" t="s">
        <v>1200</v>
      </c>
      <c r="N31" s="6" t="s">
        <v>1378</v>
      </c>
      <c r="O31" s="6">
        <v>2.0</v>
      </c>
      <c r="P31" s="6">
        <v>2.0</v>
      </c>
      <c r="Q31" s="6" t="s">
        <v>1198</v>
      </c>
      <c r="R31" s="6" t="s">
        <v>884</v>
      </c>
      <c r="S31" s="6" t="s">
        <v>885</v>
      </c>
      <c r="T31" s="6" t="s">
        <v>1379</v>
      </c>
      <c r="U31" s="6" t="s">
        <v>1292</v>
      </c>
      <c r="V31" s="6" t="s">
        <v>1380</v>
      </c>
      <c r="W31" s="6" t="s">
        <v>1205</v>
      </c>
      <c r="X31" s="6" t="s">
        <v>1205</v>
      </c>
      <c r="Y31" s="6" t="s">
        <v>1205</v>
      </c>
      <c r="Z31" s="6" t="s">
        <v>1205</v>
      </c>
      <c r="AA31" s="6" t="s">
        <v>1205</v>
      </c>
      <c r="AB31" s="6" t="s">
        <v>1205</v>
      </c>
      <c r="AC31" s="6" t="s">
        <v>1205</v>
      </c>
      <c r="AD31" s="6" t="s">
        <v>1206</v>
      </c>
      <c r="AE31" s="6" t="s">
        <v>1206</v>
      </c>
      <c r="AF31" s="6" t="s">
        <v>1381</v>
      </c>
    </row>
    <row r="32" ht="15.75" customHeight="1">
      <c r="A32" s="6" t="s">
        <v>1066</v>
      </c>
      <c r="B32" s="6" t="s">
        <v>238</v>
      </c>
      <c r="C32" s="6" t="s">
        <v>254</v>
      </c>
      <c r="D32" s="6" t="s">
        <v>1068</v>
      </c>
      <c r="E32" s="6" t="s">
        <v>1069</v>
      </c>
      <c r="F32" s="6" t="s">
        <v>1382</v>
      </c>
      <c r="G32" s="6">
        <v>1.25</v>
      </c>
      <c r="H32" s="6">
        <v>1.5</v>
      </c>
      <c r="I32" s="6" t="s">
        <v>1198</v>
      </c>
      <c r="J32" s="6" t="s">
        <v>1383</v>
      </c>
      <c r="K32" s="6">
        <v>1.0</v>
      </c>
      <c r="L32" s="6">
        <v>3.0</v>
      </c>
      <c r="M32" s="6" t="s">
        <v>1218</v>
      </c>
      <c r="N32" s="6" t="s">
        <v>1384</v>
      </c>
      <c r="O32" s="6">
        <v>1.0</v>
      </c>
      <c r="P32" s="6">
        <v>2.5</v>
      </c>
      <c r="Q32" s="6" t="s">
        <v>1198</v>
      </c>
      <c r="R32" s="6" t="s">
        <v>884</v>
      </c>
      <c r="S32" s="6" t="s">
        <v>885</v>
      </c>
      <c r="T32" s="6" t="s">
        <v>1385</v>
      </c>
      <c r="U32" s="6" t="s">
        <v>1386</v>
      </c>
      <c r="V32" s="6" t="s">
        <v>1387</v>
      </c>
      <c r="W32" s="6" t="s">
        <v>1214</v>
      </c>
      <c r="X32" s="6" t="s">
        <v>1205</v>
      </c>
      <c r="Y32" s="6" t="s">
        <v>1205</v>
      </c>
      <c r="Z32" s="6" t="s">
        <v>1205</v>
      </c>
      <c r="AA32" s="6" t="s">
        <v>1205</v>
      </c>
      <c r="AB32" s="6" t="s">
        <v>1266</v>
      </c>
      <c r="AC32" s="6" t="s">
        <v>1205</v>
      </c>
      <c r="AD32" s="6" t="s">
        <v>1206</v>
      </c>
      <c r="AE32" s="6" t="s">
        <v>1206</v>
      </c>
      <c r="AF32" s="6" t="s">
        <v>1388</v>
      </c>
    </row>
    <row r="33" ht="15.75" customHeight="1">
      <c r="A33" s="6" t="s">
        <v>1070</v>
      </c>
      <c r="B33" s="6" t="s">
        <v>238</v>
      </c>
      <c r="C33" s="6" t="s">
        <v>254</v>
      </c>
      <c r="D33" s="6" t="s">
        <v>1072</v>
      </c>
      <c r="E33" s="6" t="s">
        <v>1073</v>
      </c>
      <c r="F33" s="6" t="s">
        <v>1307</v>
      </c>
      <c r="G33" s="6">
        <v>1.0</v>
      </c>
      <c r="H33" s="6">
        <v>1.5</v>
      </c>
      <c r="I33" s="6" t="s">
        <v>1198</v>
      </c>
      <c r="J33" s="6" t="s">
        <v>1389</v>
      </c>
      <c r="K33" s="6">
        <v>1.0</v>
      </c>
      <c r="L33" s="6">
        <v>2.0</v>
      </c>
      <c r="M33" s="6" t="s">
        <v>1200</v>
      </c>
      <c r="N33" s="6" t="s">
        <v>1390</v>
      </c>
      <c r="O33" s="6">
        <v>2.0</v>
      </c>
      <c r="P33" s="6">
        <v>2.0</v>
      </c>
      <c r="Q33" s="6" t="s">
        <v>1198</v>
      </c>
      <c r="R33" s="6" t="s">
        <v>884</v>
      </c>
      <c r="S33" s="6" t="s">
        <v>885</v>
      </c>
      <c r="T33" s="6" t="s">
        <v>1391</v>
      </c>
      <c r="U33" s="6" t="s">
        <v>1392</v>
      </c>
      <c r="V33" s="6" t="s">
        <v>1393</v>
      </c>
      <c r="W33" s="6" t="s">
        <v>1214</v>
      </c>
      <c r="X33" s="6" t="s">
        <v>1205</v>
      </c>
      <c r="Y33" s="6" t="s">
        <v>1214</v>
      </c>
      <c r="Z33" s="6" t="s">
        <v>1205</v>
      </c>
      <c r="AA33" s="6" t="s">
        <v>1205</v>
      </c>
      <c r="AB33" s="6" t="s">
        <v>1266</v>
      </c>
      <c r="AC33" s="6" t="s">
        <v>1205</v>
      </c>
      <c r="AD33" s="6" t="s">
        <v>1206</v>
      </c>
      <c r="AE33" s="6" t="s">
        <v>1206</v>
      </c>
      <c r="AF33" s="6" t="s">
        <v>1394</v>
      </c>
    </row>
    <row r="34" ht="15.75" customHeight="1">
      <c r="A34" s="6" t="s">
        <v>1074</v>
      </c>
      <c r="B34" s="6" t="s">
        <v>244</v>
      </c>
      <c r="C34" s="6" t="s">
        <v>258</v>
      </c>
      <c r="D34" s="6" t="s">
        <v>1078</v>
      </c>
      <c r="E34" s="6" t="s">
        <v>1079</v>
      </c>
      <c r="F34" s="6" t="s">
        <v>1395</v>
      </c>
      <c r="G34" s="6">
        <v>1.5</v>
      </c>
      <c r="H34" s="6">
        <v>1.5</v>
      </c>
      <c r="I34" s="6" t="s">
        <v>1198</v>
      </c>
      <c r="J34" s="6" t="s">
        <v>1396</v>
      </c>
      <c r="K34" s="6">
        <v>1.0</v>
      </c>
      <c r="L34" s="6">
        <v>3.0</v>
      </c>
      <c r="M34" s="6" t="s">
        <v>1218</v>
      </c>
      <c r="N34" s="6" t="s">
        <v>1397</v>
      </c>
      <c r="O34" s="6">
        <v>2.0</v>
      </c>
      <c r="P34" s="6">
        <v>2.5</v>
      </c>
      <c r="Q34" s="6" t="s">
        <v>1198</v>
      </c>
      <c r="R34" s="6" t="s">
        <v>892</v>
      </c>
      <c r="S34" s="6" t="s">
        <v>893</v>
      </c>
      <c r="T34" s="6" t="s">
        <v>1398</v>
      </c>
      <c r="U34" s="6" t="s">
        <v>1399</v>
      </c>
      <c r="V34" s="6" t="s">
        <v>1400</v>
      </c>
      <c r="W34" s="6" t="s">
        <v>1214</v>
      </c>
      <c r="X34" s="6" t="s">
        <v>1214</v>
      </c>
      <c r="Y34" s="6" t="s">
        <v>1214</v>
      </c>
      <c r="Z34" s="6" t="s">
        <v>1205</v>
      </c>
      <c r="AA34" s="6" t="s">
        <v>1205</v>
      </c>
      <c r="AB34" s="6" t="s">
        <v>1205</v>
      </c>
      <c r="AC34" s="6" t="s">
        <v>1205</v>
      </c>
      <c r="AD34" s="6" t="s">
        <v>1206</v>
      </c>
      <c r="AE34" s="6" t="s">
        <v>1206</v>
      </c>
      <c r="AF34" s="6" t="s">
        <v>1401</v>
      </c>
    </row>
    <row r="35" ht="15.75" customHeight="1">
      <c r="A35" s="6" t="s">
        <v>1080</v>
      </c>
      <c r="B35" s="6" t="s">
        <v>202</v>
      </c>
      <c r="C35" s="6" t="s">
        <v>255</v>
      </c>
      <c r="D35" s="6" t="s">
        <v>1083</v>
      </c>
      <c r="E35" s="6" t="s">
        <v>1084</v>
      </c>
      <c r="F35" s="6" t="s">
        <v>1402</v>
      </c>
      <c r="G35" s="6">
        <v>1.0</v>
      </c>
      <c r="H35" s="6">
        <v>1.5</v>
      </c>
      <c r="I35" s="6" t="s">
        <v>1198</v>
      </c>
      <c r="J35" s="6" t="s">
        <v>1403</v>
      </c>
      <c r="K35" s="6">
        <v>1.0</v>
      </c>
      <c r="L35" s="6">
        <v>2.0</v>
      </c>
      <c r="M35" s="6" t="s">
        <v>1200</v>
      </c>
      <c r="N35" s="6" t="s">
        <v>1404</v>
      </c>
      <c r="O35" s="6">
        <v>2.0</v>
      </c>
      <c r="P35" s="6">
        <v>2.0</v>
      </c>
      <c r="Q35" s="6" t="s">
        <v>1198</v>
      </c>
      <c r="R35" s="6" t="s">
        <v>843</v>
      </c>
      <c r="S35" s="6" t="s">
        <v>844</v>
      </c>
      <c r="T35" s="6" t="s">
        <v>1405</v>
      </c>
      <c r="U35" s="6" t="s">
        <v>1406</v>
      </c>
      <c r="V35" s="6" t="s">
        <v>1407</v>
      </c>
      <c r="W35" s="6" t="s">
        <v>1214</v>
      </c>
      <c r="X35" s="6" t="s">
        <v>1205</v>
      </c>
      <c r="Y35" s="6" t="s">
        <v>1214</v>
      </c>
      <c r="Z35" s="6" t="s">
        <v>1205</v>
      </c>
      <c r="AA35" s="6" t="s">
        <v>1205</v>
      </c>
      <c r="AB35" s="6" t="s">
        <v>1205</v>
      </c>
      <c r="AC35" s="6" t="s">
        <v>1214</v>
      </c>
      <c r="AD35" s="6" t="s">
        <v>1206</v>
      </c>
      <c r="AE35" s="6" t="s">
        <v>1206</v>
      </c>
      <c r="AF35" s="6" t="s">
        <v>1408</v>
      </c>
    </row>
    <row r="36" ht="15.75" customHeight="1">
      <c r="A36" s="6" t="s">
        <v>1085</v>
      </c>
      <c r="B36" s="6" t="s">
        <v>230</v>
      </c>
      <c r="C36" s="6" t="s">
        <v>257</v>
      </c>
      <c r="D36" s="6" t="s">
        <v>1087</v>
      </c>
      <c r="E36" s="6" t="s">
        <v>1088</v>
      </c>
      <c r="F36" s="6" t="s">
        <v>1288</v>
      </c>
      <c r="G36" s="6">
        <v>1.0</v>
      </c>
      <c r="H36" s="6">
        <v>1.5</v>
      </c>
      <c r="I36" s="6" t="s">
        <v>1198</v>
      </c>
      <c r="J36" s="6" t="s">
        <v>1409</v>
      </c>
      <c r="K36" s="6">
        <v>1.0</v>
      </c>
      <c r="L36" s="6">
        <v>2.0</v>
      </c>
      <c r="M36" s="6" t="s">
        <v>1200</v>
      </c>
      <c r="N36" s="6" t="s">
        <v>1410</v>
      </c>
      <c r="O36" s="6">
        <v>2.0</v>
      </c>
      <c r="P36" s="6">
        <v>2.0</v>
      </c>
      <c r="Q36" s="6" t="s">
        <v>1198</v>
      </c>
      <c r="R36" s="6" t="s">
        <v>875</v>
      </c>
      <c r="S36" s="6" t="s">
        <v>876</v>
      </c>
      <c r="T36" s="6" t="s">
        <v>1411</v>
      </c>
      <c r="U36" s="6" t="s">
        <v>1412</v>
      </c>
      <c r="V36" s="6" t="s">
        <v>1413</v>
      </c>
      <c r="W36" s="6" t="s">
        <v>1205</v>
      </c>
      <c r="X36" s="6" t="s">
        <v>1205</v>
      </c>
      <c r="Y36" s="6" t="s">
        <v>1214</v>
      </c>
      <c r="Z36" s="6" t="s">
        <v>1205</v>
      </c>
      <c r="AA36" s="6" t="s">
        <v>1205</v>
      </c>
      <c r="AB36" s="6" t="s">
        <v>1205</v>
      </c>
      <c r="AC36" s="6" t="s">
        <v>1205</v>
      </c>
      <c r="AD36" s="6" t="s">
        <v>1206</v>
      </c>
      <c r="AE36" s="6" t="s">
        <v>1206</v>
      </c>
      <c r="AF36" s="6" t="s">
        <v>1414</v>
      </c>
    </row>
    <row r="37" ht="15.75" customHeight="1">
      <c r="A37" s="6" t="s">
        <v>1089</v>
      </c>
      <c r="B37" s="6" t="s">
        <v>202</v>
      </c>
      <c r="C37" s="6" t="s">
        <v>257</v>
      </c>
      <c r="D37" s="6" t="s">
        <v>1091</v>
      </c>
      <c r="E37" s="6" t="s">
        <v>1092</v>
      </c>
      <c r="F37" s="6" t="s">
        <v>1307</v>
      </c>
      <c r="G37" s="6">
        <v>1.0</v>
      </c>
      <c r="H37" s="6">
        <v>1.5</v>
      </c>
      <c r="I37" s="6" t="s">
        <v>1198</v>
      </c>
      <c r="J37" s="6" t="s">
        <v>1415</v>
      </c>
      <c r="K37" s="6">
        <v>1.0</v>
      </c>
      <c r="L37" s="6">
        <v>3.0</v>
      </c>
      <c r="M37" s="6" t="s">
        <v>1200</v>
      </c>
      <c r="N37" s="6" t="s">
        <v>1416</v>
      </c>
      <c r="O37" s="6">
        <v>2.0</v>
      </c>
      <c r="P37" s="6">
        <v>2.5</v>
      </c>
      <c r="Q37" s="6" t="s">
        <v>1198</v>
      </c>
      <c r="R37" s="6" t="s">
        <v>843</v>
      </c>
      <c r="S37" s="6" t="s">
        <v>844</v>
      </c>
      <c r="T37" s="6" t="s">
        <v>1417</v>
      </c>
      <c r="U37" s="6" t="s">
        <v>1418</v>
      </c>
      <c r="V37" s="6" t="s">
        <v>1419</v>
      </c>
      <c r="W37" s="6" t="s">
        <v>1214</v>
      </c>
      <c r="X37" s="6" t="s">
        <v>1214</v>
      </c>
      <c r="Y37" s="6" t="s">
        <v>1205</v>
      </c>
      <c r="Z37" s="6" t="s">
        <v>1205</v>
      </c>
      <c r="AA37" s="6" t="s">
        <v>1205</v>
      </c>
      <c r="AB37" s="6" t="s">
        <v>1223</v>
      </c>
      <c r="AC37" s="6" t="s">
        <v>1214</v>
      </c>
      <c r="AD37" s="6" t="s">
        <v>1206</v>
      </c>
      <c r="AE37" s="6" t="s">
        <v>1206</v>
      </c>
      <c r="AF37" s="6" t="s">
        <v>1420</v>
      </c>
    </row>
    <row r="38" ht="15.75" customHeight="1">
      <c r="A38" s="6" t="s">
        <v>1093</v>
      </c>
      <c r="B38" s="6" t="s">
        <v>202</v>
      </c>
      <c r="C38" s="6" t="s">
        <v>255</v>
      </c>
      <c r="D38" s="6" t="s">
        <v>1095</v>
      </c>
      <c r="E38" s="6" t="s">
        <v>1096</v>
      </c>
      <c r="F38" s="6" t="s">
        <v>1307</v>
      </c>
      <c r="G38" s="6">
        <v>1.0</v>
      </c>
      <c r="H38" s="6">
        <v>1.5</v>
      </c>
      <c r="I38" s="6" t="s">
        <v>1198</v>
      </c>
      <c r="J38" s="6" t="s">
        <v>1421</v>
      </c>
      <c r="K38" s="6">
        <v>1.0</v>
      </c>
      <c r="L38" s="6">
        <v>2.0</v>
      </c>
      <c r="M38" s="6" t="s">
        <v>1218</v>
      </c>
      <c r="N38" s="6" t="s">
        <v>1290</v>
      </c>
      <c r="O38" s="6">
        <v>1.0</v>
      </c>
      <c r="P38" s="6">
        <v>2.0</v>
      </c>
      <c r="Q38" s="6" t="s">
        <v>1198</v>
      </c>
      <c r="R38" s="6" t="s">
        <v>843</v>
      </c>
      <c r="S38" s="6" t="s">
        <v>844</v>
      </c>
      <c r="T38" s="6" t="s">
        <v>1422</v>
      </c>
      <c r="U38" s="6" t="s">
        <v>1392</v>
      </c>
      <c r="V38" s="6" t="s">
        <v>1423</v>
      </c>
      <c r="W38" s="6" t="s">
        <v>1214</v>
      </c>
      <c r="X38" s="6" t="s">
        <v>1205</v>
      </c>
      <c r="Y38" s="6" t="s">
        <v>1214</v>
      </c>
      <c r="Z38" s="6" t="s">
        <v>1205</v>
      </c>
      <c r="AA38" s="6" t="s">
        <v>1205</v>
      </c>
      <c r="AB38" s="6" t="s">
        <v>1205</v>
      </c>
      <c r="AC38" s="6" t="s">
        <v>1205</v>
      </c>
      <c r="AD38" s="6" t="s">
        <v>1206</v>
      </c>
      <c r="AE38" s="6" t="s">
        <v>1206</v>
      </c>
      <c r="AF38" s="6" t="s">
        <v>1424</v>
      </c>
    </row>
    <row r="39" ht="15.75" customHeight="1">
      <c r="A39" s="6" t="s">
        <v>1097</v>
      </c>
      <c r="B39" s="6" t="s">
        <v>230</v>
      </c>
      <c r="C39" s="6" t="s">
        <v>257</v>
      </c>
      <c r="D39" s="6" t="s">
        <v>1099</v>
      </c>
      <c r="E39" s="6" t="s">
        <v>1100</v>
      </c>
      <c r="F39" s="6" t="s">
        <v>1425</v>
      </c>
      <c r="G39" s="6">
        <v>1.0</v>
      </c>
      <c r="H39" s="6">
        <v>1.5</v>
      </c>
      <c r="I39" s="6" t="s">
        <v>1198</v>
      </c>
      <c r="J39" s="6" t="s">
        <v>1426</v>
      </c>
      <c r="K39" s="6">
        <v>1.0</v>
      </c>
      <c r="L39" s="6">
        <v>2.0</v>
      </c>
      <c r="M39" s="6" t="s">
        <v>1218</v>
      </c>
      <c r="N39" s="6" t="s">
        <v>1427</v>
      </c>
      <c r="O39" s="6">
        <v>1.0</v>
      </c>
      <c r="P39" s="6">
        <v>2.0</v>
      </c>
      <c r="Q39" s="6" t="s">
        <v>1198</v>
      </c>
      <c r="R39" s="6" t="s">
        <v>875</v>
      </c>
      <c r="S39" s="6" t="s">
        <v>876</v>
      </c>
      <c r="T39" s="6" t="s">
        <v>1428</v>
      </c>
      <c r="U39" s="6" t="s">
        <v>1429</v>
      </c>
      <c r="V39" s="6" t="s">
        <v>1430</v>
      </c>
      <c r="W39" s="6" t="s">
        <v>1214</v>
      </c>
      <c r="X39" s="6" t="s">
        <v>1214</v>
      </c>
      <c r="Y39" s="6" t="s">
        <v>1214</v>
      </c>
      <c r="Z39" s="6" t="s">
        <v>1205</v>
      </c>
      <c r="AA39" s="6" t="s">
        <v>1205</v>
      </c>
      <c r="AB39" s="6" t="s">
        <v>1205</v>
      </c>
      <c r="AC39" s="6" t="s">
        <v>1205</v>
      </c>
      <c r="AD39" s="6" t="s">
        <v>1206</v>
      </c>
      <c r="AE39" s="6" t="s">
        <v>1206</v>
      </c>
      <c r="AF39" s="6" t="s">
        <v>1431</v>
      </c>
    </row>
    <row r="40" ht="15.75" customHeight="1">
      <c r="A40" s="6" t="s">
        <v>1101</v>
      </c>
      <c r="B40" s="6" t="s">
        <v>222</v>
      </c>
      <c r="C40" s="6" t="s">
        <v>256</v>
      </c>
      <c r="D40" s="6" t="s">
        <v>1104</v>
      </c>
      <c r="E40" s="6" t="s">
        <v>1105</v>
      </c>
      <c r="F40" s="6" t="s">
        <v>1432</v>
      </c>
      <c r="G40" s="6">
        <v>1.0</v>
      </c>
      <c r="H40" s="6">
        <v>1.5</v>
      </c>
      <c r="I40" s="6" t="s">
        <v>1198</v>
      </c>
      <c r="J40" s="6" t="s">
        <v>1433</v>
      </c>
      <c r="K40" s="6">
        <v>1.0</v>
      </c>
      <c r="L40" s="6">
        <v>2.0</v>
      </c>
      <c r="M40" s="6" t="s">
        <v>1200</v>
      </c>
      <c r="N40" s="6" t="s">
        <v>1434</v>
      </c>
      <c r="O40" s="6">
        <v>2.0</v>
      </c>
      <c r="P40" s="6">
        <v>2.0</v>
      </c>
      <c r="Q40" s="6" t="s">
        <v>1198</v>
      </c>
      <c r="R40" s="6" t="s">
        <v>867</v>
      </c>
      <c r="S40" s="6" t="s">
        <v>868</v>
      </c>
      <c r="T40" s="6" t="s">
        <v>1435</v>
      </c>
      <c r="U40" s="6" t="s">
        <v>1436</v>
      </c>
      <c r="V40" s="6" t="s">
        <v>1437</v>
      </c>
      <c r="W40" s="6" t="s">
        <v>1214</v>
      </c>
      <c r="X40" s="6" t="s">
        <v>1214</v>
      </c>
      <c r="Y40" s="6" t="s">
        <v>1214</v>
      </c>
      <c r="Z40" s="6" t="s">
        <v>1205</v>
      </c>
      <c r="AA40" s="6" t="s">
        <v>1214</v>
      </c>
      <c r="AB40" s="6" t="s">
        <v>1205</v>
      </c>
      <c r="AC40" s="6" t="s">
        <v>1205</v>
      </c>
      <c r="AD40" s="6" t="s">
        <v>1206</v>
      </c>
      <c r="AE40" s="6" t="s">
        <v>1206</v>
      </c>
      <c r="AF40" s="6" t="s">
        <v>1438</v>
      </c>
    </row>
    <row r="41" ht="15.75" customHeight="1">
      <c r="A41" s="6" t="s">
        <v>1106</v>
      </c>
      <c r="B41" s="6" t="s">
        <v>209</v>
      </c>
      <c r="C41" s="6" t="s">
        <v>257</v>
      </c>
      <c r="D41" s="6" t="s">
        <v>1108</v>
      </c>
      <c r="E41" s="6" t="s">
        <v>1109</v>
      </c>
      <c r="F41" s="6" t="s">
        <v>1439</v>
      </c>
      <c r="G41" s="6">
        <v>1.25</v>
      </c>
      <c r="H41" s="6">
        <v>1.5</v>
      </c>
      <c r="I41" s="6" t="s">
        <v>1198</v>
      </c>
      <c r="J41" s="6" t="s">
        <v>1440</v>
      </c>
      <c r="K41" s="6">
        <v>1.0</v>
      </c>
      <c r="L41" s="6">
        <v>3.0</v>
      </c>
      <c r="M41" s="6" t="s">
        <v>1200</v>
      </c>
      <c r="N41" s="6" t="s">
        <v>1441</v>
      </c>
      <c r="O41" s="6">
        <v>3.0</v>
      </c>
      <c r="P41" s="6">
        <v>2.5</v>
      </c>
      <c r="Q41" s="6" t="s">
        <v>1198</v>
      </c>
      <c r="R41" s="6" t="s">
        <v>851</v>
      </c>
      <c r="S41" s="6" t="s">
        <v>852</v>
      </c>
      <c r="T41" s="6" t="s">
        <v>1442</v>
      </c>
      <c r="U41" s="6" t="s">
        <v>1443</v>
      </c>
      <c r="V41" s="6" t="s">
        <v>1444</v>
      </c>
      <c r="W41" s="6" t="s">
        <v>1214</v>
      </c>
      <c r="X41" s="6" t="s">
        <v>1214</v>
      </c>
      <c r="Y41" s="6" t="s">
        <v>1214</v>
      </c>
      <c r="Z41" s="6" t="s">
        <v>1205</v>
      </c>
      <c r="AA41" s="6" t="s">
        <v>1205</v>
      </c>
      <c r="AB41" s="6" t="s">
        <v>1223</v>
      </c>
      <c r="AC41" s="6" t="s">
        <v>1214</v>
      </c>
      <c r="AD41" s="6" t="s">
        <v>1206</v>
      </c>
      <c r="AE41" s="6" t="s">
        <v>1206</v>
      </c>
      <c r="AF41" s="6" t="s">
        <v>1445</v>
      </c>
    </row>
    <row r="42" ht="15.75" customHeight="1">
      <c r="A42" s="6" t="s">
        <v>1110</v>
      </c>
      <c r="B42" s="6" t="s">
        <v>196</v>
      </c>
      <c r="C42" s="6" t="s">
        <v>254</v>
      </c>
      <c r="D42" s="6" t="s">
        <v>1113</v>
      </c>
      <c r="E42" s="6" t="s">
        <v>1114</v>
      </c>
      <c r="F42" s="6" t="s">
        <v>1446</v>
      </c>
      <c r="G42" s="6">
        <v>1.0</v>
      </c>
      <c r="H42" s="6">
        <v>1.5</v>
      </c>
      <c r="I42" s="6" t="s">
        <v>1198</v>
      </c>
      <c r="J42" s="6" t="s">
        <v>1447</v>
      </c>
      <c r="K42" s="6">
        <v>1.0</v>
      </c>
      <c r="L42" s="6">
        <v>3.0</v>
      </c>
      <c r="M42" s="6" t="s">
        <v>1200</v>
      </c>
      <c r="N42" s="6" t="s">
        <v>1448</v>
      </c>
      <c r="O42" s="6">
        <v>1.0</v>
      </c>
      <c r="P42" s="6">
        <v>2.0</v>
      </c>
      <c r="Q42" s="6" t="s">
        <v>1198</v>
      </c>
      <c r="R42" s="6" t="s">
        <v>835</v>
      </c>
      <c r="S42" s="6" t="s">
        <v>836</v>
      </c>
      <c r="T42" s="6" t="s">
        <v>1449</v>
      </c>
      <c r="U42" s="6" t="s">
        <v>1450</v>
      </c>
      <c r="V42" s="6" t="s">
        <v>1451</v>
      </c>
      <c r="W42" s="6" t="s">
        <v>1214</v>
      </c>
      <c r="X42" s="6" t="s">
        <v>1205</v>
      </c>
      <c r="Y42" s="6" t="s">
        <v>1214</v>
      </c>
      <c r="Z42" s="6" t="s">
        <v>1214</v>
      </c>
      <c r="AA42" s="6" t="s">
        <v>1205</v>
      </c>
      <c r="AB42" s="6" t="s">
        <v>1205</v>
      </c>
      <c r="AC42" s="6" t="s">
        <v>1205</v>
      </c>
      <c r="AD42" s="6" t="s">
        <v>1206</v>
      </c>
      <c r="AE42" s="6" t="s">
        <v>1206</v>
      </c>
      <c r="AF42" s="6" t="s">
        <v>1452</v>
      </c>
    </row>
    <row r="43" ht="15.75" customHeight="1">
      <c r="A43" s="6" t="s">
        <v>1115</v>
      </c>
      <c r="B43" s="6" t="s">
        <v>222</v>
      </c>
      <c r="C43" s="6" t="s">
        <v>255</v>
      </c>
      <c r="D43" s="6" t="s">
        <v>1117</v>
      </c>
      <c r="E43" s="6" t="s">
        <v>1118</v>
      </c>
      <c r="F43" s="6" t="s">
        <v>1453</v>
      </c>
      <c r="G43" s="6">
        <v>1.0</v>
      </c>
      <c r="H43" s="6">
        <v>1.5</v>
      </c>
      <c r="I43" s="6" t="s">
        <v>1198</v>
      </c>
      <c r="J43" s="6" t="s">
        <v>1454</v>
      </c>
      <c r="K43" s="6">
        <v>1.0</v>
      </c>
      <c r="L43" s="6">
        <v>3.0</v>
      </c>
      <c r="M43" s="6" t="s">
        <v>1200</v>
      </c>
      <c r="N43" s="6" t="s">
        <v>1455</v>
      </c>
      <c r="O43" s="6">
        <v>3.0</v>
      </c>
      <c r="P43" s="6">
        <v>2.5</v>
      </c>
      <c r="Q43" s="6" t="s">
        <v>1198</v>
      </c>
      <c r="R43" s="6" t="s">
        <v>867</v>
      </c>
      <c r="S43" s="6" t="s">
        <v>868</v>
      </c>
      <c r="T43" s="6" t="s">
        <v>1456</v>
      </c>
      <c r="U43" s="6" t="s">
        <v>1457</v>
      </c>
      <c r="V43" s="6" t="s">
        <v>1458</v>
      </c>
      <c r="W43" s="6" t="s">
        <v>1205</v>
      </c>
      <c r="X43" s="6" t="s">
        <v>1205</v>
      </c>
      <c r="Y43" s="6" t="s">
        <v>1214</v>
      </c>
      <c r="Z43" s="6" t="s">
        <v>1205</v>
      </c>
      <c r="AA43" s="6" t="s">
        <v>1205</v>
      </c>
      <c r="AB43" s="6" t="s">
        <v>1205</v>
      </c>
      <c r="AC43" s="6" t="s">
        <v>1205</v>
      </c>
      <c r="AD43" s="6" t="s">
        <v>1206</v>
      </c>
      <c r="AE43" s="6" t="s">
        <v>1206</v>
      </c>
      <c r="AF43" s="6" t="s">
        <v>1459</v>
      </c>
    </row>
    <row r="44" ht="15.75" customHeight="1">
      <c r="A44" s="6" t="s">
        <v>1119</v>
      </c>
      <c r="B44" s="6" t="s">
        <v>209</v>
      </c>
      <c r="C44" s="6" t="s">
        <v>258</v>
      </c>
      <c r="D44" s="6" t="s">
        <v>1121</v>
      </c>
      <c r="E44" s="6" t="s">
        <v>1122</v>
      </c>
      <c r="F44" s="6" t="s">
        <v>1307</v>
      </c>
      <c r="G44" s="6">
        <v>1.0</v>
      </c>
      <c r="H44" s="6">
        <v>1.5</v>
      </c>
      <c r="I44" s="6" t="s">
        <v>1198</v>
      </c>
      <c r="J44" s="6" t="s">
        <v>1460</v>
      </c>
      <c r="K44" s="6">
        <v>1.0</v>
      </c>
      <c r="L44" s="6">
        <v>2.0</v>
      </c>
      <c r="M44" s="6" t="s">
        <v>1200</v>
      </c>
      <c r="N44" s="6" t="s">
        <v>1461</v>
      </c>
      <c r="O44" s="6">
        <v>2.0</v>
      </c>
      <c r="P44" s="6">
        <v>2.0</v>
      </c>
      <c r="Q44" s="6" t="s">
        <v>1198</v>
      </c>
      <c r="R44" s="6" t="s">
        <v>851</v>
      </c>
      <c r="S44" s="6" t="s">
        <v>852</v>
      </c>
      <c r="T44" s="6" t="s">
        <v>1462</v>
      </c>
      <c r="U44" s="6" t="s">
        <v>1392</v>
      </c>
      <c r="V44" s="6" t="s">
        <v>1463</v>
      </c>
      <c r="W44" s="6" t="s">
        <v>1214</v>
      </c>
      <c r="X44" s="6" t="s">
        <v>1214</v>
      </c>
      <c r="Y44" s="6" t="s">
        <v>1205</v>
      </c>
      <c r="Z44" s="6" t="s">
        <v>1205</v>
      </c>
      <c r="AA44" s="6" t="s">
        <v>1205</v>
      </c>
      <c r="AB44" s="6" t="s">
        <v>1223</v>
      </c>
      <c r="AC44" s="6" t="s">
        <v>1205</v>
      </c>
      <c r="AD44" s="6" t="s">
        <v>1206</v>
      </c>
      <c r="AE44" s="6" t="s">
        <v>1206</v>
      </c>
      <c r="AF44" s="6" t="s">
        <v>1464</v>
      </c>
    </row>
    <row r="45" ht="15.75" customHeight="1">
      <c r="A45" s="6" t="s">
        <v>1123</v>
      </c>
      <c r="B45" s="6" t="s">
        <v>196</v>
      </c>
      <c r="C45" s="6" t="s">
        <v>254</v>
      </c>
      <c r="D45" s="6" t="s">
        <v>1125</v>
      </c>
      <c r="E45" s="6" t="s">
        <v>1126</v>
      </c>
      <c r="F45" s="6" t="s">
        <v>1307</v>
      </c>
      <c r="G45" s="6">
        <v>1.0</v>
      </c>
      <c r="H45" s="6">
        <v>1.5</v>
      </c>
      <c r="I45" s="6" t="s">
        <v>1198</v>
      </c>
      <c r="J45" s="6" t="s">
        <v>1465</v>
      </c>
      <c r="K45" s="6">
        <v>1.0</v>
      </c>
      <c r="L45" s="6">
        <v>3.0</v>
      </c>
      <c r="M45" s="6" t="s">
        <v>1200</v>
      </c>
      <c r="N45" s="6" t="s">
        <v>1466</v>
      </c>
      <c r="O45" s="6">
        <v>3.5</v>
      </c>
      <c r="P45" s="6">
        <v>2.5</v>
      </c>
      <c r="Q45" s="6" t="s">
        <v>1198</v>
      </c>
      <c r="R45" s="6" t="s">
        <v>835</v>
      </c>
      <c r="S45" s="6" t="s">
        <v>836</v>
      </c>
      <c r="T45" s="6" t="s">
        <v>1467</v>
      </c>
      <c r="U45" s="6" t="s">
        <v>1468</v>
      </c>
      <c r="V45" s="6" t="s">
        <v>1469</v>
      </c>
      <c r="W45" s="6" t="s">
        <v>1214</v>
      </c>
      <c r="X45" s="6" t="s">
        <v>1205</v>
      </c>
      <c r="Y45" s="6" t="s">
        <v>1205</v>
      </c>
      <c r="Z45" s="6" t="s">
        <v>1214</v>
      </c>
      <c r="AA45" s="6" t="s">
        <v>1205</v>
      </c>
      <c r="AB45" s="6" t="s">
        <v>1205</v>
      </c>
      <c r="AC45" s="6" t="s">
        <v>1205</v>
      </c>
      <c r="AD45" s="6" t="s">
        <v>1206</v>
      </c>
      <c r="AE45" s="6" t="s">
        <v>1206</v>
      </c>
      <c r="AF45" s="6" t="s">
        <v>1470</v>
      </c>
    </row>
    <row r="46" ht="15.75" customHeight="1">
      <c r="A46" s="6" t="s">
        <v>1127</v>
      </c>
      <c r="B46" s="6" t="s">
        <v>202</v>
      </c>
      <c r="C46" s="6" t="s">
        <v>257</v>
      </c>
      <c r="D46" s="6" t="s">
        <v>1129</v>
      </c>
      <c r="E46" s="6" t="s">
        <v>1130</v>
      </c>
      <c r="F46" s="6" t="s">
        <v>1471</v>
      </c>
      <c r="G46" s="6">
        <v>1.25</v>
      </c>
      <c r="H46" s="6">
        <v>1.5</v>
      </c>
      <c r="I46" s="6" t="s">
        <v>1198</v>
      </c>
      <c r="J46" s="6" t="s">
        <v>1472</v>
      </c>
      <c r="K46" s="6">
        <v>1.0</v>
      </c>
      <c r="L46" s="6">
        <v>3.0</v>
      </c>
      <c r="M46" s="6" t="s">
        <v>1200</v>
      </c>
      <c r="N46" s="6" t="s">
        <v>1473</v>
      </c>
      <c r="O46" s="6">
        <v>2.5</v>
      </c>
      <c r="P46" s="6">
        <v>2.5</v>
      </c>
      <c r="Q46" s="6" t="s">
        <v>1198</v>
      </c>
      <c r="R46" s="6" t="s">
        <v>843</v>
      </c>
      <c r="S46" s="6" t="s">
        <v>844</v>
      </c>
      <c r="T46" s="6" t="s">
        <v>1474</v>
      </c>
      <c r="U46" s="6" t="s">
        <v>1475</v>
      </c>
      <c r="V46" s="6" t="s">
        <v>1476</v>
      </c>
      <c r="W46" s="6" t="s">
        <v>1205</v>
      </c>
      <c r="X46" s="6" t="s">
        <v>1205</v>
      </c>
      <c r="Y46" s="6" t="s">
        <v>1205</v>
      </c>
      <c r="Z46" s="6" t="s">
        <v>1205</v>
      </c>
      <c r="AA46" s="6" t="s">
        <v>1205</v>
      </c>
      <c r="AB46" s="6" t="s">
        <v>1205</v>
      </c>
      <c r="AC46" s="6" t="s">
        <v>1205</v>
      </c>
      <c r="AD46" s="6" t="s">
        <v>1206</v>
      </c>
      <c r="AE46" s="6" t="s">
        <v>1206</v>
      </c>
      <c r="AF46" s="6" t="s">
        <v>1477</v>
      </c>
    </row>
    <row r="47" ht="15.75" customHeight="1">
      <c r="A47" s="6" t="s">
        <v>1131</v>
      </c>
      <c r="B47" s="6" t="s">
        <v>238</v>
      </c>
      <c r="C47" s="6" t="s">
        <v>259</v>
      </c>
      <c r="D47" s="6" t="s">
        <v>1133</v>
      </c>
      <c r="E47" s="6" t="s">
        <v>1134</v>
      </c>
      <c r="F47" s="6" t="s">
        <v>1478</v>
      </c>
      <c r="G47" s="6">
        <v>1.0</v>
      </c>
      <c r="H47" s="6">
        <v>1.5</v>
      </c>
      <c r="I47" s="6" t="s">
        <v>1198</v>
      </c>
      <c r="J47" s="6" t="s">
        <v>1479</v>
      </c>
      <c r="K47" s="6">
        <v>1.0</v>
      </c>
      <c r="L47" s="6">
        <v>3.0</v>
      </c>
      <c r="M47" s="6" t="s">
        <v>1200</v>
      </c>
      <c r="N47" s="6" t="s">
        <v>1480</v>
      </c>
      <c r="O47" s="6">
        <v>3.0</v>
      </c>
      <c r="P47" s="6">
        <v>2.5</v>
      </c>
      <c r="Q47" s="6" t="s">
        <v>1198</v>
      </c>
      <c r="R47" s="6" t="s">
        <v>884</v>
      </c>
      <c r="S47" s="6" t="s">
        <v>885</v>
      </c>
      <c r="T47" s="6" t="s">
        <v>1481</v>
      </c>
      <c r="U47" s="6" t="s">
        <v>1482</v>
      </c>
      <c r="V47" s="6" t="s">
        <v>1483</v>
      </c>
      <c r="W47" s="6" t="s">
        <v>1214</v>
      </c>
      <c r="X47" s="6" t="s">
        <v>1205</v>
      </c>
      <c r="Y47" s="6" t="s">
        <v>1214</v>
      </c>
      <c r="Z47" s="6" t="s">
        <v>1205</v>
      </c>
      <c r="AA47" s="6" t="s">
        <v>1205</v>
      </c>
      <c r="AB47" s="6" t="s">
        <v>1205</v>
      </c>
      <c r="AC47" s="6" t="s">
        <v>1214</v>
      </c>
      <c r="AD47" s="6" t="s">
        <v>1206</v>
      </c>
      <c r="AE47" s="6" t="s">
        <v>1206</v>
      </c>
      <c r="AF47" s="6" t="s">
        <v>1484</v>
      </c>
    </row>
    <row r="48" ht="15.75" customHeight="1">
      <c r="A48" s="6" t="s">
        <v>1135</v>
      </c>
      <c r="B48" s="6" t="s">
        <v>222</v>
      </c>
      <c r="C48" s="6" t="s">
        <v>259</v>
      </c>
      <c r="D48" s="6" t="s">
        <v>1137</v>
      </c>
      <c r="E48" s="6" t="s">
        <v>1138</v>
      </c>
      <c r="F48" s="6" t="s">
        <v>1307</v>
      </c>
      <c r="G48" s="6">
        <v>1.0</v>
      </c>
      <c r="H48" s="6">
        <v>1.5</v>
      </c>
      <c r="I48" s="6" t="s">
        <v>1198</v>
      </c>
      <c r="J48" s="6" t="s">
        <v>1485</v>
      </c>
      <c r="K48" s="6">
        <v>1.0</v>
      </c>
      <c r="L48" s="6">
        <v>2.0</v>
      </c>
      <c r="M48" s="6" t="s">
        <v>1218</v>
      </c>
      <c r="N48" s="6" t="s">
        <v>1486</v>
      </c>
      <c r="O48" s="6">
        <v>1.0</v>
      </c>
      <c r="P48" s="6">
        <v>2.0</v>
      </c>
      <c r="Q48" s="6" t="s">
        <v>1198</v>
      </c>
      <c r="R48" s="6" t="s">
        <v>867</v>
      </c>
      <c r="S48" s="6" t="s">
        <v>868</v>
      </c>
      <c r="T48" s="6" t="s">
        <v>1487</v>
      </c>
      <c r="U48" s="6" t="s">
        <v>1488</v>
      </c>
      <c r="V48" s="6" t="s">
        <v>1489</v>
      </c>
      <c r="W48" s="6" t="s">
        <v>1205</v>
      </c>
      <c r="X48" s="6" t="s">
        <v>1205</v>
      </c>
      <c r="Y48" s="6" t="s">
        <v>1214</v>
      </c>
      <c r="Z48" s="6" t="s">
        <v>1205</v>
      </c>
      <c r="AA48" s="6" t="s">
        <v>1205</v>
      </c>
      <c r="AB48" s="6" t="s">
        <v>1205</v>
      </c>
      <c r="AC48" s="6" t="s">
        <v>1214</v>
      </c>
      <c r="AD48" s="6" t="s">
        <v>1206</v>
      </c>
      <c r="AE48" s="6" t="s">
        <v>1206</v>
      </c>
      <c r="AF48" s="6" t="s">
        <v>1490</v>
      </c>
    </row>
    <row r="49" ht="15.75" customHeight="1">
      <c r="A49" s="6" t="s">
        <v>1139</v>
      </c>
      <c r="B49" s="6" t="s">
        <v>230</v>
      </c>
      <c r="C49" s="6" t="s">
        <v>254</v>
      </c>
      <c r="D49" s="6" t="s">
        <v>1141</v>
      </c>
      <c r="E49" s="6" t="s">
        <v>1142</v>
      </c>
      <c r="F49" s="6" t="s">
        <v>1288</v>
      </c>
      <c r="G49" s="6">
        <v>1.0</v>
      </c>
      <c r="H49" s="6">
        <v>1.5</v>
      </c>
      <c r="I49" s="6" t="s">
        <v>1198</v>
      </c>
      <c r="J49" s="6" t="s">
        <v>1491</v>
      </c>
      <c r="K49" s="6">
        <v>1.0</v>
      </c>
      <c r="L49" s="6">
        <v>2.0</v>
      </c>
      <c r="M49" s="6" t="s">
        <v>1200</v>
      </c>
      <c r="N49" s="6" t="s">
        <v>1434</v>
      </c>
      <c r="O49" s="6">
        <v>2.0</v>
      </c>
      <c r="P49" s="6">
        <v>2.0</v>
      </c>
      <c r="Q49" s="6" t="s">
        <v>1198</v>
      </c>
      <c r="R49" s="6" t="s">
        <v>875</v>
      </c>
      <c r="S49" s="6" t="s">
        <v>876</v>
      </c>
      <c r="T49" s="6" t="s">
        <v>1492</v>
      </c>
      <c r="U49" s="6" t="s">
        <v>1493</v>
      </c>
      <c r="V49" s="6" t="s">
        <v>1494</v>
      </c>
      <c r="W49" s="6" t="s">
        <v>1214</v>
      </c>
      <c r="X49" s="6" t="s">
        <v>1214</v>
      </c>
      <c r="Y49" s="6" t="s">
        <v>1214</v>
      </c>
      <c r="Z49" s="6" t="s">
        <v>1205</v>
      </c>
      <c r="AA49" s="6" t="s">
        <v>1205</v>
      </c>
      <c r="AB49" s="6" t="s">
        <v>1205</v>
      </c>
      <c r="AC49" s="6" t="s">
        <v>1205</v>
      </c>
      <c r="AD49" s="6" t="s">
        <v>1206</v>
      </c>
      <c r="AE49" s="6" t="s">
        <v>1206</v>
      </c>
      <c r="AF49" s="6" t="s">
        <v>1495</v>
      </c>
    </row>
    <row r="50" ht="15.75" customHeight="1">
      <c r="A50" s="6" t="s">
        <v>1143</v>
      </c>
      <c r="B50" s="6" t="s">
        <v>196</v>
      </c>
      <c r="C50" s="6" t="s">
        <v>254</v>
      </c>
      <c r="D50" s="6" t="s">
        <v>1145</v>
      </c>
      <c r="E50" s="6" t="s">
        <v>1146</v>
      </c>
      <c r="F50" s="6" t="s">
        <v>1402</v>
      </c>
      <c r="G50" s="6">
        <v>1.0</v>
      </c>
      <c r="H50" s="6">
        <v>1.5</v>
      </c>
      <c r="I50" s="6" t="s">
        <v>1198</v>
      </c>
      <c r="J50" s="6" t="s">
        <v>1496</v>
      </c>
      <c r="K50" s="6">
        <v>1.0</v>
      </c>
      <c r="L50" s="6">
        <v>2.0</v>
      </c>
      <c r="M50" s="6" t="s">
        <v>1200</v>
      </c>
      <c r="N50" s="6" t="s">
        <v>1497</v>
      </c>
      <c r="O50" s="6">
        <v>2.0</v>
      </c>
      <c r="P50" s="6">
        <v>2.0</v>
      </c>
      <c r="Q50" s="6" t="s">
        <v>1198</v>
      </c>
      <c r="R50" s="6" t="s">
        <v>835</v>
      </c>
      <c r="S50" s="6" t="s">
        <v>836</v>
      </c>
      <c r="T50" s="6" t="s">
        <v>1498</v>
      </c>
      <c r="U50" s="6" t="s">
        <v>1499</v>
      </c>
      <c r="V50" s="6" t="s">
        <v>1500</v>
      </c>
      <c r="W50" s="6" t="s">
        <v>1214</v>
      </c>
      <c r="X50" s="6" t="s">
        <v>1205</v>
      </c>
      <c r="Y50" s="6" t="s">
        <v>1214</v>
      </c>
      <c r="Z50" s="6" t="s">
        <v>1214</v>
      </c>
      <c r="AA50" s="6" t="s">
        <v>1205</v>
      </c>
      <c r="AB50" s="6" t="s">
        <v>1266</v>
      </c>
      <c r="AC50" s="6" t="s">
        <v>1214</v>
      </c>
      <c r="AD50" s="6" t="s">
        <v>1206</v>
      </c>
      <c r="AE50" s="6" t="s">
        <v>1206</v>
      </c>
      <c r="AF50" s="6" t="s">
        <v>1501</v>
      </c>
    </row>
    <row r="51" ht="15.75" customHeight="1">
      <c r="A51" s="6" t="s">
        <v>1147</v>
      </c>
      <c r="B51" s="6" t="s">
        <v>230</v>
      </c>
      <c r="C51" s="6" t="s">
        <v>257</v>
      </c>
      <c r="D51" s="6" t="s">
        <v>1149</v>
      </c>
      <c r="E51" s="6" t="s">
        <v>1150</v>
      </c>
      <c r="F51" s="6" t="s">
        <v>1307</v>
      </c>
      <c r="G51" s="6">
        <v>1.0</v>
      </c>
      <c r="H51" s="6">
        <v>1.5</v>
      </c>
      <c r="I51" s="6" t="s">
        <v>1198</v>
      </c>
      <c r="J51" s="6" t="s">
        <v>1502</v>
      </c>
      <c r="K51" s="6">
        <v>1.0</v>
      </c>
      <c r="L51" s="6">
        <v>3.0</v>
      </c>
      <c r="M51" s="6" t="s">
        <v>1200</v>
      </c>
      <c r="N51" s="6" t="s">
        <v>1503</v>
      </c>
      <c r="O51" s="6">
        <v>2.5</v>
      </c>
      <c r="P51" s="6">
        <v>2.5</v>
      </c>
      <c r="Q51" s="6" t="s">
        <v>1198</v>
      </c>
      <c r="R51" s="6" t="s">
        <v>875</v>
      </c>
      <c r="S51" s="6" t="s">
        <v>876</v>
      </c>
      <c r="T51" s="6" t="s">
        <v>1504</v>
      </c>
      <c r="U51" s="6" t="s">
        <v>1436</v>
      </c>
      <c r="V51" s="6" t="s">
        <v>1505</v>
      </c>
      <c r="W51" s="6" t="s">
        <v>1214</v>
      </c>
      <c r="X51" s="6" t="s">
        <v>1214</v>
      </c>
      <c r="Y51" s="6" t="s">
        <v>1214</v>
      </c>
      <c r="Z51" s="6" t="s">
        <v>1205</v>
      </c>
      <c r="AA51" s="6" t="s">
        <v>1214</v>
      </c>
      <c r="AB51" s="6" t="s">
        <v>1205</v>
      </c>
      <c r="AC51" s="6" t="s">
        <v>1205</v>
      </c>
      <c r="AD51" s="6" t="s">
        <v>1206</v>
      </c>
      <c r="AE51" s="6" t="s">
        <v>1206</v>
      </c>
      <c r="AF51" s="6" t="s">
        <v>1506</v>
      </c>
    </row>
    <row r="52" ht="15.75" customHeight="1">
      <c r="A52" s="6" t="s">
        <v>1151</v>
      </c>
      <c r="B52" s="6" t="s">
        <v>230</v>
      </c>
      <c r="C52" s="6" t="s">
        <v>254</v>
      </c>
      <c r="D52" s="6" t="s">
        <v>1153</v>
      </c>
      <c r="E52" s="6" t="s">
        <v>1154</v>
      </c>
      <c r="F52" s="6" t="s">
        <v>1507</v>
      </c>
      <c r="G52" s="6">
        <v>1.0</v>
      </c>
      <c r="H52" s="6">
        <v>1.5</v>
      </c>
      <c r="I52" s="6" t="s">
        <v>1198</v>
      </c>
      <c r="J52" s="6" t="s">
        <v>1508</v>
      </c>
      <c r="K52" s="6">
        <v>1.0</v>
      </c>
      <c r="L52" s="6">
        <v>3.0</v>
      </c>
      <c r="M52" s="6" t="s">
        <v>1200</v>
      </c>
      <c r="N52" s="6" t="s">
        <v>1509</v>
      </c>
      <c r="O52" s="6">
        <v>1.0</v>
      </c>
      <c r="P52" s="6">
        <v>2.0</v>
      </c>
      <c r="Q52" s="6" t="s">
        <v>1198</v>
      </c>
      <c r="R52" s="6" t="s">
        <v>875</v>
      </c>
      <c r="S52" s="6" t="s">
        <v>876</v>
      </c>
      <c r="T52" s="6" t="s">
        <v>1510</v>
      </c>
      <c r="U52" s="6" t="s">
        <v>1511</v>
      </c>
      <c r="V52" s="6" t="s">
        <v>1512</v>
      </c>
      <c r="W52" s="6" t="s">
        <v>1214</v>
      </c>
      <c r="X52" s="6" t="s">
        <v>1205</v>
      </c>
      <c r="Y52" s="6" t="s">
        <v>1214</v>
      </c>
      <c r="Z52" s="6" t="s">
        <v>1214</v>
      </c>
      <c r="AA52" s="6" t="s">
        <v>1205</v>
      </c>
      <c r="AB52" s="6" t="s">
        <v>1266</v>
      </c>
      <c r="AC52" s="6" t="s">
        <v>1205</v>
      </c>
      <c r="AD52" s="6" t="s">
        <v>1206</v>
      </c>
      <c r="AE52" s="6" t="s">
        <v>1206</v>
      </c>
      <c r="AF52" s="6" t="s">
        <v>1513</v>
      </c>
    </row>
    <row r="53" ht="15.75" customHeight="1">
      <c r="A53" s="6" t="s">
        <v>1155</v>
      </c>
      <c r="B53" s="6" t="s">
        <v>230</v>
      </c>
      <c r="C53" s="6" t="s">
        <v>254</v>
      </c>
      <c r="D53" s="6" t="s">
        <v>1157</v>
      </c>
      <c r="E53" s="6" t="s">
        <v>1158</v>
      </c>
      <c r="F53" s="6" t="s">
        <v>1514</v>
      </c>
      <c r="G53" s="6">
        <v>1.0</v>
      </c>
      <c r="H53" s="6">
        <v>1.5</v>
      </c>
      <c r="I53" s="6" t="s">
        <v>1198</v>
      </c>
      <c r="J53" s="6" t="s">
        <v>1515</v>
      </c>
      <c r="K53" s="6">
        <v>1.0</v>
      </c>
      <c r="L53" s="6">
        <v>3.0</v>
      </c>
      <c r="M53" s="6" t="s">
        <v>1200</v>
      </c>
      <c r="N53" s="6" t="s">
        <v>1441</v>
      </c>
      <c r="O53" s="6">
        <v>3.0</v>
      </c>
      <c r="P53" s="6">
        <v>2.5</v>
      </c>
      <c r="Q53" s="6" t="s">
        <v>1198</v>
      </c>
      <c r="R53" s="6" t="s">
        <v>875</v>
      </c>
      <c r="S53" s="6" t="s">
        <v>876</v>
      </c>
      <c r="T53" s="6" t="s">
        <v>1516</v>
      </c>
      <c r="U53" s="6" t="s">
        <v>1517</v>
      </c>
      <c r="V53" s="6" t="s">
        <v>1518</v>
      </c>
      <c r="W53" s="6" t="s">
        <v>1214</v>
      </c>
      <c r="X53" s="6" t="s">
        <v>1214</v>
      </c>
      <c r="Y53" s="6" t="s">
        <v>1214</v>
      </c>
      <c r="Z53" s="6" t="s">
        <v>1205</v>
      </c>
      <c r="AA53" s="6" t="s">
        <v>1205</v>
      </c>
      <c r="AB53" s="6" t="s">
        <v>1205</v>
      </c>
      <c r="AC53" s="6" t="s">
        <v>1205</v>
      </c>
      <c r="AD53" s="6" t="s">
        <v>1206</v>
      </c>
      <c r="AE53" s="6" t="s">
        <v>1206</v>
      </c>
      <c r="AF53" s="6" t="s">
        <v>1519</v>
      </c>
    </row>
    <row r="54" ht="15.75" customHeight="1">
      <c r="A54" s="6" t="s">
        <v>1159</v>
      </c>
      <c r="B54" s="6" t="s">
        <v>196</v>
      </c>
      <c r="C54" s="6" t="s">
        <v>254</v>
      </c>
      <c r="D54" s="6" t="s">
        <v>1162</v>
      </c>
      <c r="E54" s="6" t="s">
        <v>1163</v>
      </c>
      <c r="F54" s="6" t="s">
        <v>1520</v>
      </c>
      <c r="G54" s="6">
        <v>1.0</v>
      </c>
      <c r="H54" s="6">
        <v>1.5</v>
      </c>
      <c r="I54" s="6" t="s">
        <v>1198</v>
      </c>
      <c r="J54" s="6" t="s">
        <v>1521</v>
      </c>
      <c r="K54" s="6">
        <v>1.0</v>
      </c>
      <c r="L54" s="6">
        <v>4.0</v>
      </c>
      <c r="M54" s="6" t="s">
        <v>1200</v>
      </c>
      <c r="N54" s="6" t="s">
        <v>1522</v>
      </c>
      <c r="O54" s="6">
        <v>2.5</v>
      </c>
      <c r="P54" s="6">
        <v>2.5</v>
      </c>
      <c r="Q54" s="6" t="s">
        <v>1198</v>
      </c>
      <c r="R54" s="6" t="s">
        <v>835</v>
      </c>
      <c r="S54" s="6" t="s">
        <v>836</v>
      </c>
      <c r="T54" s="6" t="s">
        <v>1449</v>
      </c>
      <c r="U54" s="6" t="s">
        <v>1523</v>
      </c>
      <c r="V54" s="6" t="s">
        <v>1524</v>
      </c>
      <c r="W54" s="6" t="s">
        <v>1214</v>
      </c>
      <c r="X54" s="6" t="s">
        <v>1205</v>
      </c>
      <c r="Y54" s="6" t="s">
        <v>1214</v>
      </c>
      <c r="Z54" s="6" t="s">
        <v>1214</v>
      </c>
      <c r="AA54" s="6" t="s">
        <v>1205</v>
      </c>
      <c r="AB54" s="6" t="s">
        <v>1266</v>
      </c>
      <c r="AC54" s="6" t="s">
        <v>1205</v>
      </c>
      <c r="AD54" s="6" t="s">
        <v>1206</v>
      </c>
      <c r="AE54" s="6" t="s">
        <v>1206</v>
      </c>
      <c r="AF54" s="6" t="s">
        <v>1525</v>
      </c>
    </row>
    <row r="55" ht="15.75" customHeight="1">
      <c r="A55" s="6" t="s">
        <v>1164</v>
      </c>
      <c r="B55" s="6" t="s">
        <v>202</v>
      </c>
      <c r="C55" s="6" t="s">
        <v>254</v>
      </c>
      <c r="D55" s="6" t="s">
        <v>1166</v>
      </c>
      <c r="E55" s="6" t="s">
        <v>1167</v>
      </c>
      <c r="F55" s="6" t="s">
        <v>1288</v>
      </c>
      <c r="G55" s="6">
        <v>1.0</v>
      </c>
      <c r="H55" s="6">
        <v>1.5</v>
      </c>
      <c r="I55" s="6" t="s">
        <v>1198</v>
      </c>
      <c r="J55" s="6" t="s">
        <v>1526</v>
      </c>
      <c r="K55" s="6">
        <v>1.0</v>
      </c>
      <c r="L55" s="6">
        <v>2.0</v>
      </c>
      <c r="M55" s="6" t="s">
        <v>1200</v>
      </c>
      <c r="N55" s="6" t="s">
        <v>1434</v>
      </c>
      <c r="O55" s="6">
        <v>2.0</v>
      </c>
      <c r="P55" s="6">
        <v>2.0</v>
      </c>
      <c r="Q55" s="6" t="s">
        <v>1198</v>
      </c>
      <c r="R55" s="6" t="s">
        <v>843</v>
      </c>
      <c r="S55" s="6" t="s">
        <v>844</v>
      </c>
      <c r="T55" s="6" t="s">
        <v>1405</v>
      </c>
      <c r="U55" s="6" t="s">
        <v>1527</v>
      </c>
      <c r="V55" s="6" t="s">
        <v>1528</v>
      </c>
      <c r="W55" s="6" t="s">
        <v>1214</v>
      </c>
      <c r="X55" s="6" t="s">
        <v>1214</v>
      </c>
      <c r="Y55" s="6" t="s">
        <v>1214</v>
      </c>
      <c r="Z55" s="6" t="s">
        <v>1205</v>
      </c>
      <c r="AA55" s="6" t="s">
        <v>1205</v>
      </c>
      <c r="AB55" s="6" t="s">
        <v>1205</v>
      </c>
      <c r="AC55" s="6" t="s">
        <v>1205</v>
      </c>
      <c r="AD55" s="6" t="s">
        <v>1206</v>
      </c>
      <c r="AE55" s="6" t="s">
        <v>1206</v>
      </c>
      <c r="AF55" s="6" t="s">
        <v>1529</v>
      </c>
    </row>
    <row r="56" ht="15.75" customHeight="1">
      <c r="A56" s="6" t="s">
        <v>1168</v>
      </c>
      <c r="B56" s="6" t="s">
        <v>202</v>
      </c>
      <c r="C56" s="6" t="s">
        <v>254</v>
      </c>
      <c r="D56" s="6" t="s">
        <v>1170</v>
      </c>
      <c r="E56" s="6" t="s">
        <v>1171</v>
      </c>
      <c r="F56" s="6" t="s">
        <v>1288</v>
      </c>
      <c r="G56" s="6">
        <v>1.0</v>
      </c>
      <c r="H56" s="6">
        <v>1.5</v>
      </c>
      <c r="I56" s="6" t="s">
        <v>1198</v>
      </c>
      <c r="J56" s="6" t="s">
        <v>1530</v>
      </c>
      <c r="K56" s="6">
        <v>1.0</v>
      </c>
      <c r="L56" s="6">
        <v>2.0</v>
      </c>
      <c r="M56" s="6" t="s">
        <v>1218</v>
      </c>
      <c r="N56" s="6" t="s">
        <v>1531</v>
      </c>
      <c r="O56" s="6">
        <v>1.0</v>
      </c>
      <c r="P56" s="6">
        <v>2.0</v>
      </c>
      <c r="Q56" s="6" t="s">
        <v>1198</v>
      </c>
      <c r="R56" s="6" t="s">
        <v>843</v>
      </c>
      <c r="S56" s="6" t="s">
        <v>844</v>
      </c>
      <c r="T56" s="6" t="s">
        <v>1532</v>
      </c>
      <c r="U56" s="6" t="s">
        <v>1533</v>
      </c>
      <c r="V56" s="6" t="s">
        <v>1534</v>
      </c>
      <c r="W56" s="6" t="s">
        <v>1214</v>
      </c>
      <c r="X56" s="6" t="s">
        <v>1205</v>
      </c>
      <c r="Y56" s="6" t="s">
        <v>1214</v>
      </c>
      <c r="Z56" s="6" t="s">
        <v>1205</v>
      </c>
      <c r="AA56" s="6" t="s">
        <v>1205</v>
      </c>
      <c r="AB56" s="6" t="s">
        <v>1205</v>
      </c>
      <c r="AC56" s="6" t="s">
        <v>1205</v>
      </c>
      <c r="AD56" s="6" t="s">
        <v>1206</v>
      </c>
      <c r="AE56" s="6" t="s">
        <v>1206</v>
      </c>
      <c r="AF56" s="6" t="s">
        <v>1535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AF1"/>
    <mergeCell ref="A2:AF2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0.0"/>
    <col customWidth="1" min="2" max="2" width="24.0"/>
    <col customWidth="1" min="3" max="3" width="64.0"/>
    <col customWidth="1" min="4" max="4" width="34.0"/>
    <col customWidth="1" min="5" max="5" width="20.0"/>
    <col customWidth="1" min="6" max="6" width="14.0"/>
    <col customWidth="1" min="7" max="7" width="42.0"/>
    <col customWidth="1" min="8" max="8" width="38.0"/>
    <col customWidth="1" min="9" max="11" width="8.71"/>
  </cols>
  <sheetData>
    <row r="1">
      <c r="A1" s="10" t="s">
        <v>1536</v>
      </c>
    </row>
    <row r="2">
      <c r="A2" s="2" t="s">
        <v>1537</v>
      </c>
    </row>
    <row r="4">
      <c r="A4" s="3" t="s">
        <v>1538</v>
      </c>
      <c r="B4" s="3" t="s">
        <v>1539</v>
      </c>
      <c r="C4" s="3" t="s">
        <v>459</v>
      </c>
      <c r="D4" s="3" t="s">
        <v>1540</v>
      </c>
      <c r="E4" s="3" t="s">
        <v>1541</v>
      </c>
      <c r="F4" s="3" t="s">
        <v>5</v>
      </c>
      <c r="G4" s="3" t="s">
        <v>1542</v>
      </c>
      <c r="H4" s="3" t="s">
        <v>538</v>
      </c>
    </row>
    <row r="5">
      <c r="A5" s="4">
        <v>1.0</v>
      </c>
      <c r="B5" s="4" t="s">
        <v>1543</v>
      </c>
      <c r="C5" s="4" t="s">
        <v>1544</v>
      </c>
      <c r="D5" s="4" t="s">
        <v>1545</v>
      </c>
      <c r="E5" s="4" t="s">
        <v>1546</v>
      </c>
      <c r="F5" s="4" t="s">
        <v>1547</v>
      </c>
      <c r="G5" s="4" t="s">
        <v>1548</v>
      </c>
      <c r="H5" s="4" t="s">
        <v>1549</v>
      </c>
    </row>
    <row r="6">
      <c r="A6" s="4">
        <v>2.0</v>
      </c>
      <c r="B6" s="4" t="s">
        <v>1550</v>
      </c>
      <c r="C6" s="4" t="s">
        <v>1551</v>
      </c>
      <c r="D6" s="4" t="s">
        <v>1545</v>
      </c>
      <c r="E6" s="4" t="s">
        <v>1552</v>
      </c>
      <c r="F6" s="4" t="s">
        <v>1547</v>
      </c>
      <c r="G6" s="4" t="s">
        <v>1553</v>
      </c>
      <c r="H6" s="4" t="s">
        <v>1554</v>
      </c>
    </row>
    <row r="7">
      <c r="A7" s="4">
        <v>3.0</v>
      </c>
      <c r="B7" s="4" t="s">
        <v>1555</v>
      </c>
      <c r="C7" s="4" t="s">
        <v>1556</v>
      </c>
      <c r="D7" s="4" t="s">
        <v>145</v>
      </c>
      <c r="E7" s="4" t="s">
        <v>1557</v>
      </c>
      <c r="F7" s="4" t="s">
        <v>1547</v>
      </c>
      <c r="G7" s="4" t="s">
        <v>1558</v>
      </c>
      <c r="H7" s="4" t="s">
        <v>1559</v>
      </c>
    </row>
    <row r="8">
      <c r="A8" s="4">
        <v>4.0</v>
      </c>
      <c r="B8" s="4" t="s">
        <v>1560</v>
      </c>
      <c r="C8" s="4" t="s">
        <v>1561</v>
      </c>
      <c r="D8" s="4" t="s">
        <v>119</v>
      </c>
      <c r="E8" s="4" t="s">
        <v>1557</v>
      </c>
      <c r="F8" s="4" t="s">
        <v>1547</v>
      </c>
      <c r="G8" s="4" t="s">
        <v>1562</v>
      </c>
      <c r="H8" s="4" t="s">
        <v>1563</v>
      </c>
    </row>
    <row r="9">
      <c r="A9" s="4">
        <v>5.0</v>
      </c>
      <c r="B9" s="4" t="s">
        <v>1564</v>
      </c>
      <c r="C9" s="4" t="s">
        <v>1565</v>
      </c>
      <c r="D9" s="4" t="s">
        <v>82</v>
      </c>
      <c r="E9" s="4" t="s">
        <v>1566</v>
      </c>
      <c r="F9" s="4" t="s">
        <v>1547</v>
      </c>
      <c r="G9" s="4" t="s">
        <v>1567</v>
      </c>
      <c r="H9" s="4" t="s">
        <v>1568</v>
      </c>
    </row>
    <row r="10">
      <c r="A10" s="4">
        <v>6.0</v>
      </c>
      <c r="B10" s="4" t="s">
        <v>1569</v>
      </c>
      <c r="C10" s="4" t="s">
        <v>1570</v>
      </c>
      <c r="D10" s="4" t="s">
        <v>101</v>
      </c>
      <c r="E10" s="4" t="s">
        <v>1571</v>
      </c>
      <c r="F10" s="4" t="s">
        <v>1547</v>
      </c>
      <c r="G10" s="4" t="s">
        <v>1572</v>
      </c>
      <c r="H10" s="4" t="s">
        <v>1573</v>
      </c>
    </row>
    <row r="11">
      <c r="A11" s="4">
        <v>7.0</v>
      </c>
      <c r="B11" s="4" t="s">
        <v>1574</v>
      </c>
      <c r="C11" s="4" t="s">
        <v>1575</v>
      </c>
      <c r="D11" s="4" t="s">
        <v>1576</v>
      </c>
      <c r="E11" s="4" t="s">
        <v>1577</v>
      </c>
      <c r="F11" s="4" t="s">
        <v>1547</v>
      </c>
      <c r="G11" s="4" t="s">
        <v>1578</v>
      </c>
      <c r="H11" s="4" t="s">
        <v>1579</v>
      </c>
    </row>
    <row r="12">
      <c r="A12" s="4">
        <v>8.0</v>
      </c>
      <c r="B12" s="4" t="s">
        <v>1580</v>
      </c>
      <c r="C12" s="4" t="s">
        <v>1581</v>
      </c>
      <c r="D12" s="4" t="s">
        <v>1582</v>
      </c>
      <c r="E12" s="4" t="s">
        <v>1577</v>
      </c>
      <c r="F12" s="4" t="s">
        <v>1547</v>
      </c>
      <c r="G12" s="4" t="s">
        <v>1583</v>
      </c>
      <c r="H12" s="4" t="s">
        <v>1584</v>
      </c>
    </row>
    <row r="13">
      <c r="A13" s="4">
        <v>9.0</v>
      </c>
      <c r="B13" s="4" t="s">
        <v>114</v>
      </c>
      <c r="C13" s="4" t="s">
        <v>1585</v>
      </c>
      <c r="D13" s="4" t="s">
        <v>1586</v>
      </c>
      <c r="E13" s="4" t="s">
        <v>1577</v>
      </c>
      <c r="F13" s="4" t="s">
        <v>1547</v>
      </c>
      <c r="G13" s="4" t="s">
        <v>1587</v>
      </c>
      <c r="H13" s="4" t="s">
        <v>1588</v>
      </c>
    </row>
    <row r="14">
      <c r="A14" s="4">
        <v>10.0</v>
      </c>
      <c r="B14" s="4" t="s">
        <v>1589</v>
      </c>
      <c r="C14" s="4" t="s">
        <v>1590</v>
      </c>
      <c r="D14" s="4" t="s">
        <v>1591</v>
      </c>
      <c r="E14" s="4" t="s">
        <v>1592</v>
      </c>
      <c r="F14" s="4" t="s">
        <v>1593</v>
      </c>
      <c r="G14" s="4" t="s">
        <v>1594</v>
      </c>
      <c r="H14" s="4" t="s">
        <v>1595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0.0"/>
    <col customWidth="1" min="2" max="2" width="22.0"/>
    <col customWidth="1" min="3" max="3" width="50.0"/>
    <col customWidth="1" min="4" max="4" width="48.0"/>
    <col customWidth="1" min="5" max="5" width="38.0"/>
    <col customWidth="1" min="6" max="6" width="18.0"/>
    <col customWidth="1" min="7" max="7" width="48.0"/>
    <col customWidth="1" min="8" max="11" width="8.71"/>
  </cols>
  <sheetData>
    <row r="1">
      <c r="A1" s="10" t="s">
        <v>1596</v>
      </c>
    </row>
    <row r="2">
      <c r="A2" s="2" t="s">
        <v>1597</v>
      </c>
    </row>
    <row r="4">
      <c r="A4" s="3" t="s">
        <v>453</v>
      </c>
      <c r="B4" s="3" t="s">
        <v>1539</v>
      </c>
      <c r="C4" s="3" t="s">
        <v>367</v>
      </c>
      <c r="D4" s="3" t="s">
        <v>1598</v>
      </c>
      <c r="E4" s="3" t="s">
        <v>328</v>
      </c>
      <c r="F4" s="3" t="s">
        <v>5</v>
      </c>
      <c r="G4" s="3" t="s">
        <v>6</v>
      </c>
    </row>
    <row r="5">
      <c r="A5" s="4">
        <v>1.0</v>
      </c>
      <c r="B5" s="4" t="s">
        <v>1599</v>
      </c>
      <c r="C5" s="4" t="s">
        <v>1600</v>
      </c>
      <c r="D5" s="4" t="s">
        <v>1601</v>
      </c>
      <c r="E5" s="4" t="s">
        <v>1602</v>
      </c>
      <c r="F5" s="4" t="s">
        <v>1603</v>
      </c>
      <c r="G5" s="4" t="s">
        <v>1604</v>
      </c>
    </row>
    <row r="6">
      <c r="A6" s="4">
        <v>2.0</v>
      </c>
      <c r="B6" s="4" t="s">
        <v>1605</v>
      </c>
      <c r="C6" s="4" t="s">
        <v>1606</v>
      </c>
      <c r="D6" s="4" t="s">
        <v>1607</v>
      </c>
      <c r="E6" s="4" t="s">
        <v>1602</v>
      </c>
      <c r="F6" s="4" t="s">
        <v>1608</v>
      </c>
      <c r="G6" s="4" t="s">
        <v>1609</v>
      </c>
    </row>
    <row r="7">
      <c r="A7" s="4">
        <v>3.0</v>
      </c>
      <c r="B7" s="4" t="s">
        <v>1610</v>
      </c>
      <c r="C7" s="4" t="s">
        <v>1611</v>
      </c>
      <c r="D7" s="4" t="s">
        <v>1612</v>
      </c>
      <c r="E7" s="4" t="s">
        <v>1613</v>
      </c>
      <c r="F7" s="4" t="s">
        <v>1614</v>
      </c>
      <c r="G7" s="4" t="s">
        <v>1615</v>
      </c>
    </row>
    <row r="8">
      <c r="A8" s="4">
        <v>4.0</v>
      </c>
      <c r="B8" s="4" t="s">
        <v>1616</v>
      </c>
      <c r="C8" s="4" t="s">
        <v>1617</v>
      </c>
      <c r="D8" s="4" t="s">
        <v>1618</v>
      </c>
      <c r="E8" s="4" t="s">
        <v>1619</v>
      </c>
      <c r="F8" s="4" t="s">
        <v>1620</v>
      </c>
      <c r="G8" s="4" t="s">
        <v>1621</v>
      </c>
    </row>
    <row r="9">
      <c r="A9" s="4">
        <v>5.0</v>
      </c>
      <c r="B9" s="4" t="s">
        <v>1622</v>
      </c>
      <c r="C9" s="4" t="s">
        <v>1623</v>
      </c>
      <c r="D9" s="4" t="s">
        <v>1624</v>
      </c>
      <c r="E9" s="4" t="s">
        <v>1625</v>
      </c>
      <c r="F9" s="4" t="s">
        <v>1620</v>
      </c>
      <c r="G9" s="4" t="s">
        <v>1626</v>
      </c>
    </row>
    <row r="10">
      <c r="A10" s="4">
        <v>6.0</v>
      </c>
      <c r="B10" s="4" t="s">
        <v>1627</v>
      </c>
      <c r="C10" s="4" t="s">
        <v>1628</v>
      </c>
      <c r="D10" s="4" t="s">
        <v>1629</v>
      </c>
      <c r="E10" s="4" t="s">
        <v>1630</v>
      </c>
      <c r="F10" s="4" t="s">
        <v>1620</v>
      </c>
      <c r="G10" s="4" t="s">
        <v>1631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G1"/>
    <mergeCell ref="A2:G2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0"/>
    <col customWidth="1" min="2" max="2" width="18.0"/>
    <col customWidth="1" min="3" max="3" width="16.0"/>
    <col customWidth="1" min="4" max="5" width="14.0"/>
    <col customWidth="1" min="6" max="6" width="22.0"/>
    <col customWidth="1" min="7" max="8" width="14.0"/>
    <col customWidth="1" min="9" max="9" width="22.0"/>
    <col customWidth="1" min="10" max="10" width="60.0"/>
    <col customWidth="1" min="11" max="11" width="8.71"/>
  </cols>
  <sheetData>
    <row r="1">
      <c r="A1" s="10" t="s">
        <v>1632</v>
      </c>
    </row>
    <row r="2">
      <c r="A2" s="2" t="s">
        <v>1633</v>
      </c>
    </row>
    <row r="4">
      <c r="A4" s="3" t="s">
        <v>133</v>
      </c>
      <c r="B4" s="3" t="s">
        <v>1634</v>
      </c>
      <c r="C4" s="3" t="s">
        <v>1635</v>
      </c>
      <c r="D4" s="3" t="s">
        <v>1636</v>
      </c>
      <c r="E4" s="3" t="s">
        <v>1637</v>
      </c>
      <c r="F4" s="3" t="s">
        <v>1638</v>
      </c>
      <c r="G4" s="3" t="s">
        <v>561</v>
      </c>
      <c r="H4" s="3" t="s">
        <v>562</v>
      </c>
      <c r="I4" s="3" t="s">
        <v>5</v>
      </c>
      <c r="J4" s="3" t="s">
        <v>6</v>
      </c>
    </row>
    <row r="5">
      <c r="A5" s="4" t="s">
        <v>569</v>
      </c>
      <c r="B5" s="4">
        <v>1.0</v>
      </c>
      <c r="C5" s="4">
        <v>1.0</v>
      </c>
      <c r="D5" s="4">
        <v>0.0</v>
      </c>
      <c r="E5" s="4">
        <v>0.0</v>
      </c>
      <c r="F5" s="4">
        <v>1.0</v>
      </c>
      <c r="G5" s="4">
        <v>1.0</v>
      </c>
      <c r="H5" s="4">
        <v>1.0</v>
      </c>
      <c r="I5" s="4" t="s">
        <v>1639</v>
      </c>
      <c r="J5" s="4" t="s">
        <v>1640</v>
      </c>
    </row>
    <row r="6">
      <c r="A6" s="4" t="s">
        <v>572</v>
      </c>
      <c r="B6" s="4">
        <v>1.05</v>
      </c>
      <c r="C6" s="4">
        <v>5.0</v>
      </c>
      <c r="D6" s="4">
        <v>3.0</v>
      </c>
      <c r="E6" s="4">
        <v>5.0</v>
      </c>
      <c r="F6" s="4">
        <v>1.25</v>
      </c>
      <c r="G6" s="4">
        <v>2.0</v>
      </c>
      <c r="H6" s="4">
        <v>1.0</v>
      </c>
      <c r="I6" s="4" t="s">
        <v>1639</v>
      </c>
      <c r="J6" s="4" t="s">
        <v>1640</v>
      </c>
    </row>
    <row r="7">
      <c r="A7" s="4" t="s">
        <v>575</v>
      </c>
      <c r="B7" s="4">
        <v>1.1</v>
      </c>
      <c r="C7" s="4">
        <v>10.0</v>
      </c>
      <c r="D7" s="4">
        <v>3.0</v>
      </c>
      <c r="E7" s="4">
        <v>10.0</v>
      </c>
      <c r="F7" s="4">
        <v>1.55</v>
      </c>
      <c r="G7" s="4">
        <v>3.0</v>
      </c>
      <c r="H7" s="4">
        <v>2.0</v>
      </c>
      <c r="I7" s="4" t="s">
        <v>1639</v>
      </c>
      <c r="J7" s="4" t="s">
        <v>1640</v>
      </c>
    </row>
    <row r="8">
      <c r="A8" s="4" t="s">
        <v>578</v>
      </c>
      <c r="B8" s="4">
        <v>1.15</v>
      </c>
      <c r="C8" s="4">
        <v>15.0</v>
      </c>
      <c r="D8" s="4">
        <v>3.0</v>
      </c>
      <c r="E8" s="4">
        <v>15.0</v>
      </c>
      <c r="F8" s="4">
        <v>1.9</v>
      </c>
      <c r="G8" s="4">
        <v>4.0</v>
      </c>
      <c r="H8" s="4">
        <v>3.0</v>
      </c>
      <c r="I8" s="4" t="s">
        <v>1639</v>
      </c>
      <c r="J8" s="4" t="s">
        <v>1640</v>
      </c>
    </row>
    <row r="9">
      <c r="A9" s="4" t="s">
        <v>581</v>
      </c>
      <c r="B9" s="4">
        <v>1.2</v>
      </c>
      <c r="C9" s="4">
        <v>20.0</v>
      </c>
      <c r="D9" s="4">
        <v>3.0</v>
      </c>
      <c r="E9" s="4">
        <v>20.0</v>
      </c>
      <c r="F9" s="4">
        <v>2.3</v>
      </c>
      <c r="G9" s="4">
        <v>5.0</v>
      </c>
      <c r="H9" s="4">
        <v>3.0</v>
      </c>
      <c r="I9" s="4" t="s">
        <v>1639</v>
      </c>
      <c r="J9" s="4" t="s">
        <v>1640</v>
      </c>
    </row>
    <row r="10">
      <c r="A10" s="4" t="s">
        <v>584</v>
      </c>
      <c r="B10" s="4">
        <v>1.25</v>
      </c>
      <c r="C10" s="4">
        <v>25.0</v>
      </c>
      <c r="D10" s="4">
        <v>3.0</v>
      </c>
      <c r="E10" s="4">
        <v>25.0</v>
      </c>
      <c r="F10" s="4">
        <v>2.75</v>
      </c>
      <c r="G10" s="4">
        <v>6.0</v>
      </c>
      <c r="H10" s="4">
        <v>4.0</v>
      </c>
      <c r="I10" s="4" t="s">
        <v>1639</v>
      </c>
      <c r="J10" s="4" t="s">
        <v>1640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J1"/>
    <mergeCell ref="A2:J2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4" width="24.0"/>
    <col customWidth="1" min="5" max="6" width="18.0"/>
    <col customWidth="1" min="7" max="7" width="38.0"/>
    <col customWidth="1" min="8" max="8" width="58.0"/>
    <col customWidth="1" min="9" max="11" width="8.71"/>
  </cols>
  <sheetData>
    <row r="1">
      <c r="A1" s="10" t="s">
        <v>1641</v>
      </c>
    </row>
    <row r="2">
      <c r="A2" s="2" t="s">
        <v>1642</v>
      </c>
    </row>
    <row r="4">
      <c r="A4" s="3" t="s">
        <v>189</v>
      </c>
      <c r="B4" s="3" t="s">
        <v>1643</v>
      </c>
      <c r="C4" s="3" t="s">
        <v>1644</v>
      </c>
      <c r="D4" s="3" t="s">
        <v>1645</v>
      </c>
      <c r="E4" s="3" t="s">
        <v>1646</v>
      </c>
      <c r="F4" s="3" t="s">
        <v>1647</v>
      </c>
      <c r="G4" s="3" t="s">
        <v>1648</v>
      </c>
      <c r="H4" s="3" t="s">
        <v>1649</v>
      </c>
    </row>
    <row r="5">
      <c r="A5" s="4" t="s">
        <v>196</v>
      </c>
      <c r="B5" s="4" t="s">
        <v>89</v>
      </c>
      <c r="C5" s="4" t="s">
        <v>106</v>
      </c>
      <c r="D5" s="4" t="s">
        <v>224</v>
      </c>
      <c r="E5" s="4" t="s">
        <v>226</v>
      </c>
      <c r="F5" s="4" t="s">
        <v>234</v>
      </c>
      <c r="G5" s="4" t="s">
        <v>1650</v>
      </c>
      <c r="H5" s="4" t="s">
        <v>1651</v>
      </c>
    </row>
    <row r="6">
      <c r="A6" s="4" t="s">
        <v>202</v>
      </c>
      <c r="B6" s="4" t="s">
        <v>94</v>
      </c>
      <c r="C6" s="4" t="s">
        <v>101</v>
      </c>
      <c r="D6" s="4" t="s">
        <v>111</v>
      </c>
      <c r="E6" s="4" t="s">
        <v>205</v>
      </c>
      <c r="F6" s="4" t="s">
        <v>226</v>
      </c>
      <c r="G6" s="4" t="s">
        <v>1652</v>
      </c>
      <c r="H6" s="4" t="s">
        <v>1653</v>
      </c>
    </row>
    <row r="7">
      <c r="A7" s="4" t="s">
        <v>209</v>
      </c>
      <c r="B7" s="4" t="s">
        <v>98</v>
      </c>
      <c r="C7" s="4" t="s">
        <v>111</v>
      </c>
      <c r="D7" s="4" t="s">
        <v>82</v>
      </c>
      <c r="E7" s="4" t="s">
        <v>226</v>
      </c>
      <c r="F7" s="4" t="s">
        <v>234</v>
      </c>
      <c r="G7" s="4" t="s">
        <v>1654</v>
      </c>
      <c r="H7" s="4" t="s">
        <v>1655</v>
      </c>
    </row>
    <row r="8">
      <c r="A8" s="4" t="s">
        <v>215</v>
      </c>
      <c r="B8" s="4" t="s">
        <v>98</v>
      </c>
      <c r="C8" s="4" t="s">
        <v>101</v>
      </c>
      <c r="D8" s="4" t="s">
        <v>111</v>
      </c>
      <c r="E8" s="4" t="s">
        <v>234</v>
      </c>
      <c r="F8" s="4" t="s">
        <v>234</v>
      </c>
      <c r="G8" s="4" t="s">
        <v>1656</v>
      </c>
      <c r="H8" s="4" t="s">
        <v>1657</v>
      </c>
    </row>
    <row r="9">
      <c r="A9" s="4" t="s">
        <v>222</v>
      </c>
      <c r="B9" s="4" t="s">
        <v>1658</v>
      </c>
      <c r="C9" s="4" t="s">
        <v>82</v>
      </c>
      <c r="D9" s="4" t="s">
        <v>106</v>
      </c>
      <c r="E9" s="4" t="s">
        <v>226</v>
      </c>
      <c r="F9" s="4" t="s">
        <v>205</v>
      </c>
      <c r="G9" s="4" t="s">
        <v>1659</v>
      </c>
      <c r="H9" s="4" t="s">
        <v>1660</v>
      </c>
    </row>
    <row r="10">
      <c r="A10" s="4" t="s">
        <v>230</v>
      </c>
      <c r="B10" s="4" t="s">
        <v>231</v>
      </c>
      <c r="C10" s="4" t="s">
        <v>101</v>
      </c>
      <c r="D10" s="4" t="s">
        <v>111</v>
      </c>
      <c r="E10" s="4" t="s">
        <v>234</v>
      </c>
      <c r="F10" s="4" t="s">
        <v>234</v>
      </c>
      <c r="G10" s="4" t="s">
        <v>1661</v>
      </c>
      <c r="H10" s="4" t="s">
        <v>1662</v>
      </c>
    </row>
    <row r="11">
      <c r="A11" s="4" t="s">
        <v>238</v>
      </c>
      <c r="B11" s="4" t="s">
        <v>89</v>
      </c>
      <c r="C11" s="4" t="s">
        <v>239</v>
      </c>
      <c r="D11" s="4" t="s">
        <v>111</v>
      </c>
      <c r="E11" s="4" t="s">
        <v>226</v>
      </c>
      <c r="F11" s="4" t="s">
        <v>205</v>
      </c>
      <c r="G11" s="4" t="s">
        <v>1663</v>
      </c>
      <c r="H11" s="4" t="s">
        <v>1664</v>
      </c>
    </row>
    <row r="12">
      <c r="A12" s="4" t="s">
        <v>244</v>
      </c>
      <c r="B12" s="4" t="s">
        <v>248</v>
      </c>
      <c r="C12" s="4" t="s">
        <v>248</v>
      </c>
      <c r="D12" s="4" t="s">
        <v>248</v>
      </c>
      <c r="E12" s="4" t="s">
        <v>248</v>
      </c>
      <c r="F12" s="4" t="s">
        <v>248</v>
      </c>
      <c r="G12" s="4" t="s">
        <v>888</v>
      </c>
      <c r="H12" s="4" t="s">
        <v>1665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0"/>
    <col customWidth="1" min="2" max="2" width="18.0"/>
    <col customWidth="1" min="3" max="3" width="20.0"/>
    <col customWidth="1" min="4" max="4" width="16.0"/>
    <col customWidth="1" min="5" max="5" width="18.0"/>
    <col customWidth="1" min="6" max="6" width="16.0"/>
    <col customWidth="1" min="7" max="7" width="18.0"/>
    <col customWidth="1" min="8" max="8" width="16.0"/>
    <col customWidth="1" min="9" max="9" width="14.0"/>
    <col customWidth="1" min="10" max="10" width="16.0"/>
    <col customWidth="1" min="11" max="11" width="56.0"/>
  </cols>
  <sheetData>
    <row r="1">
      <c r="A1" s="10" t="s">
        <v>1666</v>
      </c>
    </row>
    <row r="2">
      <c r="A2" s="2" t="s">
        <v>1667</v>
      </c>
    </row>
    <row r="4">
      <c r="A4" s="3" t="s">
        <v>133</v>
      </c>
      <c r="B4" s="3" t="s">
        <v>1668</v>
      </c>
      <c r="C4" s="3" t="s">
        <v>1669</v>
      </c>
      <c r="D4" s="3" t="s">
        <v>1670</v>
      </c>
      <c r="E4" s="3" t="s">
        <v>1671</v>
      </c>
      <c r="F4" s="3" t="s">
        <v>1672</v>
      </c>
      <c r="G4" s="3" t="s">
        <v>1673</v>
      </c>
      <c r="H4" s="3" t="s">
        <v>563</v>
      </c>
      <c r="I4" s="3" t="s">
        <v>1674</v>
      </c>
      <c r="J4" s="3" t="s">
        <v>560</v>
      </c>
      <c r="K4" s="3" t="s">
        <v>6</v>
      </c>
    </row>
    <row r="5">
      <c r="A5" s="4" t="s">
        <v>569</v>
      </c>
      <c r="B5" s="4" t="s">
        <v>1675</v>
      </c>
      <c r="C5" s="4">
        <v>1.0</v>
      </c>
      <c r="D5" s="4">
        <v>1.0</v>
      </c>
      <c r="E5" s="4">
        <v>1.0</v>
      </c>
      <c r="F5" s="4">
        <v>1.0</v>
      </c>
      <c r="G5" s="4">
        <v>1.0</v>
      </c>
      <c r="H5" s="4">
        <v>1.0</v>
      </c>
      <c r="I5" s="4">
        <v>0.0</v>
      </c>
      <c r="J5" s="4">
        <v>1.0</v>
      </c>
      <c r="K5" s="4" t="s">
        <v>1676</v>
      </c>
    </row>
    <row r="6">
      <c r="A6" s="4" t="s">
        <v>569</v>
      </c>
      <c r="B6" s="4" t="s">
        <v>1677</v>
      </c>
      <c r="C6" s="4">
        <v>1.5</v>
      </c>
      <c r="D6" s="4">
        <v>1.0</v>
      </c>
      <c r="E6" s="4">
        <v>2.0</v>
      </c>
      <c r="F6" s="4">
        <v>1.0</v>
      </c>
      <c r="G6" s="4">
        <v>2.0</v>
      </c>
      <c r="H6" s="4">
        <v>1.0</v>
      </c>
      <c r="I6" s="4">
        <v>0.0</v>
      </c>
      <c r="J6" s="4">
        <v>1.0</v>
      </c>
      <c r="K6" s="4" t="s">
        <v>1676</v>
      </c>
    </row>
    <row r="7">
      <c r="A7" s="4" t="s">
        <v>569</v>
      </c>
      <c r="B7" s="4" t="s">
        <v>1266</v>
      </c>
      <c r="C7" s="4">
        <v>1.0</v>
      </c>
      <c r="D7" s="4">
        <v>1.0</v>
      </c>
      <c r="E7" s="4">
        <v>1.0</v>
      </c>
      <c r="F7" s="4">
        <v>1.0</v>
      </c>
      <c r="G7" s="4">
        <v>1.0</v>
      </c>
      <c r="H7" s="4">
        <v>1.0</v>
      </c>
      <c r="I7" s="4">
        <v>0.0</v>
      </c>
      <c r="J7" s="4">
        <v>1.0</v>
      </c>
      <c r="K7" s="4" t="s">
        <v>1676</v>
      </c>
    </row>
    <row r="8">
      <c r="A8" s="4" t="s">
        <v>569</v>
      </c>
      <c r="B8" s="4" t="s">
        <v>1678</v>
      </c>
      <c r="C8" s="4">
        <v>1.0</v>
      </c>
      <c r="D8" s="4">
        <v>1.0</v>
      </c>
      <c r="E8" s="4">
        <v>1.0</v>
      </c>
      <c r="F8" s="4">
        <v>1.0</v>
      </c>
      <c r="G8" s="4">
        <v>1.0</v>
      </c>
      <c r="H8" s="4">
        <v>1.0</v>
      </c>
      <c r="I8" s="4">
        <v>0.0</v>
      </c>
      <c r="J8" s="4">
        <v>1.0</v>
      </c>
      <c r="K8" s="4" t="s">
        <v>1676</v>
      </c>
    </row>
    <row r="9">
      <c r="A9" s="4" t="s">
        <v>569</v>
      </c>
      <c r="B9" s="4" t="s">
        <v>1679</v>
      </c>
      <c r="C9" s="4">
        <v>0.75</v>
      </c>
      <c r="D9" s="4">
        <v>1.0</v>
      </c>
      <c r="E9" s="4">
        <v>1.0</v>
      </c>
      <c r="F9" s="4">
        <v>1.0</v>
      </c>
      <c r="G9" s="4">
        <v>1.0</v>
      </c>
      <c r="H9" s="4">
        <v>1.0</v>
      </c>
      <c r="I9" s="4">
        <v>0.0</v>
      </c>
      <c r="J9" s="4">
        <v>1.0</v>
      </c>
      <c r="K9" s="4" t="s">
        <v>1676</v>
      </c>
    </row>
    <row r="10">
      <c r="A10" s="4" t="s">
        <v>569</v>
      </c>
      <c r="B10" s="4" t="s">
        <v>1680</v>
      </c>
      <c r="C10" s="4">
        <v>0.5</v>
      </c>
      <c r="D10" s="4">
        <v>1.0</v>
      </c>
      <c r="E10" s="4">
        <v>1.0</v>
      </c>
      <c r="F10" s="4">
        <v>1.0</v>
      </c>
      <c r="G10" s="4">
        <v>1.0</v>
      </c>
      <c r="H10" s="4">
        <v>1.0</v>
      </c>
      <c r="I10" s="4">
        <v>0.0</v>
      </c>
      <c r="J10" s="4">
        <v>1.0</v>
      </c>
      <c r="K10" s="4" t="s">
        <v>1676</v>
      </c>
    </row>
    <row r="11">
      <c r="A11" s="4" t="s">
        <v>569</v>
      </c>
      <c r="B11" s="4" t="s">
        <v>1681</v>
      </c>
      <c r="C11" s="4">
        <v>0.75</v>
      </c>
      <c r="D11" s="4">
        <v>1.0</v>
      </c>
      <c r="E11" s="4">
        <v>1.0</v>
      </c>
      <c r="F11" s="4">
        <v>1.0</v>
      </c>
      <c r="G11" s="4">
        <v>1.0</v>
      </c>
      <c r="H11" s="4">
        <v>1.0</v>
      </c>
      <c r="I11" s="4">
        <v>0.0</v>
      </c>
      <c r="J11" s="4">
        <v>1.0</v>
      </c>
      <c r="K11" s="4" t="s">
        <v>1676</v>
      </c>
    </row>
    <row r="12">
      <c r="A12" s="4" t="s">
        <v>572</v>
      </c>
      <c r="B12" s="4" t="s">
        <v>1675</v>
      </c>
      <c r="C12" s="4">
        <v>1.0</v>
      </c>
      <c r="D12" s="4">
        <v>2.0</v>
      </c>
      <c r="E12" s="4">
        <v>2.0</v>
      </c>
      <c r="F12" s="4">
        <v>1.0</v>
      </c>
      <c r="G12" s="4">
        <v>1.0</v>
      </c>
      <c r="H12" s="4">
        <v>2.0</v>
      </c>
      <c r="I12" s="4">
        <v>0.0</v>
      </c>
      <c r="J12" s="4">
        <v>1.25</v>
      </c>
      <c r="K12" s="4" t="s">
        <v>1676</v>
      </c>
    </row>
    <row r="13">
      <c r="A13" s="4" t="s">
        <v>572</v>
      </c>
      <c r="B13" s="4" t="s">
        <v>1677</v>
      </c>
      <c r="C13" s="4">
        <v>1.5</v>
      </c>
      <c r="D13" s="4">
        <v>2.0</v>
      </c>
      <c r="E13" s="4">
        <v>3.0</v>
      </c>
      <c r="F13" s="4">
        <v>1.0</v>
      </c>
      <c r="G13" s="4">
        <v>2.0</v>
      </c>
      <c r="H13" s="4">
        <v>2.0</v>
      </c>
      <c r="I13" s="4">
        <v>0.0</v>
      </c>
      <c r="J13" s="4">
        <v>1.25</v>
      </c>
      <c r="K13" s="4" t="s">
        <v>1676</v>
      </c>
    </row>
    <row r="14">
      <c r="A14" s="4" t="s">
        <v>572</v>
      </c>
      <c r="B14" s="4" t="s">
        <v>1266</v>
      </c>
      <c r="C14" s="4">
        <v>1.0</v>
      </c>
      <c r="D14" s="4">
        <v>2.0</v>
      </c>
      <c r="E14" s="4">
        <v>2.0</v>
      </c>
      <c r="F14" s="4">
        <v>1.0</v>
      </c>
      <c r="G14" s="4">
        <v>1.0</v>
      </c>
      <c r="H14" s="4">
        <v>2.0</v>
      </c>
      <c r="I14" s="4">
        <v>0.0</v>
      </c>
      <c r="J14" s="4">
        <v>1.25</v>
      </c>
      <c r="K14" s="4" t="s">
        <v>1676</v>
      </c>
    </row>
    <row r="15">
      <c r="A15" s="4" t="s">
        <v>572</v>
      </c>
      <c r="B15" s="4" t="s">
        <v>1678</v>
      </c>
      <c r="C15" s="4">
        <v>1.0</v>
      </c>
      <c r="D15" s="4">
        <v>2.0</v>
      </c>
      <c r="E15" s="4">
        <v>2.0</v>
      </c>
      <c r="F15" s="4">
        <v>1.0</v>
      </c>
      <c r="G15" s="4">
        <v>1.0</v>
      </c>
      <c r="H15" s="4">
        <v>2.0</v>
      </c>
      <c r="I15" s="4">
        <v>0.0</v>
      </c>
      <c r="J15" s="4">
        <v>1.25</v>
      </c>
      <c r="K15" s="4" t="s">
        <v>1676</v>
      </c>
    </row>
    <row r="16">
      <c r="A16" s="4" t="s">
        <v>572</v>
      </c>
      <c r="B16" s="4" t="s">
        <v>1679</v>
      </c>
      <c r="C16" s="4">
        <v>0.75</v>
      </c>
      <c r="D16" s="4">
        <v>2.0</v>
      </c>
      <c r="E16" s="4">
        <v>2.0</v>
      </c>
      <c r="F16" s="4">
        <v>1.0</v>
      </c>
      <c r="G16" s="4">
        <v>1.0</v>
      </c>
      <c r="H16" s="4">
        <v>2.0</v>
      </c>
      <c r="I16" s="4">
        <v>0.0</v>
      </c>
      <c r="J16" s="4">
        <v>1.25</v>
      </c>
      <c r="K16" s="4" t="s">
        <v>1676</v>
      </c>
    </row>
    <row r="17">
      <c r="A17" s="4" t="s">
        <v>572</v>
      </c>
      <c r="B17" s="4" t="s">
        <v>1680</v>
      </c>
      <c r="C17" s="4">
        <v>0.5</v>
      </c>
      <c r="D17" s="4">
        <v>2.0</v>
      </c>
      <c r="E17" s="4">
        <v>1.0</v>
      </c>
      <c r="F17" s="4">
        <v>1.0</v>
      </c>
      <c r="G17" s="4">
        <v>1.0</v>
      </c>
      <c r="H17" s="4">
        <v>2.0</v>
      </c>
      <c r="I17" s="4">
        <v>0.0</v>
      </c>
      <c r="J17" s="4">
        <v>1.25</v>
      </c>
      <c r="K17" s="4" t="s">
        <v>1676</v>
      </c>
    </row>
    <row r="18">
      <c r="A18" s="4" t="s">
        <v>572</v>
      </c>
      <c r="B18" s="4" t="s">
        <v>1681</v>
      </c>
      <c r="C18" s="4">
        <v>0.75</v>
      </c>
      <c r="D18" s="4">
        <v>2.0</v>
      </c>
      <c r="E18" s="4">
        <v>2.0</v>
      </c>
      <c r="F18" s="4">
        <v>1.0</v>
      </c>
      <c r="G18" s="4">
        <v>1.0</v>
      </c>
      <c r="H18" s="4">
        <v>2.0</v>
      </c>
      <c r="I18" s="4">
        <v>0.0</v>
      </c>
      <c r="J18" s="4">
        <v>1.25</v>
      </c>
      <c r="K18" s="4" t="s">
        <v>1676</v>
      </c>
    </row>
    <row r="19">
      <c r="A19" s="4" t="s">
        <v>575</v>
      </c>
      <c r="B19" s="4" t="s">
        <v>1675</v>
      </c>
      <c r="C19" s="4">
        <v>1.0</v>
      </c>
      <c r="D19" s="4">
        <v>3.0</v>
      </c>
      <c r="E19" s="4">
        <v>3.0</v>
      </c>
      <c r="F19" s="4">
        <v>2.0</v>
      </c>
      <c r="G19" s="4">
        <v>2.0</v>
      </c>
      <c r="H19" s="4">
        <v>2.0</v>
      </c>
      <c r="I19" s="4">
        <v>1.0</v>
      </c>
      <c r="J19" s="4">
        <v>1.55</v>
      </c>
      <c r="K19" s="4" t="s">
        <v>1676</v>
      </c>
    </row>
    <row r="20">
      <c r="A20" s="4" t="s">
        <v>575</v>
      </c>
      <c r="B20" s="4" t="s">
        <v>1677</v>
      </c>
      <c r="C20" s="4">
        <v>1.5</v>
      </c>
      <c r="D20" s="4">
        <v>3.0</v>
      </c>
      <c r="E20" s="4">
        <v>5.0</v>
      </c>
      <c r="F20" s="4">
        <v>2.0</v>
      </c>
      <c r="G20" s="4">
        <v>3.0</v>
      </c>
      <c r="H20" s="4">
        <v>2.0</v>
      </c>
      <c r="I20" s="4">
        <v>1.0</v>
      </c>
      <c r="J20" s="4">
        <v>1.55</v>
      </c>
      <c r="K20" s="4" t="s">
        <v>1676</v>
      </c>
    </row>
    <row r="21" ht="15.75" customHeight="1">
      <c r="A21" s="4" t="s">
        <v>575</v>
      </c>
      <c r="B21" s="4" t="s">
        <v>1266</v>
      </c>
      <c r="C21" s="4">
        <v>1.0</v>
      </c>
      <c r="D21" s="4">
        <v>3.0</v>
      </c>
      <c r="E21" s="4">
        <v>3.0</v>
      </c>
      <c r="F21" s="4">
        <v>2.0</v>
      </c>
      <c r="G21" s="4">
        <v>2.0</v>
      </c>
      <c r="H21" s="4">
        <v>2.0</v>
      </c>
      <c r="I21" s="4">
        <v>1.0</v>
      </c>
      <c r="J21" s="4">
        <v>1.55</v>
      </c>
      <c r="K21" s="4" t="s">
        <v>1676</v>
      </c>
    </row>
    <row r="22" ht="15.75" customHeight="1">
      <c r="A22" s="4" t="s">
        <v>575</v>
      </c>
      <c r="B22" s="4" t="s">
        <v>1678</v>
      </c>
      <c r="C22" s="4">
        <v>1.0</v>
      </c>
      <c r="D22" s="4">
        <v>3.0</v>
      </c>
      <c r="E22" s="4">
        <v>3.0</v>
      </c>
      <c r="F22" s="4">
        <v>2.0</v>
      </c>
      <c r="G22" s="4">
        <v>2.0</v>
      </c>
      <c r="H22" s="4">
        <v>2.0</v>
      </c>
      <c r="I22" s="4">
        <v>1.0</v>
      </c>
      <c r="J22" s="4">
        <v>1.55</v>
      </c>
      <c r="K22" s="4" t="s">
        <v>1676</v>
      </c>
    </row>
    <row r="23" ht="15.75" customHeight="1">
      <c r="A23" s="4" t="s">
        <v>575</v>
      </c>
      <c r="B23" s="4" t="s">
        <v>1679</v>
      </c>
      <c r="C23" s="4">
        <v>0.75</v>
      </c>
      <c r="D23" s="4">
        <v>3.0</v>
      </c>
      <c r="E23" s="4">
        <v>2.0</v>
      </c>
      <c r="F23" s="4">
        <v>2.0</v>
      </c>
      <c r="G23" s="4">
        <v>2.0</v>
      </c>
      <c r="H23" s="4">
        <v>2.0</v>
      </c>
      <c r="I23" s="4">
        <v>1.0</v>
      </c>
      <c r="J23" s="4">
        <v>1.55</v>
      </c>
      <c r="K23" s="4" t="s">
        <v>1676</v>
      </c>
    </row>
    <row r="24" ht="15.75" customHeight="1">
      <c r="A24" s="4" t="s">
        <v>575</v>
      </c>
      <c r="B24" s="4" t="s">
        <v>1680</v>
      </c>
      <c r="C24" s="4">
        <v>0.5</v>
      </c>
      <c r="D24" s="4">
        <v>3.0</v>
      </c>
      <c r="E24" s="4">
        <v>2.0</v>
      </c>
      <c r="F24" s="4">
        <v>2.0</v>
      </c>
      <c r="G24" s="4">
        <v>1.0</v>
      </c>
      <c r="H24" s="4">
        <v>2.0</v>
      </c>
      <c r="I24" s="4">
        <v>1.0</v>
      </c>
      <c r="J24" s="4">
        <v>1.55</v>
      </c>
      <c r="K24" s="4" t="s">
        <v>1676</v>
      </c>
    </row>
    <row r="25" ht="15.75" customHeight="1">
      <c r="A25" s="4" t="s">
        <v>575</v>
      </c>
      <c r="B25" s="4" t="s">
        <v>1681</v>
      </c>
      <c r="C25" s="4">
        <v>0.75</v>
      </c>
      <c r="D25" s="4">
        <v>3.0</v>
      </c>
      <c r="E25" s="4">
        <v>2.0</v>
      </c>
      <c r="F25" s="4">
        <v>2.0</v>
      </c>
      <c r="G25" s="4">
        <v>2.0</v>
      </c>
      <c r="H25" s="4">
        <v>2.0</v>
      </c>
      <c r="I25" s="4">
        <v>1.0</v>
      </c>
      <c r="J25" s="4">
        <v>1.55</v>
      </c>
      <c r="K25" s="4" t="s">
        <v>1676</v>
      </c>
    </row>
    <row r="26" ht="15.75" customHeight="1">
      <c r="A26" s="4" t="s">
        <v>578</v>
      </c>
      <c r="B26" s="4" t="s">
        <v>1675</v>
      </c>
      <c r="C26" s="4">
        <v>1.0</v>
      </c>
      <c r="D26" s="4">
        <v>4.0</v>
      </c>
      <c r="E26" s="4">
        <v>4.0</v>
      </c>
      <c r="F26" s="4">
        <v>3.0</v>
      </c>
      <c r="G26" s="4">
        <v>3.0</v>
      </c>
      <c r="H26" s="4">
        <v>3.0</v>
      </c>
      <c r="I26" s="4">
        <v>1.0</v>
      </c>
      <c r="J26" s="4">
        <v>1.9</v>
      </c>
      <c r="K26" s="4" t="s">
        <v>1676</v>
      </c>
    </row>
    <row r="27" ht="15.75" customHeight="1">
      <c r="A27" s="4" t="s">
        <v>578</v>
      </c>
      <c r="B27" s="4" t="s">
        <v>1677</v>
      </c>
      <c r="C27" s="4">
        <v>1.5</v>
      </c>
      <c r="D27" s="4">
        <v>4.0</v>
      </c>
      <c r="E27" s="4">
        <v>6.0</v>
      </c>
      <c r="F27" s="4">
        <v>3.0</v>
      </c>
      <c r="G27" s="4">
        <v>5.0</v>
      </c>
      <c r="H27" s="4">
        <v>3.0</v>
      </c>
      <c r="I27" s="4">
        <v>1.0</v>
      </c>
      <c r="J27" s="4">
        <v>1.9</v>
      </c>
      <c r="K27" s="4" t="s">
        <v>1676</v>
      </c>
    </row>
    <row r="28" ht="15.75" customHeight="1">
      <c r="A28" s="4" t="s">
        <v>578</v>
      </c>
      <c r="B28" s="4" t="s">
        <v>1266</v>
      </c>
      <c r="C28" s="4">
        <v>1.0</v>
      </c>
      <c r="D28" s="4">
        <v>4.0</v>
      </c>
      <c r="E28" s="4">
        <v>4.0</v>
      </c>
      <c r="F28" s="4">
        <v>3.0</v>
      </c>
      <c r="G28" s="4">
        <v>3.0</v>
      </c>
      <c r="H28" s="4">
        <v>3.0</v>
      </c>
      <c r="I28" s="4">
        <v>1.0</v>
      </c>
      <c r="J28" s="4">
        <v>1.9</v>
      </c>
      <c r="K28" s="4" t="s">
        <v>1676</v>
      </c>
    </row>
    <row r="29" ht="15.75" customHeight="1">
      <c r="A29" s="4" t="s">
        <v>578</v>
      </c>
      <c r="B29" s="4" t="s">
        <v>1678</v>
      </c>
      <c r="C29" s="4">
        <v>1.0</v>
      </c>
      <c r="D29" s="4">
        <v>4.0</v>
      </c>
      <c r="E29" s="4">
        <v>4.0</v>
      </c>
      <c r="F29" s="4">
        <v>3.0</v>
      </c>
      <c r="G29" s="4">
        <v>3.0</v>
      </c>
      <c r="H29" s="4">
        <v>3.0</v>
      </c>
      <c r="I29" s="4">
        <v>1.0</v>
      </c>
      <c r="J29" s="4">
        <v>1.9</v>
      </c>
      <c r="K29" s="4" t="s">
        <v>1676</v>
      </c>
    </row>
    <row r="30" ht="15.75" customHeight="1">
      <c r="A30" s="4" t="s">
        <v>578</v>
      </c>
      <c r="B30" s="4" t="s">
        <v>1679</v>
      </c>
      <c r="C30" s="4">
        <v>0.75</v>
      </c>
      <c r="D30" s="4">
        <v>4.0</v>
      </c>
      <c r="E30" s="4">
        <v>3.0</v>
      </c>
      <c r="F30" s="4">
        <v>3.0</v>
      </c>
      <c r="G30" s="4">
        <v>2.0</v>
      </c>
      <c r="H30" s="4">
        <v>3.0</v>
      </c>
      <c r="I30" s="4">
        <v>1.0</v>
      </c>
      <c r="J30" s="4">
        <v>1.9</v>
      </c>
      <c r="K30" s="4" t="s">
        <v>1676</v>
      </c>
    </row>
    <row r="31" ht="15.75" customHeight="1">
      <c r="A31" s="4" t="s">
        <v>578</v>
      </c>
      <c r="B31" s="4" t="s">
        <v>1680</v>
      </c>
      <c r="C31" s="4">
        <v>0.5</v>
      </c>
      <c r="D31" s="4">
        <v>4.0</v>
      </c>
      <c r="E31" s="4">
        <v>2.0</v>
      </c>
      <c r="F31" s="4">
        <v>3.0</v>
      </c>
      <c r="G31" s="4">
        <v>2.0</v>
      </c>
      <c r="H31" s="4">
        <v>3.0</v>
      </c>
      <c r="I31" s="4">
        <v>1.0</v>
      </c>
      <c r="J31" s="4">
        <v>1.9</v>
      </c>
      <c r="K31" s="4" t="s">
        <v>1676</v>
      </c>
    </row>
    <row r="32" ht="15.75" customHeight="1">
      <c r="A32" s="4" t="s">
        <v>578</v>
      </c>
      <c r="B32" s="4" t="s">
        <v>1681</v>
      </c>
      <c r="C32" s="4">
        <v>0.75</v>
      </c>
      <c r="D32" s="4">
        <v>4.0</v>
      </c>
      <c r="E32" s="4">
        <v>3.0</v>
      </c>
      <c r="F32" s="4">
        <v>3.0</v>
      </c>
      <c r="G32" s="4">
        <v>2.0</v>
      </c>
      <c r="H32" s="4">
        <v>3.0</v>
      </c>
      <c r="I32" s="4">
        <v>1.0</v>
      </c>
      <c r="J32" s="4">
        <v>1.9</v>
      </c>
      <c r="K32" s="4" t="s">
        <v>1676</v>
      </c>
    </row>
    <row r="33" ht="15.75" customHeight="1">
      <c r="A33" s="4" t="s">
        <v>581</v>
      </c>
      <c r="B33" s="4" t="s">
        <v>1675</v>
      </c>
      <c r="C33" s="4">
        <v>1.0</v>
      </c>
      <c r="D33" s="4">
        <v>5.0</v>
      </c>
      <c r="E33" s="4">
        <v>5.0</v>
      </c>
      <c r="F33" s="4">
        <v>3.0</v>
      </c>
      <c r="G33" s="4">
        <v>3.0</v>
      </c>
      <c r="H33" s="4">
        <v>3.0</v>
      </c>
      <c r="I33" s="4">
        <v>2.0</v>
      </c>
      <c r="J33" s="4">
        <v>2.3</v>
      </c>
      <c r="K33" s="4" t="s">
        <v>1676</v>
      </c>
    </row>
    <row r="34" ht="15.75" customHeight="1">
      <c r="A34" s="4" t="s">
        <v>581</v>
      </c>
      <c r="B34" s="4" t="s">
        <v>1677</v>
      </c>
      <c r="C34" s="4">
        <v>1.5</v>
      </c>
      <c r="D34" s="4">
        <v>5.0</v>
      </c>
      <c r="E34" s="4">
        <v>8.0</v>
      </c>
      <c r="F34" s="4">
        <v>3.0</v>
      </c>
      <c r="G34" s="4">
        <v>5.0</v>
      </c>
      <c r="H34" s="4">
        <v>3.0</v>
      </c>
      <c r="I34" s="4">
        <v>2.0</v>
      </c>
      <c r="J34" s="4">
        <v>2.3</v>
      </c>
      <c r="K34" s="4" t="s">
        <v>1676</v>
      </c>
    </row>
    <row r="35" ht="15.75" customHeight="1">
      <c r="A35" s="4" t="s">
        <v>581</v>
      </c>
      <c r="B35" s="4" t="s">
        <v>1266</v>
      </c>
      <c r="C35" s="4">
        <v>1.0</v>
      </c>
      <c r="D35" s="4">
        <v>5.0</v>
      </c>
      <c r="E35" s="4">
        <v>5.0</v>
      </c>
      <c r="F35" s="4">
        <v>3.0</v>
      </c>
      <c r="G35" s="4">
        <v>3.0</v>
      </c>
      <c r="H35" s="4">
        <v>3.0</v>
      </c>
      <c r="I35" s="4">
        <v>2.0</v>
      </c>
      <c r="J35" s="4">
        <v>2.3</v>
      </c>
      <c r="K35" s="4" t="s">
        <v>1676</v>
      </c>
    </row>
    <row r="36" ht="15.75" customHeight="1">
      <c r="A36" s="4" t="s">
        <v>581</v>
      </c>
      <c r="B36" s="4" t="s">
        <v>1678</v>
      </c>
      <c r="C36" s="4">
        <v>1.0</v>
      </c>
      <c r="D36" s="4">
        <v>5.0</v>
      </c>
      <c r="E36" s="4">
        <v>5.0</v>
      </c>
      <c r="F36" s="4">
        <v>3.0</v>
      </c>
      <c r="G36" s="4">
        <v>3.0</v>
      </c>
      <c r="H36" s="4">
        <v>3.0</v>
      </c>
      <c r="I36" s="4">
        <v>2.0</v>
      </c>
      <c r="J36" s="4">
        <v>2.3</v>
      </c>
      <c r="K36" s="4" t="s">
        <v>1676</v>
      </c>
    </row>
    <row r="37" ht="15.75" customHeight="1">
      <c r="A37" s="4" t="s">
        <v>581</v>
      </c>
      <c r="B37" s="4" t="s">
        <v>1679</v>
      </c>
      <c r="C37" s="4">
        <v>0.75</v>
      </c>
      <c r="D37" s="4">
        <v>5.0</v>
      </c>
      <c r="E37" s="4">
        <v>4.0</v>
      </c>
      <c r="F37" s="4">
        <v>3.0</v>
      </c>
      <c r="G37" s="4">
        <v>2.0</v>
      </c>
      <c r="H37" s="4">
        <v>3.0</v>
      </c>
      <c r="I37" s="4">
        <v>2.0</v>
      </c>
      <c r="J37" s="4">
        <v>2.3</v>
      </c>
      <c r="K37" s="4" t="s">
        <v>1676</v>
      </c>
    </row>
    <row r="38" ht="15.75" customHeight="1">
      <c r="A38" s="4" t="s">
        <v>581</v>
      </c>
      <c r="B38" s="4" t="s">
        <v>1680</v>
      </c>
      <c r="C38" s="4">
        <v>0.5</v>
      </c>
      <c r="D38" s="4">
        <v>5.0</v>
      </c>
      <c r="E38" s="4">
        <v>3.0</v>
      </c>
      <c r="F38" s="4">
        <v>3.0</v>
      </c>
      <c r="G38" s="4">
        <v>2.0</v>
      </c>
      <c r="H38" s="4">
        <v>3.0</v>
      </c>
      <c r="I38" s="4">
        <v>2.0</v>
      </c>
      <c r="J38" s="4">
        <v>2.3</v>
      </c>
      <c r="K38" s="4" t="s">
        <v>1676</v>
      </c>
    </row>
    <row r="39" ht="15.75" customHeight="1">
      <c r="A39" s="4" t="s">
        <v>581</v>
      </c>
      <c r="B39" s="4" t="s">
        <v>1681</v>
      </c>
      <c r="C39" s="4">
        <v>0.75</v>
      </c>
      <c r="D39" s="4">
        <v>5.0</v>
      </c>
      <c r="E39" s="4">
        <v>4.0</v>
      </c>
      <c r="F39" s="4">
        <v>3.0</v>
      </c>
      <c r="G39" s="4">
        <v>2.0</v>
      </c>
      <c r="H39" s="4">
        <v>3.0</v>
      </c>
      <c r="I39" s="4">
        <v>2.0</v>
      </c>
      <c r="J39" s="4">
        <v>2.3</v>
      </c>
      <c r="K39" s="4" t="s">
        <v>1676</v>
      </c>
    </row>
    <row r="40" ht="15.75" customHeight="1">
      <c r="A40" s="4" t="s">
        <v>584</v>
      </c>
      <c r="B40" s="4" t="s">
        <v>1675</v>
      </c>
      <c r="C40" s="4">
        <v>1.0</v>
      </c>
      <c r="D40" s="4">
        <v>6.0</v>
      </c>
      <c r="E40" s="4">
        <v>6.0</v>
      </c>
      <c r="F40" s="4">
        <v>4.0</v>
      </c>
      <c r="G40" s="4">
        <v>4.0</v>
      </c>
      <c r="H40" s="4">
        <v>4.0</v>
      </c>
      <c r="I40" s="4">
        <v>2.0</v>
      </c>
      <c r="J40" s="4">
        <v>2.75</v>
      </c>
      <c r="K40" s="4" t="s">
        <v>1676</v>
      </c>
    </row>
    <row r="41" ht="15.75" customHeight="1">
      <c r="A41" s="4" t="s">
        <v>584</v>
      </c>
      <c r="B41" s="4" t="s">
        <v>1677</v>
      </c>
      <c r="C41" s="4">
        <v>1.5</v>
      </c>
      <c r="D41" s="4">
        <v>6.0</v>
      </c>
      <c r="E41" s="4">
        <v>9.0</v>
      </c>
      <c r="F41" s="4">
        <v>4.0</v>
      </c>
      <c r="G41" s="4">
        <v>6.0</v>
      </c>
      <c r="H41" s="4">
        <v>4.0</v>
      </c>
      <c r="I41" s="4">
        <v>2.0</v>
      </c>
      <c r="J41" s="4">
        <v>2.75</v>
      </c>
      <c r="K41" s="4" t="s">
        <v>1676</v>
      </c>
    </row>
    <row r="42" ht="15.75" customHeight="1">
      <c r="A42" s="4" t="s">
        <v>584</v>
      </c>
      <c r="B42" s="4" t="s">
        <v>1266</v>
      </c>
      <c r="C42" s="4">
        <v>1.0</v>
      </c>
      <c r="D42" s="4">
        <v>6.0</v>
      </c>
      <c r="E42" s="4">
        <v>6.0</v>
      </c>
      <c r="F42" s="4">
        <v>4.0</v>
      </c>
      <c r="G42" s="4">
        <v>4.0</v>
      </c>
      <c r="H42" s="4">
        <v>4.0</v>
      </c>
      <c r="I42" s="4">
        <v>2.0</v>
      </c>
      <c r="J42" s="4">
        <v>2.75</v>
      </c>
      <c r="K42" s="4" t="s">
        <v>1676</v>
      </c>
    </row>
    <row r="43" ht="15.75" customHeight="1">
      <c r="A43" s="4" t="s">
        <v>584</v>
      </c>
      <c r="B43" s="4" t="s">
        <v>1678</v>
      </c>
      <c r="C43" s="4">
        <v>1.0</v>
      </c>
      <c r="D43" s="4">
        <v>6.0</v>
      </c>
      <c r="E43" s="4">
        <v>6.0</v>
      </c>
      <c r="F43" s="4">
        <v>4.0</v>
      </c>
      <c r="G43" s="4">
        <v>4.0</v>
      </c>
      <c r="H43" s="4">
        <v>4.0</v>
      </c>
      <c r="I43" s="4">
        <v>2.0</v>
      </c>
      <c r="J43" s="4">
        <v>2.75</v>
      </c>
      <c r="K43" s="4" t="s">
        <v>1676</v>
      </c>
    </row>
    <row r="44" ht="15.75" customHeight="1">
      <c r="A44" s="4" t="s">
        <v>584</v>
      </c>
      <c r="B44" s="4" t="s">
        <v>1679</v>
      </c>
      <c r="C44" s="4">
        <v>0.75</v>
      </c>
      <c r="D44" s="4">
        <v>6.0</v>
      </c>
      <c r="E44" s="4">
        <v>5.0</v>
      </c>
      <c r="F44" s="4">
        <v>4.0</v>
      </c>
      <c r="G44" s="4">
        <v>3.0</v>
      </c>
      <c r="H44" s="4">
        <v>4.0</v>
      </c>
      <c r="I44" s="4">
        <v>2.0</v>
      </c>
      <c r="J44" s="4">
        <v>2.75</v>
      </c>
      <c r="K44" s="4" t="s">
        <v>1676</v>
      </c>
    </row>
    <row r="45" ht="15.75" customHeight="1">
      <c r="A45" s="4" t="s">
        <v>584</v>
      </c>
      <c r="B45" s="4" t="s">
        <v>1680</v>
      </c>
      <c r="C45" s="4">
        <v>0.5</v>
      </c>
      <c r="D45" s="4">
        <v>6.0</v>
      </c>
      <c r="E45" s="4">
        <v>3.0</v>
      </c>
      <c r="F45" s="4">
        <v>4.0</v>
      </c>
      <c r="G45" s="4">
        <v>2.0</v>
      </c>
      <c r="H45" s="4">
        <v>4.0</v>
      </c>
      <c r="I45" s="4">
        <v>2.0</v>
      </c>
      <c r="J45" s="4">
        <v>2.75</v>
      </c>
      <c r="K45" s="4" t="s">
        <v>1676</v>
      </c>
    </row>
    <row r="46" ht="15.75" customHeight="1">
      <c r="A46" s="4" t="s">
        <v>584</v>
      </c>
      <c r="B46" s="4" t="s">
        <v>1681</v>
      </c>
      <c r="C46" s="4">
        <v>0.75</v>
      </c>
      <c r="D46" s="4">
        <v>6.0</v>
      </c>
      <c r="E46" s="4">
        <v>5.0</v>
      </c>
      <c r="F46" s="4">
        <v>4.0</v>
      </c>
      <c r="G46" s="4">
        <v>3.0</v>
      </c>
      <c r="H46" s="4">
        <v>4.0</v>
      </c>
      <c r="I46" s="4">
        <v>2.0</v>
      </c>
      <c r="J46" s="4">
        <v>2.75</v>
      </c>
      <c r="K46" s="4" t="s">
        <v>1676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K1"/>
    <mergeCell ref="A2:K2"/>
  </mergeCell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4.0"/>
    <col customWidth="1" min="2" max="2" width="54.0"/>
    <col customWidth="1" min="3" max="4" width="22.0"/>
    <col customWidth="1" min="5" max="5" width="26.0"/>
    <col customWidth="1" min="6" max="6" width="60.0"/>
    <col customWidth="1" min="7" max="11" width="8.71"/>
  </cols>
  <sheetData>
    <row r="1">
      <c r="A1" s="10" t="s">
        <v>1682</v>
      </c>
    </row>
    <row r="2">
      <c r="A2" s="2" t="s">
        <v>1683</v>
      </c>
    </row>
    <row r="4">
      <c r="A4" s="3" t="s">
        <v>367</v>
      </c>
      <c r="B4" s="3" t="s">
        <v>459</v>
      </c>
      <c r="C4" s="3" t="s">
        <v>1684</v>
      </c>
      <c r="D4" s="3" t="s">
        <v>1685</v>
      </c>
      <c r="E4" s="3" t="s">
        <v>1686</v>
      </c>
      <c r="F4" s="3" t="s">
        <v>369</v>
      </c>
    </row>
    <row r="5">
      <c r="A5" s="4" t="s">
        <v>1687</v>
      </c>
      <c r="B5" s="4" t="s">
        <v>1688</v>
      </c>
      <c r="C5" s="4" t="s">
        <v>1689</v>
      </c>
      <c r="D5" s="4" t="s">
        <v>1690</v>
      </c>
      <c r="E5" s="4" t="s">
        <v>1602</v>
      </c>
      <c r="F5" s="4" t="s">
        <v>1691</v>
      </c>
    </row>
    <row r="6">
      <c r="A6" s="4" t="s">
        <v>1692</v>
      </c>
      <c r="B6" s="4" t="s">
        <v>1693</v>
      </c>
      <c r="C6" s="4" t="s">
        <v>1694</v>
      </c>
      <c r="D6" s="4" t="s">
        <v>1690</v>
      </c>
      <c r="E6" s="4" t="s">
        <v>1602</v>
      </c>
      <c r="F6" s="4" t="s">
        <v>1695</v>
      </c>
    </row>
    <row r="7">
      <c r="A7" s="4" t="s">
        <v>114</v>
      </c>
      <c r="B7" s="4" t="s">
        <v>1696</v>
      </c>
      <c r="C7" s="4" t="s">
        <v>1690</v>
      </c>
      <c r="D7" s="4" t="s">
        <v>1697</v>
      </c>
      <c r="E7" s="4" t="s">
        <v>1698</v>
      </c>
      <c r="F7" s="4" t="s">
        <v>1699</v>
      </c>
    </row>
    <row r="8">
      <c r="A8" s="4" t="s">
        <v>1700</v>
      </c>
      <c r="B8" s="4" t="s">
        <v>1701</v>
      </c>
      <c r="C8" s="4" t="s">
        <v>1702</v>
      </c>
      <c r="D8" s="4" t="s">
        <v>1703</v>
      </c>
      <c r="E8" s="4" t="s">
        <v>1704</v>
      </c>
      <c r="F8" s="4" t="s">
        <v>1705</v>
      </c>
    </row>
    <row r="9">
      <c r="A9" s="4" t="s">
        <v>1706</v>
      </c>
      <c r="B9" s="4" t="s">
        <v>1707</v>
      </c>
      <c r="C9" s="4" t="s">
        <v>1708</v>
      </c>
      <c r="D9" s="4" t="s">
        <v>1703</v>
      </c>
      <c r="E9" s="4" t="s">
        <v>1704</v>
      </c>
      <c r="F9" s="4" t="s">
        <v>1709</v>
      </c>
    </row>
    <row r="10">
      <c r="A10" s="4" t="s">
        <v>1710</v>
      </c>
      <c r="B10" s="4" t="s">
        <v>1711</v>
      </c>
      <c r="C10" s="4" t="s">
        <v>1712</v>
      </c>
      <c r="D10" s="4" t="s">
        <v>1713</v>
      </c>
      <c r="E10" s="4" t="s">
        <v>1714</v>
      </c>
      <c r="F10" s="4" t="s">
        <v>1715</v>
      </c>
    </row>
    <row r="11">
      <c r="A11" s="4" t="s">
        <v>1716</v>
      </c>
      <c r="B11" s="4" t="s">
        <v>1717</v>
      </c>
      <c r="C11" s="4" t="s">
        <v>1718</v>
      </c>
      <c r="D11" s="4" t="s">
        <v>1719</v>
      </c>
      <c r="E11" s="4" t="s">
        <v>1720</v>
      </c>
      <c r="F11" s="4" t="s">
        <v>1721</v>
      </c>
    </row>
    <row r="12">
      <c r="A12" s="4" t="s">
        <v>1569</v>
      </c>
      <c r="B12" s="4" t="s">
        <v>499</v>
      </c>
      <c r="C12" s="4" t="s">
        <v>1722</v>
      </c>
      <c r="D12" s="4" t="s">
        <v>1723</v>
      </c>
      <c r="E12" s="4" t="s">
        <v>1724</v>
      </c>
      <c r="F12" s="4" t="s">
        <v>1725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F1"/>
    <mergeCell ref="A2:F2"/>
  </mergeCell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0"/>
    <col customWidth="1" min="2" max="2" width="28.0"/>
    <col customWidth="1" min="3" max="3" width="40.0"/>
    <col customWidth="1" min="4" max="7" width="24.0"/>
    <col customWidth="1" min="8" max="8" width="48.0"/>
    <col customWidth="1" min="9" max="9" width="20.0"/>
    <col customWidth="1" min="10" max="10" width="16.0"/>
    <col customWidth="1" min="11" max="11" width="32.0"/>
  </cols>
  <sheetData>
    <row r="1">
      <c r="A1" s="10" t="s">
        <v>1726</v>
      </c>
    </row>
    <row r="2">
      <c r="A2" s="2" t="s">
        <v>1727</v>
      </c>
    </row>
    <row r="4">
      <c r="A4" s="3" t="s">
        <v>1728</v>
      </c>
      <c r="B4" s="3" t="s">
        <v>1729</v>
      </c>
      <c r="C4" s="3" t="s">
        <v>1730</v>
      </c>
      <c r="D4" s="3" t="s">
        <v>1731</v>
      </c>
      <c r="E4" s="3" t="s">
        <v>1732</v>
      </c>
      <c r="F4" s="3" t="s">
        <v>1733</v>
      </c>
      <c r="G4" s="3" t="s">
        <v>1734</v>
      </c>
      <c r="H4" s="3" t="s">
        <v>825</v>
      </c>
      <c r="I4" s="3" t="s">
        <v>1735</v>
      </c>
      <c r="J4" s="3" t="s">
        <v>5</v>
      </c>
      <c r="K4" s="3" t="s">
        <v>1736</v>
      </c>
    </row>
    <row r="5">
      <c r="A5" s="4" t="s">
        <v>1737</v>
      </c>
      <c r="B5" s="4" t="s">
        <v>1738</v>
      </c>
      <c r="C5" s="4" t="s">
        <v>1739</v>
      </c>
      <c r="D5" s="4" t="s">
        <v>1740</v>
      </c>
      <c r="E5" s="4" t="s">
        <v>1741</v>
      </c>
      <c r="F5" s="4" t="s">
        <v>1741</v>
      </c>
      <c r="G5" s="4" t="s">
        <v>1741</v>
      </c>
      <c r="H5" s="4" t="s">
        <v>1742</v>
      </c>
      <c r="I5" s="4" t="s">
        <v>940</v>
      </c>
      <c r="J5" s="4" t="s">
        <v>1743</v>
      </c>
      <c r="K5" s="4" t="s">
        <v>1744</v>
      </c>
    </row>
    <row r="6">
      <c r="A6" s="4" t="s">
        <v>1745</v>
      </c>
      <c r="B6" s="4" t="s">
        <v>1746</v>
      </c>
      <c r="C6" s="4" t="s">
        <v>1747</v>
      </c>
      <c r="D6" s="4" t="s">
        <v>1740</v>
      </c>
      <c r="E6" s="4" t="s">
        <v>1748</v>
      </c>
      <c r="F6" s="4" t="s">
        <v>1748</v>
      </c>
      <c r="G6" s="4" t="s">
        <v>1748</v>
      </c>
      <c r="H6" s="4" t="s">
        <v>1749</v>
      </c>
      <c r="I6" s="4" t="s">
        <v>940</v>
      </c>
      <c r="J6" s="4" t="s">
        <v>1750</v>
      </c>
      <c r="K6" s="4" t="s">
        <v>1751</v>
      </c>
    </row>
    <row r="7">
      <c r="A7" s="4" t="s">
        <v>1752</v>
      </c>
      <c r="B7" s="4" t="s">
        <v>1753</v>
      </c>
      <c r="C7" s="4" t="s">
        <v>1754</v>
      </c>
      <c r="D7" s="4" t="s">
        <v>1740</v>
      </c>
      <c r="E7" s="4" t="s">
        <v>1748</v>
      </c>
      <c r="F7" s="4" t="s">
        <v>1748</v>
      </c>
      <c r="G7" s="4" t="s">
        <v>1748</v>
      </c>
      <c r="H7" s="4" t="s">
        <v>1755</v>
      </c>
      <c r="I7" s="4" t="s">
        <v>940</v>
      </c>
      <c r="J7" s="4" t="s">
        <v>1743</v>
      </c>
      <c r="K7" s="4" t="s">
        <v>1756</v>
      </c>
    </row>
    <row r="8">
      <c r="A8" s="4" t="s">
        <v>1757</v>
      </c>
      <c r="B8" s="4" t="s">
        <v>1758</v>
      </c>
      <c r="C8" s="4" t="s">
        <v>1759</v>
      </c>
      <c r="D8" s="4" t="s">
        <v>1740</v>
      </c>
      <c r="E8" s="4" t="s">
        <v>1760</v>
      </c>
      <c r="F8" s="4" t="s">
        <v>1760</v>
      </c>
      <c r="G8" s="4" t="s">
        <v>1760</v>
      </c>
      <c r="H8" s="4" t="s">
        <v>1761</v>
      </c>
      <c r="I8" s="4" t="s">
        <v>940</v>
      </c>
      <c r="J8" s="4" t="s">
        <v>1743</v>
      </c>
      <c r="K8" s="4" t="s">
        <v>1762</v>
      </c>
    </row>
    <row r="9">
      <c r="A9" s="4" t="s">
        <v>1763</v>
      </c>
      <c r="B9" s="4" t="s">
        <v>1764</v>
      </c>
      <c r="C9" s="4" t="s">
        <v>1765</v>
      </c>
      <c r="D9" s="4" t="s">
        <v>1766</v>
      </c>
      <c r="E9" s="4" t="s">
        <v>1767</v>
      </c>
      <c r="F9" s="4" t="s">
        <v>1767</v>
      </c>
      <c r="G9" s="4" t="s">
        <v>1767</v>
      </c>
      <c r="H9" s="4" t="s">
        <v>1768</v>
      </c>
      <c r="I9" s="4" t="s">
        <v>940</v>
      </c>
      <c r="J9" s="4" t="s">
        <v>1743</v>
      </c>
      <c r="K9" s="4" t="s">
        <v>1769</v>
      </c>
    </row>
    <row r="10">
      <c r="A10" t="s">
        <v>1770</v>
      </c>
      <c r="B10" t="s">
        <v>1771</v>
      </c>
      <c r="C10" t="s">
        <v>1772</v>
      </c>
      <c r="D10" t="s">
        <v>1773</v>
      </c>
      <c r="E10" t="s">
        <v>1774</v>
      </c>
      <c r="F10" t="s">
        <v>1775</v>
      </c>
      <c r="G10" t="s">
        <v>1776</v>
      </c>
      <c r="H10" t="s">
        <v>1777</v>
      </c>
      <c r="I10" t="s">
        <v>940</v>
      </c>
      <c r="J10" t="s">
        <v>1778</v>
      </c>
      <c r="K10" t="s">
        <v>1779</v>
      </c>
    </row>
    <row r="11">
      <c r="A11" t="s">
        <v>159</v>
      </c>
      <c r="B11" t="s">
        <v>1780</v>
      </c>
      <c r="C11" t="s">
        <v>1781</v>
      </c>
      <c r="D11" t="s">
        <v>1782</v>
      </c>
      <c r="E11" t="s">
        <v>1783</v>
      </c>
      <c r="F11" t="s">
        <v>1784</v>
      </c>
      <c r="G11" t="s">
        <v>1785</v>
      </c>
      <c r="H11" t="s">
        <v>1786</v>
      </c>
      <c r="I11" t="s">
        <v>940</v>
      </c>
      <c r="J11" t="s">
        <v>1778</v>
      </c>
      <c r="K11" t="s">
        <v>1787</v>
      </c>
    </row>
    <row r="12">
      <c r="A12" t="s">
        <v>1788</v>
      </c>
      <c r="B12" t="s">
        <v>1789</v>
      </c>
      <c r="C12" t="s">
        <v>1790</v>
      </c>
      <c r="D12" t="s">
        <v>1791</v>
      </c>
      <c r="E12" t="s">
        <v>1792</v>
      </c>
      <c r="F12" t="s">
        <v>1792</v>
      </c>
      <c r="G12" t="s">
        <v>1792</v>
      </c>
      <c r="H12" t="s">
        <v>1793</v>
      </c>
      <c r="I12" t="s">
        <v>940</v>
      </c>
      <c r="J12" t="s">
        <v>1778</v>
      </c>
      <c r="K12" t="s">
        <v>1794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K1"/>
    <mergeCell ref="A2:K2"/>
  </mergeCell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32.0"/>
    <col customWidth="1" min="2" max="2" width="28.0"/>
    <col customWidth="1" min="3" max="3" width="10.0"/>
    <col customWidth="1" min="4" max="4" width="16.0"/>
    <col customWidth="1" min="5" max="5" width="18.0"/>
    <col customWidth="1" min="6" max="6" width="22.0"/>
    <col customWidth="1" min="7" max="8" width="18.0"/>
    <col customWidth="1" min="9" max="9" width="48.0"/>
    <col customWidth="1" min="10" max="11" width="42.0"/>
    <col customWidth="1" min="12" max="12" width="28.0"/>
    <col customWidth="1" min="13" max="13" width="24.0"/>
    <col customWidth="1" min="14" max="14" width="16.0"/>
  </cols>
  <sheetData>
    <row r="1">
      <c r="A1" s="10" t="s">
        <v>1795</v>
      </c>
    </row>
    <row r="2">
      <c r="A2" s="2" t="s">
        <v>1796</v>
      </c>
    </row>
    <row r="4">
      <c r="A4" s="3" t="s">
        <v>1797</v>
      </c>
      <c r="B4" s="3" t="s">
        <v>1798</v>
      </c>
      <c r="C4" s="3" t="s">
        <v>1179</v>
      </c>
      <c r="D4" s="3" t="s">
        <v>1180</v>
      </c>
      <c r="E4" s="3" t="s">
        <v>1799</v>
      </c>
      <c r="F4" s="3" t="s">
        <v>564</v>
      </c>
      <c r="G4" s="3" t="s">
        <v>1800</v>
      </c>
      <c r="H4" s="3" t="s">
        <v>1801</v>
      </c>
      <c r="I4" s="3" t="s">
        <v>324</v>
      </c>
      <c r="J4" s="3" t="s">
        <v>1802</v>
      </c>
      <c r="K4" s="3" t="s">
        <v>6</v>
      </c>
      <c r="L4" s="3" t="s">
        <v>1803</v>
      </c>
      <c r="M4" s="3" t="s">
        <v>1804</v>
      </c>
      <c r="N4" s="3" t="s">
        <v>5</v>
      </c>
    </row>
    <row r="5">
      <c r="A5" s="4"/>
      <c r="B5" s="4"/>
      <c r="C5" s="4"/>
      <c r="D5" s="4"/>
      <c r="E5" s="20">
        <v>0.0</v>
      </c>
      <c r="F5" s="4" t="s">
        <v>579</v>
      </c>
      <c r="G5" s="4"/>
      <c r="H5" s="4"/>
      <c r="I5" s="4"/>
      <c r="J5" s="4"/>
      <c r="K5" s="4"/>
      <c r="L5" s="4"/>
      <c r="M5" s="4"/>
      <c r="N5" s="4"/>
    </row>
    <row r="6">
      <c r="A6" s="4"/>
      <c r="B6" s="4"/>
      <c r="C6" s="4"/>
      <c r="D6" s="4"/>
      <c r="E6" s="20">
        <v>0.0</v>
      </c>
      <c r="F6" s="4" t="s">
        <v>579</v>
      </c>
      <c r="G6" s="4"/>
      <c r="H6" s="4"/>
      <c r="I6" s="4"/>
      <c r="J6" s="4"/>
      <c r="K6" s="4"/>
      <c r="L6" s="4"/>
      <c r="M6" s="4"/>
      <c r="N6" s="4"/>
    </row>
    <row r="7">
      <c r="A7" s="4"/>
      <c r="B7" s="4"/>
      <c r="C7" s="4"/>
      <c r="D7" s="4"/>
      <c r="E7" s="20">
        <v>0.0</v>
      </c>
      <c r="F7" s="4" t="s">
        <v>579</v>
      </c>
      <c r="G7" s="4"/>
      <c r="H7" s="4"/>
      <c r="I7" s="4"/>
      <c r="J7" s="4"/>
      <c r="K7" s="4"/>
      <c r="L7" s="4"/>
      <c r="M7" s="4"/>
      <c r="N7" s="4"/>
    </row>
    <row r="8">
      <c r="A8" s="4"/>
      <c r="B8" s="4"/>
      <c r="C8" s="4"/>
      <c r="D8" s="4"/>
      <c r="E8" s="20">
        <v>0.0</v>
      </c>
      <c r="F8" s="4" t="s">
        <v>579</v>
      </c>
      <c r="G8" s="4"/>
      <c r="H8" s="4"/>
      <c r="I8" s="4"/>
      <c r="J8" s="4"/>
      <c r="K8" s="4"/>
      <c r="L8" s="4"/>
      <c r="M8" s="4"/>
      <c r="N8" s="4"/>
    </row>
    <row r="9">
      <c r="A9" s="4"/>
      <c r="B9" s="4"/>
      <c r="C9" s="4"/>
      <c r="D9" s="4"/>
      <c r="E9" s="20">
        <v>0.0</v>
      </c>
      <c r="F9" s="4" t="s">
        <v>579</v>
      </c>
      <c r="G9" s="4"/>
      <c r="H9" s="4"/>
      <c r="I9" s="4"/>
      <c r="J9" s="4"/>
      <c r="K9" s="4"/>
      <c r="L9" s="4"/>
      <c r="M9" s="4"/>
      <c r="N9" s="4"/>
    </row>
    <row r="10">
      <c r="A10" s="4"/>
      <c r="B10" s="4"/>
      <c r="C10" s="4"/>
      <c r="D10" s="4"/>
      <c r="E10" s="20">
        <v>0.0</v>
      </c>
      <c r="F10" s="4" t="s">
        <v>579</v>
      </c>
      <c r="G10" s="4"/>
      <c r="H10" s="4"/>
      <c r="I10" s="4"/>
      <c r="J10" s="4"/>
      <c r="K10" s="4"/>
      <c r="L10" s="4"/>
      <c r="M10" s="4"/>
      <c r="N10" s="4"/>
    </row>
    <row r="11">
      <c r="A11" s="4"/>
      <c r="B11" s="4"/>
      <c r="C11" s="4"/>
      <c r="D11" s="4"/>
      <c r="E11" s="20">
        <v>0.0</v>
      </c>
      <c r="F11" s="4" t="s">
        <v>579</v>
      </c>
      <c r="G11" s="4"/>
      <c r="H11" s="4"/>
      <c r="I11" s="4"/>
      <c r="J11" s="4"/>
      <c r="K11" s="4"/>
      <c r="L11" s="4"/>
      <c r="M11" s="4"/>
      <c r="N11" s="4"/>
    </row>
    <row r="12">
      <c r="A12" s="4"/>
      <c r="B12" s="4"/>
      <c r="C12" s="4"/>
      <c r="D12" s="4"/>
      <c r="E12" s="20">
        <v>0.0</v>
      </c>
      <c r="F12" s="4" t="s">
        <v>579</v>
      </c>
      <c r="G12" s="4"/>
      <c r="H12" s="4"/>
      <c r="I12" s="4"/>
      <c r="J12" s="4"/>
      <c r="K12" s="4"/>
      <c r="L12" s="4"/>
      <c r="M12" s="4"/>
      <c r="N12" s="4"/>
    </row>
    <row r="13">
      <c r="A13" s="4"/>
      <c r="B13" s="4"/>
      <c r="C13" s="4"/>
      <c r="D13" s="4"/>
      <c r="E13" s="20">
        <v>0.0</v>
      </c>
      <c r="F13" s="4" t="s">
        <v>579</v>
      </c>
      <c r="G13" s="4"/>
      <c r="H13" s="4"/>
      <c r="I13" s="4"/>
      <c r="J13" s="4"/>
      <c r="K13" s="4"/>
      <c r="L13" s="4"/>
      <c r="M13" s="4"/>
      <c r="N13" s="4"/>
    </row>
    <row r="14">
      <c r="A14" s="4"/>
      <c r="B14" s="4"/>
      <c r="C14" s="4"/>
      <c r="D14" s="4"/>
      <c r="E14" s="20">
        <v>0.0</v>
      </c>
      <c r="F14" s="4" t="s">
        <v>579</v>
      </c>
      <c r="G14" s="4"/>
      <c r="H14" s="4"/>
      <c r="I14" s="4"/>
      <c r="J14" s="4"/>
      <c r="K14" s="4"/>
      <c r="L14" s="4"/>
      <c r="M14" s="4"/>
      <c r="N14" s="4"/>
    </row>
    <row r="15">
      <c r="A15" s="4"/>
      <c r="B15" s="4"/>
      <c r="C15" s="4"/>
      <c r="D15" s="4"/>
      <c r="E15" s="20">
        <v>0.0</v>
      </c>
      <c r="F15" s="4" t="s">
        <v>579</v>
      </c>
      <c r="G15" s="4"/>
      <c r="H15" s="4"/>
      <c r="I15" s="4"/>
      <c r="J15" s="4"/>
      <c r="K15" s="4"/>
      <c r="L15" s="4"/>
      <c r="M15" s="4"/>
      <c r="N15" s="4"/>
    </row>
    <row r="16">
      <c r="A16" s="4"/>
      <c r="B16" s="4"/>
      <c r="C16" s="4"/>
      <c r="D16" s="4"/>
      <c r="E16" s="20">
        <v>0.0</v>
      </c>
      <c r="F16" s="4" t="s">
        <v>579</v>
      </c>
      <c r="G16" s="4"/>
      <c r="H16" s="4"/>
      <c r="I16" s="4"/>
      <c r="J16" s="4"/>
      <c r="K16" s="4"/>
      <c r="L16" s="4"/>
      <c r="M16" s="4"/>
      <c r="N16" s="4"/>
    </row>
    <row r="17">
      <c r="A17" s="4"/>
      <c r="B17" s="4"/>
      <c r="C17" s="4"/>
      <c r="D17" s="4"/>
      <c r="E17" s="20">
        <v>0.0</v>
      </c>
      <c r="F17" s="4" t="s">
        <v>579</v>
      </c>
      <c r="G17" s="4"/>
      <c r="H17" s="4"/>
      <c r="I17" s="4"/>
      <c r="J17" s="4"/>
      <c r="K17" s="4"/>
      <c r="L17" s="4"/>
      <c r="M17" s="4"/>
      <c r="N17" s="4"/>
    </row>
    <row r="18">
      <c r="A18" s="4"/>
      <c r="B18" s="4"/>
      <c r="C18" s="4"/>
      <c r="D18" s="4"/>
      <c r="E18" s="20">
        <v>0.0</v>
      </c>
      <c r="F18" s="4" t="s">
        <v>579</v>
      </c>
      <c r="G18" s="4"/>
      <c r="H18" s="4"/>
      <c r="I18" s="4"/>
      <c r="J18" s="4"/>
      <c r="K18" s="4"/>
      <c r="L18" s="4"/>
      <c r="M18" s="4"/>
      <c r="N18" s="4"/>
    </row>
    <row r="19">
      <c r="A19" s="4"/>
      <c r="B19" s="4"/>
      <c r="C19" s="4"/>
      <c r="D19" s="4"/>
      <c r="E19" s="20">
        <v>0.0</v>
      </c>
      <c r="F19" s="4" t="s">
        <v>579</v>
      </c>
      <c r="G19" s="4"/>
      <c r="H19" s="4"/>
      <c r="I19" s="4"/>
      <c r="J19" s="4"/>
      <c r="K19" s="4"/>
      <c r="L19" s="4"/>
      <c r="M19" s="4"/>
      <c r="N19" s="4"/>
    </row>
    <row r="20">
      <c r="A20" s="4"/>
      <c r="B20" s="4"/>
      <c r="C20" s="4"/>
      <c r="D20" s="4"/>
      <c r="E20" s="20">
        <v>0.0</v>
      </c>
      <c r="F20" s="4" t="s">
        <v>579</v>
      </c>
      <c r="G20" s="4"/>
      <c r="H20" s="4"/>
      <c r="I20" s="4"/>
      <c r="J20" s="4"/>
      <c r="K20" s="4"/>
      <c r="L20" s="4"/>
      <c r="M20" s="4"/>
      <c r="N20" s="4"/>
    </row>
    <row r="21" ht="15.75" customHeight="1">
      <c r="A21" s="4"/>
      <c r="B21" s="4"/>
      <c r="C21" s="4"/>
      <c r="D21" s="4"/>
      <c r="E21" s="20">
        <v>0.0</v>
      </c>
      <c r="F21" s="4" t="s">
        <v>579</v>
      </c>
      <c r="G21" s="4"/>
      <c r="H21" s="4"/>
      <c r="I21" s="4"/>
      <c r="J21" s="4"/>
      <c r="K21" s="4"/>
      <c r="L21" s="4"/>
      <c r="M21" s="4"/>
      <c r="N21" s="4"/>
    </row>
    <row r="22" ht="15.75" customHeight="1">
      <c r="A22" s="4"/>
      <c r="B22" s="4"/>
      <c r="C22" s="4"/>
      <c r="D22" s="4"/>
      <c r="E22" s="20">
        <v>0.0</v>
      </c>
      <c r="F22" s="4" t="s">
        <v>579</v>
      </c>
      <c r="G22" s="4"/>
      <c r="H22" s="4"/>
      <c r="I22" s="4"/>
      <c r="J22" s="4"/>
      <c r="K22" s="4"/>
      <c r="L22" s="4"/>
      <c r="M22" s="4"/>
      <c r="N22" s="4"/>
    </row>
    <row r="23" ht="15.75" customHeight="1">
      <c r="A23" s="4"/>
      <c r="B23" s="4"/>
      <c r="C23" s="4"/>
      <c r="D23" s="4"/>
      <c r="E23" s="20">
        <v>0.0</v>
      </c>
      <c r="F23" s="4" t="s">
        <v>579</v>
      </c>
      <c r="G23" s="4"/>
      <c r="H23" s="4"/>
      <c r="I23" s="4"/>
      <c r="J23" s="4"/>
      <c r="K23" s="4"/>
      <c r="L23" s="4"/>
      <c r="M23" s="4"/>
      <c r="N23" s="4"/>
    </row>
    <row r="24" ht="15.75" customHeight="1">
      <c r="A24" s="4"/>
      <c r="B24" s="4"/>
      <c r="C24" s="4"/>
      <c r="D24" s="4"/>
      <c r="E24" s="20">
        <v>0.0</v>
      </c>
      <c r="F24" s="4" t="s">
        <v>579</v>
      </c>
      <c r="G24" s="4"/>
      <c r="H24" s="4"/>
      <c r="I24" s="4"/>
      <c r="J24" s="4"/>
      <c r="K24" s="4"/>
      <c r="L24" s="4"/>
      <c r="M24" s="4"/>
      <c r="N24" s="4"/>
    </row>
    <row r="25" ht="15.75" customHeight="1">
      <c r="A25" s="4"/>
      <c r="B25" s="4"/>
      <c r="C25" s="4"/>
      <c r="D25" s="4"/>
      <c r="E25" s="20">
        <v>0.0</v>
      </c>
      <c r="F25" s="4" t="s">
        <v>579</v>
      </c>
      <c r="G25" s="4"/>
      <c r="H25" s="4"/>
      <c r="I25" s="4"/>
      <c r="J25" s="4"/>
      <c r="K25" s="4"/>
      <c r="L25" s="4"/>
      <c r="M25" s="4"/>
      <c r="N25" s="4"/>
    </row>
    <row r="26" ht="15.75" customHeight="1">
      <c r="A26" s="4"/>
      <c r="B26" s="4"/>
      <c r="C26" s="4"/>
      <c r="D26" s="4"/>
      <c r="E26" s="20">
        <v>0.0</v>
      </c>
      <c r="F26" s="4" t="s">
        <v>579</v>
      </c>
      <c r="G26" s="4"/>
      <c r="H26" s="4"/>
      <c r="I26" s="4"/>
      <c r="J26" s="4"/>
      <c r="K26" s="4"/>
      <c r="L26" s="4"/>
      <c r="M26" s="4"/>
      <c r="N26" s="4"/>
    </row>
    <row r="27" ht="15.75" customHeight="1">
      <c r="A27" s="4"/>
      <c r="B27" s="4"/>
      <c r="C27" s="4"/>
      <c r="D27" s="4"/>
      <c r="E27" s="20">
        <v>0.0</v>
      </c>
      <c r="F27" s="4" t="s">
        <v>579</v>
      </c>
      <c r="G27" s="4"/>
      <c r="H27" s="4"/>
      <c r="I27" s="4"/>
      <c r="J27" s="4"/>
      <c r="K27" s="4"/>
      <c r="L27" s="4"/>
      <c r="M27" s="4"/>
      <c r="N27" s="4"/>
    </row>
    <row r="28" ht="15.75" customHeight="1">
      <c r="A28" s="4"/>
      <c r="B28" s="4"/>
      <c r="C28" s="4"/>
      <c r="D28" s="4"/>
      <c r="E28" s="20">
        <v>0.0</v>
      </c>
      <c r="F28" s="4" t="s">
        <v>579</v>
      </c>
      <c r="G28" s="4"/>
      <c r="H28" s="4"/>
      <c r="I28" s="4"/>
      <c r="J28" s="4"/>
      <c r="K28" s="4"/>
      <c r="L28" s="4"/>
      <c r="M28" s="4"/>
      <c r="N28" s="4"/>
    </row>
    <row r="29" ht="15.75" customHeight="1">
      <c r="A29" s="4"/>
      <c r="B29" s="4"/>
      <c r="C29" s="4"/>
      <c r="D29" s="4"/>
      <c r="E29" s="20">
        <v>0.0</v>
      </c>
      <c r="F29" s="4" t="s">
        <v>579</v>
      </c>
      <c r="G29" s="4"/>
      <c r="H29" s="4"/>
      <c r="I29" s="4"/>
      <c r="J29" s="4"/>
      <c r="K29" s="4"/>
      <c r="L29" s="4"/>
      <c r="M29" s="4"/>
      <c r="N29" s="4"/>
    </row>
    <row r="30" ht="15.75" customHeight="1">
      <c r="A30" s="4"/>
      <c r="B30" s="4"/>
      <c r="C30" s="4"/>
      <c r="D30" s="4"/>
      <c r="E30" s="20">
        <v>0.0</v>
      </c>
      <c r="F30" s="4" t="s">
        <v>579</v>
      </c>
      <c r="G30" s="4"/>
      <c r="H30" s="4"/>
      <c r="I30" s="4"/>
      <c r="J30" s="4"/>
      <c r="K30" s="4"/>
      <c r="L30" s="4"/>
      <c r="M30" s="4"/>
      <c r="N30" s="4"/>
    </row>
    <row r="31" ht="15.75" customHeight="1">
      <c r="A31" s="4"/>
      <c r="B31" s="4"/>
      <c r="C31" s="4"/>
      <c r="D31" s="4"/>
      <c r="E31" s="20">
        <v>0.0</v>
      </c>
      <c r="F31" s="4" t="s">
        <v>579</v>
      </c>
      <c r="G31" s="4"/>
      <c r="H31" s="4"/>
      <c r="I31" s="4"/>
      <c r="J31" s="4"/>
      <c r="K31" s="4"/>
      <c r="L31" s="4"/>
      <c r="M31" s="4"/>
      <c r="N31" s="4"/>
    </row>
    <row r="32" ht="15.75" customHeight="1">
      <c r="A32" s="4"/>
      <c r="B32" s="4"/>
      <c r="C32" s="4"/>
      <c r="D32" s="4"/>
      <c r="E32" s="20">
        <v>0.0</v>
      </c>
      <c r="F32" s="4" t="s">
        <v>579</v>
      </c>
      <c r="G32" s="4"/>
      <c r="H32" s="4"/>
      <c r="I32" s="4"/>
      <c r="J32" s="4"/>
      <c r="K32" s="4"/>
      <c r="L32" s="4"/>
      <c r="M32" s="4"/>
      <c r="N32" s="4"/>
    </row>
    <row r="33" ht="15.75" customHeight="1">
      <c r="A33" s="4"/>
      <c r="B33" s="4"/>
      <c r="C33" s="4"/>
      <c r="D33" s="4"/>
      <c r="E33" s="20">
        <v>0.0</v>
      </c>
      <c r="F33" s="4" t="s">
        <v>579</v>
      </c>
      <c r="G33" s="4"/>
      <c r="H33" s="4"/>
      <c r="I33" s="4"/>
      <c r="J33" s="4"/>
      <c r="K33" s="4"/>
      <c r="L33" s="4"/>
      <c r="M33" s="4"/>
      <c r="N33" s="4"/>
    </row>
    <row r="34" ht="15.75" customHeight="1">
      <c r="A34" s="4"/>
      <c r="B34" s="4"/>
      <c r="C34" s="4"/>
      <c r="D34" s="4"/>
      <c r="E34" s="20">
        <v>0.0</v>
      </c>
      <c r="F34" s="4" t="s">
        <v>579</v>
      </c>
      <c r="G34" s="4"/>
      <c r="H34" s="4"/>
      <c r="I34" s="4"/>
      <c r="J34" s="4"/>
      <c r="K34" s="4"/>
      <c r="L34" s="4"/>
      <c r="M34" s="4"/>
      <c r="N34" s="4"/>
    </row>
    <row r="35" ht="15.75" customHeight="1">
      <c r="A35" s="4"/>
      <c r="B35" s="4"/>
      <c r="C35" s="4"/>
      <c r="D35" s="4"/>
      <c r="E35" s="20">
        <v>0.0</v>
      </c>
      <c r="F35" s="4" t="s">
        <v>579</v>
      </c>
      <c r="G35" s="4"/>
      <c r="H35" s="4"/>
      <c r="I35" s="4"/>
      <c r="J35" s="4"/>
      <c r="K35" s="4"/>
      <c r="L35" s="4"/>
      <c r="M35" s="4"/>
      <c r="N35" s="4"/>
    </row>
    <row r="36" ht="15.75" customHeight="1">
      <c r="A36" s="4"/>
      <c r="B36" s="4"/>
      <c r="C36" s="4"/>
      <c r="D36" s="4"/>
      <c r="E36" s="20">
        <v>0.0</v>
      </c>
      <c r="F36" s="4" t="s">
        <v>579</v>
      </c>
      <c r="G36" s="4"/>
      <c r="H36" s="4"/>
      <c r="I36" s="4"/>
      <c r="J36" s="4"/>
      <c r="K36" s="4"/>
      <c r="L36" s="4"/>
      <c r="M36" s="4"/>
      <c r="N36" s="4"/>
    </row>
    <row r="37" ht="15.75" customHeight="1">
      <c r="A37" s="4"/>
      <c r="B37" s="4"/>
      <c r="C37" s="4"/>
      <c r="D37" s="4"/>
      <c r="E37" s="20">
        <v>0.0</v>
      </c>
      <c r="F37" s="4" t="s">
        <v>579</v>
      </c>
      <c r="G37" s="4"/>
      <c r="H37" s="4"/>
      <c r="I37" s="4"/>
      <c r="J37" s="4"/>
      <c r="K37" s="4"/>
      <c r="L37" s="4"/>
      <c r="M37" s="4"/>
      <c r="N37" s="4"/>
    </row>
    <row r="38" ht="15.75" customHeight="1">
      <c r="A38" s="4"/>
      <c r="B38" s="4"/>
      <c r="C38" s="4"/>
      <c r="D38" s="4"/>
      <c r="E38" s="20">
        <v>0.0</v>
      </c>
      <c r="F38" s="4" t="s">
        <v>579</v>
      </c>
      <c r="G38" s="4"/>
      <c r="H38" s="4"/>
      <c r="I38" s="4"/>
      <c r="J38" s="4"/>
      <c r="K38" s="4"/>
      <c r="L38" s="4"/>
      <c r="M38" s="4"/>
      <c r="N38" s="4"/>
    </row>
    <row r="39" ht="15.75" customHeight="1">
      <c r="A39" s="4"/>
      <c r="B39" s="4"/>
      <c r="C39" s="4"/>
      <c r="D39" s="4"/>
      <c r="E39" s="20">
        <v>0.0</v>
      </c>
      <c r="F39" s="4" t="s">
        <v>579</v>
      </c>
      <c r="G39" s="4"/>
      <c r="H39" s="4"/>
      <c r="I39" s="4"/>
      <c r="J39" s="4"/>
      <c r="K39" s="4"/>
      <c r="L39" s="4"/>
      <c r="M39" s="4"/>
      <c r="N39" s="4"/>
    </row>
    <row r="40" ht="15.75" customHeight="1">
      <c r="A40" s="4"/>
      <c r="B40" s="4"/>
      <c r="C40" s="4"/>
      <c r="D40" s="4"/>
      <c r="E40" s="20">
        <v>0.0</v>
      </c>
      <c r="F40" s="4" t="s">
        <v>579</v>
      </c>
      <c r="G40" s="4"/>
      <c r="H40" s="4"/>
      <c r="I40" s="4"/>
      <c r="J40" s="4"/>
      <c r="K40" s="4"/>
      <c r="L40" s="4"/>
      <c r="M40" s="4"/>
      <c r="N40" s="4"/>
    </row>
    <row r="41" ht="15.75" customHeight="1">
      <c r="A41" s="4"/>
      <c r="B41" s="4"/>
      <c r="C41" s="4"/>
      <c r="D41" s="4"/>
      <c r="E41" s="20">
        <v>0.0</v>
      </c>
      <c r="F41" s="4" t="s">
        <v>579</v>
      </c>
      <c r="G41" s="4"/>
      <c r="H41" s="4"/>
      <c r="I41" s="4"/>
      <c r="J41" s="4"/>
      <c r="K41" s="4"/>
      <c r="L41" s="4"/>
      <c r="M41" s="4"/>
      <c r="N41" s="4"/>
    </row>
    <row r="42" ht="15.75" customHeight="1">
      <c r="A42" s="4"/>
      <c r="B42" s="4"/>
      <c r="C42" s="4"/>
      <c r="D42" s="4"/>
      <c r="E42" s="20">
        <v>0.0</v>
      </c>
      <c r="F42" s="4" t="s">
        <v>579</v>
      </c>
      <c r="G42" s="4"/>
      <c r="H42" s="4"/>
      <c r="I42" s="4"/>
      <c r="J42" s="4"/>
      <c r="K42" s="4"/>
      <c r="L42" s="4"/>
      <c r="M42" s="4"/>
      <c r="N42" s="4"/>
    </row>
    <row r="43" ht="15.75" customHeight="1">
      <c r="A43" s="4"/>
      <c r="B43" s="4"/>
      <c r="C43" s="4"/>
      <c r="D43" s="4"/>
      <c r="E43" s="20">
        <v>0.0</v>
      </c>
      <c r="F43" s="4" t="s">
        <v>579</v>
      </c>
      <c r="G43" s="4"/>
      <c r="H43" s="4"/>
      <c r="I43" s="4"/>
      <c r="J43" s="4"/>
      <c r="K43" s="4"/>
      <c r="L43" s="4"/>
      <c r="M43" s="4"/>
      <c r="N43" s="4"/>
    </row>
    <row r="44" ht="15.75" customHeight="1">
      <c r="A44" s="4"/>
      <c r="B44" s="4"/>
      <c r="C44" s="4"/>
      <c r="D44" s="4"/>
      <c r="E44" s="20">
        <v>0.0</v>
      </c>
      <c r="F44" s="4" t="s">
        <v>579</v>
      </c>
      <c r="G44" s="4"/>
      <c r="H44" s="4"/>
      <c r="I44" s="4"/>
      <c r="J44" s="4"/>
      <c r="K44" s="4"/>
      <c r="L44" s="4"/>
      <c r="M44" s="4"/>
      <c r="N44" s="4"/>
    </row>
    <row r="45" ht="15.75" customHeight="1">
      <c r="A45" s="4"/>
      <c r="B45" s="4"/>
      <c r="C45" s="4"/>
      <c r="D45" s="4"/>
      <c r="E45" s="20">
        <v>0.0</v>
      </c>
      <c r="F45" s="4" t="s">
        <v>579</v>
      </c>
      <c r="G45" s="4"/>
      <c r="H45" s="4"/>
      <c r="I45" s="4"/>
      <c r="J45" s="4"/>
      <c r="K45" s="4"/>
      <c r="L45" s="4"/>
      <c r="M45" s="4"/>
      <c r="N45" s="4"/>
    </row>
    <row r="46" ht="15.75" customHeight="1">
      <c r="A46" s="4"/>
      <c r="B46" s="4"/>
      <c r="C46" s="4"/>
      <c r="D46" s="4"/>
      <c r="E46" s="20">
        <v>0.0</v>
      </c>
      <c r="F46" s="4" t="s">
        <v>579</v>
      </c>
      <c r="G46" s="4"/>
      <c r="H46" s="4"/>
      <c r="I46" s="4"/>
      <c r="J46" s="4"/>
      <c r="K46" s="4"/>
      <c r="L46" s="4"/>
      <c r="M46" s="4"/>
      <c r="N46" s="4"/>
    </row>
    <row r="47" ht="15.75" customHeight="1">
      <c r="A47" s="4"/>
      <c r="B47" s="4"/>
      <c r="C47" s="4"/>
      <c r="D47" s="4"/>
      <c r="E47" s="20">
        <v>0.0</v>
      </c>
      <c r="F47" s="4" t="s">
        <v>579</v>
      </c>
      <c r="G47" s="4"/>
      <c r="H47" s="4"/>
      <c r="I47" s="4"/>
      <c r="J47" s="4"/>
      <c r="K47" s="4"/>
      <c r="L47" s="4"/>
      <c r="M47" s="4"/>
      <c r="N47" s="4"/>
    </row>
    <row r="48" ht="15.75" customHeight="1">
      <c r="A48" s="4"/>
      <c r="B48" s="4"/>
      <c r="C48" s="4"/>
      <c r="D48" s="4"/>
      <c r="E48" s="20">
        <v>0.0</v>
      </c>
      <c r="F48" s="4" t="s">
        <v>579</v>
      </c>
      <c r="G48" s="4"/>
      <c r="H48" s="4"/>
      <c r="I48" s="4"/>
      <c r="J48" s="4"/>
      <c r="K48" s="4"/>
      <c r="L48" s="4"/>
      <c r="M48" s="4"/>
      <c r="N48" s="4"/>
    </row>
    <row r="49" ht="15.75" customHeight="1">
      <c r="A49" s="4"/>
      <c r="B49" s="4"/>
      <c r="C49" s="4"/>
      <c r="D49" s="4"/>
      <c r="E49" s="20">
        <v>0.0</v>
      </c>
      <c r="F49" s="4" t="s">
        <v>579</v>
      </c>
      <c r="G49" s="4"/>
      <c r="H49" s="4"/>
      <c r="I49" s="4"/>
      <c r="J49" s="4"/>
      <c r="K49" s="4"/>
      <c r="L49" s="4"/>
      <c r="M49" s="4"/>
      <c r="N49" s="4"/>
    </row>
    <row r="50" ht="15.75" customHeight="1">
      <c r="A50" s="4"/>
      <c r="B50" s="4"/>
      <c r="C50" s="4"/>
      <c r="D50" s="4"/>
      <c r="E50" s="20">
        <v>0.0</v>
      </c>
      <c r="F50" s="4" t="s">
        <v>579</v>
      </c>
      <c r="G50" s="4"/>
      <c r="H50" s="4"/>
      <c r="I50" s="4"/>
      <c r="J50" s="4"/>
      <c r="K50" s="4"/>
      <c r="L50" s="4"/>
      <c r="M50" s="4"/>
      <c r="N50" s="4"/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N1"/>
    <mergeCell ref="A2:N2"/>
  </mergeCell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2.0"/>
    <col customWidth="1" min="2" max="2" width="18.0"/>
    <col customWidth="1" min="3" max="3" width="25.0"/>
    <col customWidth="1" min="4" max="4" width="24.0"/>
    <col customWidth="1" min="5" max="5" width="30.0"/>
    <col customWidth="1" min="6" max="6" width="45.0"/>
    <col customWidth="1" min="7" max="7" width="30.0"/>
    <col customWidth="1" min="8" max="8" width="33.0"/>
    <col customWidth="1" min="9" max="9" width="43.0"/>
    <col customWidth="1" min="10" max="10" width="28.0"/>
    <col customWidth="1" min="11" max="11" width="8.71"/>
  </cols>
  <sheetData>
    <row r="1">
      <c r="A1" s="12" t="s">
        <v>1805</v>
      </c>
    </row>
    <row r="2">
      <c r="A2" s="2" t="s">
        <v>1806</v>
      </c>
    </row>
    <row r="4">
      <c r="A4" s="13" t="s">
        <v>1807</v>
      </c>
    </row>
    <row r="5">
      <c r="A5" t="s">
        <v>1808</v>
      </c>
      <c r="B5" t="s">
        <v>1809</v>
      </c>
      <c r="C5" t="s">
        <v>260</v>
      </c>
      <c r="D5" t="s">
        <v>1810</v>
      </c>
      <c r="E5" t="s">
        <v>1811</v>
      </c>
      <c r="F5" t="s">
        <v>1812</v>
      </c>
      <c r="G5" t="s">
        <v>1813</v>
      </c>
      <c r="H5" t="s">
        <v>1814</v>
      </c>
      <c r="I5" t="s">
        <v>1815</v>
      </c>
      <c r="J5" t="s">
        <v>5</v>
      </c>
    </row>
    <row r="6">
      <c r="A6" t="s">
        <v>1816</v>
      </c>
      <c r="B6" t="s">
        <v>1817</v>
      </c>
      <c r="C6" t="s">
        <v>254</v>
      </c>
      <c r="D6" t="s">
        <v>1818</v>
      </c>
      <c r="E6" t="s">
        <v>1819</v>
      </c>
      <c r="F6" t="s">
        <v>1820</v>
      </c>
      <c r="G6" t="s">
        <v>343</v>
      </c>
      <c r="H6" t="s">
        <v>1821</v>
      </c>
      <c r="I6" t="s">
        <v>1822</v>
      </c>
      <c r="J6" t="s">
        <v>1823</v>
      </c>
    </row>
    <row r="7">
      <c r="A7" t="s">
        <v>1824</v>
      </c>
      <c r="B7" t="s">
        <v>1817</v>
      </c>
      <c r="C7" t="s">
        <v>257</v>
      </c>
      <c r="D7" t="s">
        <v>1825</v>
      </c>
      <c r="E7" t="s">
        <v>1819</v>
      </c>
      <c r="F7" t="s">
        <v>1826</v>
      </c>
      <c r="G7" t="s">
        <v>1827</v>
      </c>
      <c r="H7" t="s">
        <v>1821</v>
      </c>
      <c r="I7" t="s">
        <v>1828</v>
      </c>
      <c r="J7" t="s">
        <v>1823</v>
      </c>
    </row>
    <row r="8">
      <c r="A8" t="s">
        <v>1829</v>
      </c>
      <c r="B8" t="s">
        <v>1817</v>
      </c>
      <c r="C8" t="s">
        <v>259</v>
      </c>
      <c r="D8" t="s">
        <v>1830</v>
      </c>
      <c r="E8" t="s">
        <v>1819</v>
      </c>
      <c r="F8" t="s">
        <v>1831</v>
      </c>
      <c r="G8" t="s">
        <v>348</v>
      </c>
      <c r="H8" t="s">
        <v>1821</v>
      </c>
      <c r="I8" t="s">
        <v>1832</v>
      </c>
      <c r="J8" t="s">
        <v>1823</v>
      </c>
    </row>
    <row r="9">
      <c r="A9" t="s">
        <v>1833</v>
      </c>
      <c r="B9" t="s">
        <v>1817</v>
      </c>
      <c r="C9" t="s">
        <v>256</v>
      </c>
      <c r="D9" t="s">
        <v>1834</v>
      </c>
      <c r="E9" t="s">
        <v>1819</v>
      </c>
      <c r="F9" t="s">
        <v>1835</v>
      </c>
      <c r="G9" t="s">
        <v>354</v>
      </c>
      <c r="H9" t="s">
        <v>1821</v>
      </c>
      <c r="I9" t="s">
        <v>1836</v>
      </c>
      <c r="J9" t="s">
        <v>1823</v>
      </c>
    </row>
    <row r="10">
      <c r="A10" t="s">
        <v>1837</v>
      </c>
      <c r="B10" t="s">
        <v>1817</v>
      </c>
      <c r="C10" t="s">
        <v>258</v>
      </c>
      <c r="D10" t="s">
        <v>1838</v>
      </c>
      <c r="E10" t="s">
        <v>1819</v>
      </c>
      <c r="F10" t="s">
        <v>1839</v>
      </c>
      <c r="G10" t="s">
        <v>1840</v>
      </c>
      <c r="H10" t="s">
        <v>1821</v>
      </c>
      <c r="I10" t="s">
        <v>1841</v>
      </c>
      <c r="J10" t="s">
        <v>1823</v>
      </c>
    </row>
    <row r="11">
      <c r="A11" t="s">
        <v>1842</v>
      </c>
      <c r="B11" t="s">
        <v>1817</v>
      </c>
      <c r="C11" t="s">
        <v>255</v>
      </c>
      <c r="D11" t="s">
        <v>1843</v>
      </c>
      <c r="E11" t="s">
        <v>1819</v>
      </c>
      <c r="F11" t="s">
        <v>1844</v>
      </c>
      <c r="G11" t="s">
        <v>402</v>
      </c>
      <c r="H11" t="s">
        <v>1821</v>
      </c>
      <c r="I11" t="s">
        <v>1845</v>
      </c>
      <c r="J11" t="s">
        <v>1823</v>
      </c>
    </row>
    <row r="13">
      <c r="A13" t="s">
        <v>1846</v>
      </c>
    </row>
    <row r="14">
      <c r="A14" t="s">
        <v>1847</v>
      </c>
      <c r="B14" t="s">
        <v>1848</v>
      </c>
      <c r="C14" t="s">
        <v>1814</v>
      </c>
      <c r="D14" t="s">
        <v>1849</v>
      </c>
      <c r="E14" t="s">
        <v>1850</v>
      </c>
      <c r="F14" t="s">
        <v>1851</v>
      </c>
      <c r="G14" t="s">
        <v>1852</v>
      </c>
      <c r="H14" t="s">
        <v>1853</v>
      </c>
      <c r="I14" t="s">
        <v>1854</v>
      </c>
      <c r="J14" t="s">
        <v>5</v>
      </c>
    </row>
    <row r="15">
      <c r="A15" t="s">
        <v>1855</v>
      </c>
      <c r="B15">
        <v>1.0</v>
      </c>
      <c r="C15" t="s">
        <v>1856</v>
      </c>
      <c r="D15">
        <v>1.0</v>
      </c>
      <c r="E15" t="s">
        <v>1857</v>
      </c>
      <c r="F15" t="s">
        <v>1858</v>
      </c>
      <c r="G15" t="s">
        <v>1859</v>
      </c>
      <c r="H15" t="s">
        <v>1860</v>
      </c>
      <c r="I15" t="s">
        <v>1861</v>
      </c>
      <c r="J15" t="s">
        <v>84</v>
      </c>
    </row>
    <row r="16">
      <c r="A16" t="s">
        <v>1862</v>
      </c>
      <c r="B16">
        <v>2.0</v>
      </c>
      <c r="C16" t="s">
        <v>1863</v>
      </c>
      <c r="D16">
        <v>2.0</v>
      </c>
      <c r="E16" t="s">
        <v>1864</v>
      </c>
      <c r="F16" t="s">
        <v>1865</v>
      </c>
      <c r="G16" t="s">
        <v>1866</v>
      </c>
      <c r="H16" t="s">
        <v>1867</v>
      </c>
      <c r="I16" t="s">
        <v>1868</v>
      </c>
      <c r="J16" t="s">
        <v>1869</v>
      </c>
    </row>
    <row r="17">
      <c r="A17" t="s">
        <v>1870</v>
      </c>
      <c r="B17">
        <v>1.0</v>
      </c>
      <c r="C17" t="s">
        <v>1863</v>
      </c>
      <c r="D17">
        <v>1.0</v>
      </c>
      <c r="E17" t="s">
        <v>1871</v>
      </c>
      <c r="F17" t="s">
        <v>1872</v>
      </c>
      <c r="G17" t="s">
        <v>1873</v>
      </c>
      <c r="H17" t="s">
        <v>1874</v>
      </c>
      <c r="I17" t="s">
        <v>1868</v>
      </c>
      <c r="J17" t="s">
        <v>1869</v>
      </c>
    </row>
    <row r="18">
      <c r="A18" t="s">
        <v>1875</v>
      </c>
      <c r="B18">
        <v>2.0</v>
      </c>
      <c r="C18" t="s">
        <v>1876</v>
      </c>
      <c r="D18">
        <v>2.0</v>
      </c>
      <c r="E18" t="s">
        <v>1877</v>
      </c>
      <c r="F18" t="s">
        <v>1878</v>
      </c>
      <c r="G18" t="s">
        <v>1866</v>
      </c>
      <c r="H18" t="s">
        <v>1879</v>
      </c>
      <c r="I18" t="s">
        <v>1880</v>
      </c>
      <c r="J18" t="s">
        <v>1881</v>
      </c>
    </row>
    <row r="19">
      <c r="A19" t="s">
        <v>1817</v>
      </c>
      <c r="B19">
        <v>1.0</v>
      </c>
      <c r="C19" t="s">
        <v>1821</v>
      </c>
      <c r="D19">
        <v>1.0</v>
      </c>
      <c r="E19" t="s">
        <v>1882</v>
      </c>
      <c r="F19" t="s">
        <v>1883</v>
      </c>
      <c r="G19" t="s">
        <v>1884</v>
      </c>
      <c r="H19" t="s">
        <v>1885</v>
      </c>
      <c r="I19" t="s">
        <v>1886</v>
      </c>
      <c r="J19" t="s">
        <v>283</v>
      </c>
    </row>
    <row r="21" ht="15.75" customHeight="1">
      <c r="A21" t="s">
        <v>1887</v>
      </c>
    </row>
    <row r="22" ht="15.75" customHeight="1">
      <c r="A22" t="s">
        <v>133</v>
      </c>
      <c r="B22" t="s">
        <v>1888</v>
      </c>
      <c r="C22" t="s">
        <v>1889</v>
      </c>
      <c r="D22" t="s">
        <v>1890</v>
      </c>
      <c r="E22" t="s">
        <v>1891</v>
      </c>
      <c r="F22" t="s">
        <v>1892</v>
      </c>
      <c r="G22" t="s">
        <v>538</v>
      </c>
      <c r="H22" t="s">
        <v>5</v>
      </c>
    </row>
    <row r="23" ht="15.75" customHeight="1">
      <c r="A23" t="s">
        <v>578</v>
      </c>
      <c r="B23" t="s">
        <v>1893</v>
      </c>
      <c r="C23" t="s">
        <v>1894</v>
      </c>
      <c r="D23" t="s">
        <v>1895</v>
      </c>
      <c r="E23" t="s">
        <v>1896</v>
      </c>
      <c r="F23" t="s">
        <v>1897</v>
      </c>
      <c r="G23" t="s">
        <v>1898</v>
      </c>
      <c r="H23" t="s">
        <v>1899</v>
      </c>
    </row>
    <row r="24" ht="15.75" customHeight="1">
      <c r="A24" t="s">
        <v>581</v>
      </c>
      <c r="B24" t="s">
        <v>1900</v>
      </c>
      <c r="C24" t="s">
        <v>1894</v>
      </c>
      <c r="D24" t="s">
        <v>1901</v>
      </c>
      <c r="E24" t="s">
        <v>1902</v>
      </c>
      <c r="F24" t="s">
        <v>1903</v>
      </c>
      <c r="G24" t="s">
        <v>1904</v>
      </c>
      <c r="H24" t="s">
        <v>1899</v>
      </c>
    </row>
    <row r="25" ht="15.75" customHeight="1">
      <c r="A25" t="s">
        <v>584</v>
      </c>
      <c r="B25" t="s">
        <v>1905</v>
      </c>
      <c r="C25" t="s">
        <v>1906</v>
      </c>
      <c r="D25" t="s">
        <v>1907</v>
      </c>
      <c r="E25" t="s">
        <v>1908</v>
      </c>
      <c r="F25" t="s">
        <v>1909</v>
      </c>
      <c r="G25" t="s">
        <v>1910</v>
      </c>
      <c r="H25" t="s">
        <v>1899</v>
      </c>
    </row>
    <row r="26" ht="15.75" customHeight="1"/>
    <row r="27" ht="15.75" customHeight="1">
      <c r="A27" t="s">
        <v>1911</v>
      </c>
    </row>
    <row r="28" ht="15.75" customHeight="1">
      <c r="A28" t="s">
        <v>133</v>
      </c>
      <c r="B28" t="s">
        <v>1912</v>
      </c>
      <c r="C28" t="s">
        <v>367</v>
      </c>
      <c r="D28" t="s">
        <v>1913</v>
      </c>
      <c r="E28" t="s">
        <v>1914</v>
      </c>
      <c r="F28" t="s">
        <v>1813</v>
      </c>
      <c r="G28" t="s">
        <v>1915</v>
      </c>
      <c r="H28" t="s">
        <v>1892</v>
      </c>
      <c r="I28" t="s">
        <v>5</v>
      </c>
    </row>
    <row r="29" ht="15.75" customHeight="1">
      <c r="A29" t="s">
        <v>578</v>
      </c>
      <c r="B29" t="s">
        <v>1916</v>
      </c>
      <c r="C29" t="s">
        <v>1917</v>
      </c>
      <c r="D29" t="s">
        <v>1918</v>
      </c>
      <c r="E29" t="s">
        <v>1919</v>
      </c>
      <c r="F29" t="s">
        <v>1920</v>
      </c>
      <c r="G29" t="s">
        <v>1921</v>
      </c>
      <c r="H29" t="s">
        <v>1897</v>
      </c>
      <c r="I29" t="s">
        <v>1899</v>
      </c>
    </row>
    <row r="30" ht="15.75" customHeight="1">
      <c r="A30" t="s">
        <v>581</v>
      </c>
      <c r="B30" t="s">
        <v>1192</v>
      </c>
      <c r="C30" t="s">
        <v>1922</v>
      </c>
      <c r="D30" t="s">
        <v>1923</v>
      </c>
      <c r="E30" t="s">
        <v>1924</v>
      </c>
      <c r="F30" t="s">
        <v>1925</v>
      </c>
      <c r="G30" t="s">
        <v>1921</v>
      </c>
      <c r="H30" t="s">
        <v>1903</v>
      </c>
      <c r="I30" t="s">
        <v>1899</v>
      </c>
    </row>
    <row r="31" ht="15.75" customHeight="1">
      <c r="A31" t="s">
        <v>584</v>
      </c>
      <c r="B31" t="s">
        <v>1926</v>
      </c>
      <c r="C31" t="s">
        <v>1927</v>
      </c>
      <c r="D31" t="s">
        <v>1928</v>
      </c>
      <c r="E31" t="s">
        <v>1929</v>
      </c>
      <c r="F31" t="s">
        <v>1929</v>
      </c>
      <c r="G31" t="s">
        <v>1921</v>
      </c>
      <c r="H31" t="s">
        <v>1930</v>
      </c>
      <c r="I31" t="s">
        <v>1899</v>
      </c>
    </row>
    <row r="32" ht="15.75" customHeight="1"/>
    <row r="33" ht="15.75" customHeight="1">
      <c r="A33" t="s">
        <v>1931</v>
      </c>
    </row>
    <row r="34" ht="15.75" customHeight="1">
      <c r="A34" t="s">
        <v>1932</v>
      </c>
      <c r="B34" t="s">
        <v>1914</v>
      </c>
      <c r="C34" t="s">
        <v>1933</v>
      </c>
      <c r="D34" t="s">
        <v>1934</v>
      </c>
      <c r="E34" t="s">
        <v>578</v>
      </c>
      <c r="F34" t="s">
        <v>581</v>
      </c>
      <c r="G34" t="s">
        <v>584</v>
      </c>
      <c r="H34" t="s">
        <v>5</v>
      </c>
    </row>
    <row r="35" ht="15.75" customHeight="1">
      <c r="A35" t="s">
        <v>303</v>
      </c>
      <c r="B35" t="s">
        <v>303</v>
      </c>
      <c r="C35" t="s">
        <v>329</v>
      </c>
      <c r="D35" t="s">
        <v>1935</v>
      </c>
      <c r="E35" t="s">
        <v>1916</v>
      </c>
      <c r="F35" t="s">
        <v>1192</v>
      </c>
      <c r="G35" t="s">
        <v>1926</v>
      </c>
      <c r="H35" t="s">
        <v>84</v>
      </c>
    </row>
    <row r="36" ht="15.75" customHeight="1">
      <c r="A36" t="s">
        <v>309</v>
      </c>
      <c r="B36" t="s">
        <v>309</v>
      </c>
      <c r="C36" t="s">
        <v>343</v>
      </c>
      <c r="D36" t="s">
        <v>1935</v>
      </c>
      <c r="E36" t="s">
        <v>1916</v>
      </c>
      <c r="F36" t="s">
        <v>1192</v>
      </c>
      <c r="G36" t="s">
        <v>1926</v>
      </c>
      <c r="H36" t="s">
        <v>84</v>
      </c>
    </row>
    <row r="37" ht="15.75" customHeight="1">
      <c r="A37" t="s">
        <v>1936</v>
      </c>
      <c r="B37" t="s">
        <v>314</v>
      </c>
      <c r="C37" t="s">
        <v>348</v>
      </c>
      <c r="D37" t="s">
        <v>1935</v>
      </c>
      <c r="E37" t="s">
        <v>1916</v>
      </c>
      <c r="F37" t="s">
        <v>1192</v>
      </c>
      <c r="G37" t="s">
        <v>1926</v>
      </c>
      <c r="H37" t="s">
        <v>84</v>
      </c>
    </row>
    <row r="38" ht="15.75" customHeight="1">
      <c r="A38" t="s">
        <v>318</v>
      </c>
      <c r="B38" t="s">
        <v>318</v>
      </c>
      <c r="C38" t="s">
        <v>354</v>
      </c>
      <c r="D38" t="s">
        <v>1935</v>
      </c>
      <c r="E38" t="s">
        <v>1916</v>
      </c>
      <c r="F38" t="s">
        <v>1192</v>
      </c>
      <c r="G38" t="s">
        <v>1926</v>
      </c>
      <c r="H38" t="s">
        <v>84</v>
      </c>
    </row>
    <row r="39" ht="15.75" customHeight="1">
      <c r="A39" t="s">
        <v>288</v>
      </c>
      <c r="B39" t="s">
        <v>288</v>
      </c>
      <c r="C39" t="s">
        <v>1937</v>
      </c>
      <c r="D39" t="s">
        <v>1938</v>
      </c>
      <c r="E39" t="s">
        <v>1916</v>
      </c>
      <c r="F39" t="s">
        <v>1939</v>
      </c>
      <c r="G39" t="s">
        <v>1926</v>
      </c>
      <c r="H39" t="s">
        <v>84</v>
      </c>
    </row>
    <row r="40" ht="15.75" customHeight="1"/>
    <row r="41" ht="15.75" customHeight="1">
      <c r="A41" t="s">
        <v>1940</v>
      </c>
    </row>
    <row r="42" ht="15.75" customHeight="1">
      <c r="A42" t="s">
        <v>367</v>
      </c>
      <c r="B42" t="s">
        <v>368</v>
      </c>
      <c r="C42" t="s">
        <v>1941</v>
      </c>
      <c r="D42" t="s">
        <v>1942</v>
      </c>
    </row>
    <row r="43" ht="15.75" customHeight="1">
      <c r="A43" t="s">
        <v>1943</v>
      </c>
      <c r="B43" t="s">
        <v>1944</v>
      </c>
      <c r="C43" t="s">
        <v>84</v>
      </c>
      <c r="D43" t="s">
        <v>1945</v>
      </c>
    </row>
    <row r="44" ht="15.75" customHeight="1">
      <c r="A44" t="s">
        <v>1946</v>
      </c>
      <c r="B44" t="s">
        <v>1947</v>
      </c>
      <c r="C44" t="s">
        <v>283</v>
      </c>
      <c r="D44" t="s">
        <v>1948</v>
      </c>
    </row>
    <row r="45" ht="15.75" customHeight="1">
      <c r="A45" t="s">
        <v>1949</v>
      </c>
      <c r="B45" t="s">
        <v>1950</v>
      </c>
      <c r="C45" t="s">
        <v>283</v>
      </c>
      <c r="D45" t="s">
        <v>1951</v>
      </c>
    </row>
    <row r="46" ht="15.75" customHeight="1">
      <c r="A46" t="s">
        <v>1952</v>
      </c>
      <c r="B46" t="s">
        <v>1953</v>
      </c>
      <c r="C46" t="s">
        <v>283</v>
      </c>
      <c r="D46" t="s">
        <v>1954</v>
      </c>
    </row>
    <row r="47" ht="15.75" customHeight="1">
      <c r="A47" t="s">
        <v>1955</v>
      </c>
      <c r="B47" t="s">
        <v>1956</v>
      </c>
      <c r="C47" t="s">
        <v>84</v>
      </c>
      <c r="D47" t="s">
        <v>1957</v>
      </c>
    </row>
    <row r="48" ht="15.75" customHeight="1">
      <c r="A48" t="s">
        <v>1958</v>
      </c>
      <c r="B48" t="s">
        <v>1959</v>
      </c>
      <c r="C48" t="s">
        <v>84</v>
      </c>
      <c r="D48" t="s">
        <v>1960</v>
      </c>
    </row>
    <row r="49" ht="15.75" customHeight="1">
      <c r="A49" s="14" t="s">
        <v>1961</v>
      </c>
    </row>
    <row r="50" ht="15.75" customHeight="1">
      <c r="A50" s="15" t="s">
        <v>1932</v>
      </c>
      <c r="B50" s="15" t="s">
        <v>1914</v>
      </c>
      <c r="C50" s="15" t="s">
        <v>1933</v>
      </c>
      <c r="D50" s="15" t="s">
        <v>1934</v>
      </c>
      <c r="E50" s="15" t="s">
        <v>578</v>
      </c>
      <c r="F50" s="15" t="s">
        <v>581</v>
      </c>
      <c r="G50" s="15" t="s">
        <v>584</v>
      </c>
      <c r="H50" s="15" t="s">
        <v>5</v>
      </c>
      <c r="I50" s="5"/>
      <c r="J50" s="5"/>
    </row>
    <row r="51" ht="15.75" customHeight="1">
      <c r="A51" s="5" t="s">
        <v>425</v>
      </c>
      <c r="B51" s="5" t="s">
        <v>425</v>
      </c>
      <c r="C51" s="5" t="s">
        <v>436</v>
      </c>
      <c r="D51" s="5" t="s">
        <v>1962</v>
      </c>
      <c r="E51" s="5" t="s">
        <v>1916</v>
      </c>
      <c r="F51" s="5" t="s">
        <v>1963</v>
      </c>
      <c r="G51" s="5" t="s">
        <v>1926</v>
      </c>
      <c r="H51" s="5" t="s">
        <v>84</v>
      </c>
      <c r="I51" s="5"/>
      <c r="J51" s="5"/>
    </row>
    <row r="52" ht="15.75" customHeight="1">
      <c r="A52" s="5" t="s">
        <v>1964</v>
      </c>
      <c r="B52" s="5" t="s">
        <v>429</v>
      </c>
      <c r="C52" s="5" t="s">
        <v>440</v>
      </c>
      <c r="D52" s="5" t="s">
        <v>1962</v>
      </c>
      <c r="E52" s="5" t="s">
        <v>1916</v>
      </c>
      <c r="F52" s="5" t="s">
        <v>1965</v>
      </c>
      <c r="G52" s="5" t="s">
        <v>1926</v>
      </c>
      <c r="H52" s="5" t="s">
        <v>84</v>
      </c>
      <c r="I52" s="5"/>
      <c r="J52" s="5"/>
    </row>
    <row r="53" ht="15.75" customHeight="1">
      <c r="A53" s="5" t="s">
        <v>1966</v>
      </c>
      <c r="B53" s="5" t="s">
        <v>432</v>
      </c>
      <c r="C53" s="5" t="s">
        <v>445</v>
      </c>
      <c r="D53" s="5" t="s">
        <v>1962</v>
      </c>
      <c r="E53" s="5" t="s">
        <v>1916</v>
      </c>
      <c r="F53" s="5" t="s">
        <v>1967</v>
      </c>
      <c r="G53" s="5" t="s">
        <v>1926</v>
      </c>
      <c r="H53" s="5" t="s">
        <v>84</v>
      </c>
      <c r="I53" s="5"/>
      <c r="J53" s="5"/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9">
    <mergeCell ref="A41:J41"/>
    <mergeCell ref="A49:J49"/>
    <mergeCell ref="A1:J1"/>
    <mergeCell ref="A2:J2"/>
    <mergeCell ref="A4:J4"/>
    <mergeCell ref="A13:J13"/>
    <mergeCell ref="A21:J21"/>
    <mergeCell ref="A27:J27"/>
    <mergeCell ref="A33:J33"/>
  </mergeCell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4.0"/>
    <col customWidth="1" min="2" max="2" width="22.0"/>
    <col customWidth="1" min="3" max="3" width="18.0"/>
    <col customWidth="1" min="4" max="9" width="12.0"/>
    <col customWidth="1" min="10" max="10" width="48.0"/>
    <col customWidth="1" min="11" max="11" width="50.0"/>
  </cols>
  <sheetData>
    <row r="1">
      <c r="A1" s="10" t="s">
        <v>1968</v>
      </c>
    </row>
    <row r="2">
      <c r="A2" s="2" t="s">
        <v>1969</v>
      </c>
    </row>
    <row r="4">
      <c r="A4" s="3" t="s">
        <v>1970</v>
      </c>
      <c r="B4" s="3" t="s">
        <v>564</v>
      </c>
      <c r="C4" s="3" t="s">
        <v>565</v>
      </c>
      <c r="D4" s="3" t="s">
        <v>569</v>
      </c>
      <c r="E4" s="3" t="s">
        <v>572</v>
      </c>
      <c r="F4" s="3" t="s">
        <v>575</v>
      </c>
      <c r="G4" s="3" t="s">
        <v>578</v>
      </c>
      <c r="H4" s="3" t="s">
        <v>581</v>
      </c>
      <c r="I4" s="3" t="s">
        <v>584</v>
      </c>
      <c r="J4" s="3" t="s">
        <v>1971</v>
      </c>
      <c r="K4" s="3" t="s">
        <v>6</v>
      </c>
    </row>
    <row r="5">
      <c r="A5" s="4" t="s">
        <v>1972</v>
      </c>
      <c r="B5" s="4" t="s">
        <v>573</v>
      </c>
      <c r="C5" s="4" t="s">
        <v>94</v>
      </c>
      <c r="D5" s="4" t="s">
        <v>1973</v>
      </c>
      <c r="E5" s="4" t="s">
        <v>1974</v>
      </c>
      <c r="F5" s="4" t="s">
        <v>1975</v>
      </c>
      <c r="G5" s="4" t="s">
        <v>1976</v>
      </c>
      <c r="H5" s="4" t="s">
        <v>1977</v>
      </c>
      <c r="I5" s="4" t="s">
        <v>1978</v>
      </c>
      <c r="J5" s="4" t="s">
        <v>1979</v>
      </c>
      <c r="K5" s="4" t="s">
        <v>1980</v>
      </c>
    </row>
    <row r="6">
      <c r="A6" s="4" t="s">
        <v>1855</v>
      </c>
      <c r="B6" s="4" t="s">
        <v>573</v>
      </c>
      <c r="C6" s="4" t="s">
        <v>94</v>
      </c>
      <c r="D6" s="4" t="s">
        <v>1981</v>
      </c>
      <c r="E6" s="4" t="s">
        <v>1973</v>
      </c>
      <c r="F6" s="4" t="s">
        <v>1982</v>
      </c>
      <c r="G6" s="4" t="s">
        <v>1983</v>
      </c>
      <c r="H6" s="4" t="s">
        <v>1984</v>
      </c>
      <c r="I6" s="4" t="s">
        <v>1976</v>
      </c>
      <c r="J6" s="4" t="s">
        <v>1979</v>
      </c>
      <c r="K6" s="4" t="s">
        <v>1980</v>
      </c>
    </row>
    <row r="7">
      <c r="A7" s="4" t="s">
        <v>1985</v>
      </c>
      <c r="B7" s="4" t="s">
        <v>573</v>
      </c>
      <c r="C7" s="4" t="s">
        <v>94</v>
      </c>
      <c r="D7" s="4" t="s">
        <v>1982</v>
      </c>
      <c r="E7" s="4" t="s">
        <v>1983</v>
      </c>
      <c r="F7" s="4" t="s">
        <v>1986</v>
      </c>
      <c r="G7" s="4" t="s">
        <v>1987</v>
      </c>
      <c r="H7" s="4" t="s">
        <v>1988</v>
      </c>
      <c r="I7" s="4" t="s">
        <v>1989</v>
      </c>
      <c r="J7" s="4" t="s">
        <v>1979</v>
      </c>
      <c r="K7" s="4" t="s">
        <v>1980</v>
      </c>
    </row>
    <row r="8">
      <c r="A8" s="4" t="s">
        <v>1875</v>
      </c>
      <c r="B8" s="4" t="s">
        <v>573</v>
      </c>
      <c r="C8" s="4" t="s">
        <v>94</v>
      </c>
      <c r="D8" s="4" t="s">
        <v>1986</v>
      </c>
      <c r="E8" s="4" t="s">
        <v>1987</v>
      </c>
      <c r="F8" s="4" t="s">
        <v>1990</v>
      </c>
      <c r="G8" s="4" t="s">
        <v>1991</v>
      </c>
      <c r="H8" s="4" t="s">
        <v>1992</v>
      </c>
      <c r="I8" s="4" t="s">
        <v>1993</v>
      </c>
      <c r="J8" s="4" t="s">
        <v>1979</v>
      </c>
      <c r="K8" s="4" t="s">
        <v>1980</v>
      </c>
    </row>
    <row r="9">
      <c r="A9" s="4" t="s">
        <v>1994</v>
      </c>
      <c r="B9" s="4" t="s">
        <v>570</v>
      </c>
      <c r="C9" s="4" t="s">
        <v>89</v>
      </c>
      <c r="D9" s="4" t="s">
        <v>1983</v>
      </c>
      <c r="E9" s="4" t="s">
        <v>1986</v>
      </c>
      <c r="F9" s="4" t="s">
        <v>1995</v>
      </c>
      <c r="G9" s="4" t="s">
        <v>1978</v>
      </c>
      <c r="H9" s="4" t="s">
        <v>1996</v>
      </c>
      <c r="I9" s="4" t="s">
        <v>1997</v>
      </c>
      <c r="J9" s="4" t="s">
        <v>1979</v>
      </c>
      <c r="K9" s="4" t="s">
        <v>1980</v>
      </c>
    </row>
    <row r="10">
      <c r="A10" s="4" t="s">
        <v>1998</v>
      </c>
      <c r="B10" s="4" t="s">
        <v>570</v>
      </c>
      <c r="C10" s="4" t="s">
        <v>89</v>
      </c>
      <c r="D10" s="4" t="s">
        <v>1984</v>
      </c>
      <c r="E10" s="4" t="s">
        <v>1995</v>
      </c>
      <c r="F10" s="4" t="s">
        <v>1978</v>
      </c>
      <c r="G10" s="4" t="s">
        <v>1999</v>
      </c>
      <c r="H10" s="4" t="s">
        <v>2000</v>
      </c>
      <c r="I10" s="4" t="s">
        <v>2001</v>
      </c>
      <c r="J10" s="4" t="s">
        <v>1979</v>
      </c>
      <c r="K10" s="4" t="s">
        <v>1980</v>
      </c>
    </row>
    <row r="11">
      <c r="A11" s="4" t="s">
        <v>2002</v>
      </c>
      <c r="B11" s="4" t="s">
        <v>570</v>
      </c>
      <c r="C11" s="4" t="s">
        <v>89</v>
      </c>
      <c r="D11" s="4" t="s">
        <v>1976</v>
      </c>
      <c r="E11" s="4" t="s">
        <v>2003</v>
      </c>
      <c r="F11" s="4" t="s">
        <v>2004</v>
      </c>
      <c r="G11" s="4" t="s">
        <v>2005</v>
      </c>
      <c r="H11" s="4" t="s">
        <v>2006</v>
      </c>
      <c r="I11" s="4" t="s">
        <v>2007</v>
      </c>
      <c r="J11" s="4" t="s">
        <v>1979</v>
      </c>
      <c r="K11" s="4" t="s">
        <v>1980</v>
      </c>
    </row>
    <row r="12">
      <c r="A12" s="4" t="s">
        <v>2008</v>
      </c>
      <c r="B12" s="4" t="s">
        <v>570</v>
      </c>
      <c r="C12" s="4" t="s">
        <v>89</v>
      </c>
      <c r="D12" s="4" t="s">
        <v>1984</v>
      </c>
      <c r="E12" s="4" t="s">
        <v>1995</v>
      </c>
      <c r="F12" s="4" t="s">
        <v>1978</v>
      </c>
      <c r="G12" s="4" t="s">
        <v>1999</v>
      </c>
      <c r="H12" s="4" t="s">
        <v>2000</v>
      </c>
      <c r="I12" s="4" t="s">
        <v>2001</v>
      </c>
      <c r="J12" s="4" t="s">
        <v>1979</v>
      </c>
      <c r="K12" s="4" t="s">
        <v>1980</v>
      </c>
    </row>
    <row r="13">
      <c r="A13" s="4" t="s">
        <v>2009</v>
      </c>
      <c r="B13" s="4" t="s">
        <v>576</v>
      </c>
      <c r="C13" s="4" t="s">
        <v>98</v>
      </c>
      <c r="D13" s="4" t="s">
        <v>2010</v>
      </c>
      <c r="E13" s="4" t="s">
        <v>1982</v>
      </c>
      <c r="F13" s="4" t="s">
        <v>2011</v>
      </c>
      <c r="G13" s="4" t="s">
        <v>2012</v>
      </c>
      <c r="H13" s="4" t="s">
        <v>2013</v>
      </c>
      <c r="I13" s="4" t="s">
        <v>2014</v>
      </c>
      <c r="J13" s="4" t="s">
        <v>1979</v>
      </c>
      <c r="K13" s="4" t="s">
        <v>1980</v>
      </c>
    </row>
    <row r="14">
      <c r="A14" s="4" t="s">
        <v>2015</v>
      </c>
      <c r="B14" s="4" t="s">
        <v>576</v>
      </c>
      <c r="C14" s="4" t="s">
        <v>98</v>
      </c>
      <c r="D14" s="4" t="s">
        <v>1981</v>
      </c>
      <c r="E14" s="4" t="s">
        <v>1973</v>
      </c>
      <c r="F14" s="4" t="s">
        <v>1982</v>
      </c>
      <c r="G14" s="4" t="s">
        <v>1983</v>
      </c>
      <c r="H14" s="4" t="s">
        <v>1984</v>
      </c>
      <c r="I14" s="4" t="s">
        <v>1976</v>
      </c>
      <c r="J14" s="4" t="s">
        <v>1979</v>
      </c>
      <c r="K14" s="4" t="s">
        <v>1980</v>
      </c>
    </row>
    <row r="15">
      <c r="A15" s="4" t="s">
        <v>1817</v>
      </c>
      <c r="B15" s="4" t="s">
        <v>576</v>
      </c>
      <c r="C15" s="4" t="s">
        <v>98</v>
      </c>
      <c r="D15" s="4" t="s">
        <v>2016</v>
      </c>
      <c r="E15" s="4" t="s">
        <v>2017</v>
      </c>
      <c r="F15" s="4" t="s">
        <v>2018</v>
      </c>
      <c r="G15" s="4" t="s">
        <v>2019</v>
      </c>
      <c r="H15" s="4" t="s">
        <v>2020</v>
      </c>
      <c r="I15" s="4" t="s">
        <v>2021</v>
      </c>
      <c r="J15" s="4" t="s">
        <v>1979</v>
      </c>
      <c r="K15" s="4" t="s">
        <v>1980</v>
      </c>
    </row>
    <row r="16">
      <c r="A16" s="4" t="s">
        <v>2022</v>
      </c>
      <c r="B16" s="4" t="s">
        <v>576</v>
      </c>
      <c r="C16" s="4" t="s">
        <v>98</v>
      </c>
      <c r="D16" s="4" t="s">
        <v>1973</v>
      </c>
      <c r="E16" s="4" t="s">
        <v>1974</v>
      </c>
      <c r="F16" s="4" t="s">
        <v>1975</v>
      </c>
      <c r="G16" s="4" t="s">
        <v>1976</v>
      </c>
      <c r="H16" s="4" t="s">
        <v>1977</v>
      </c>
      <c r="I16" s="4" t="s">
        <v>1978</v>
      </c>
      <c r="J16" s="4" t="s">
        <v>1979</v>
      </c>
      <c r="K16" s="4" t="s">
        <v>1980</v>
      </c>
    </row>
    <row r="17">
      <c r="A17" s="4" t="s">
        <v>2023</v>
      </c>
      <c r="B17" s="4" t="s">
        <v>576</v>
      </c>
      <c r="C17" s="4" t="s">
        <v>98</v>
      </c>
      <c r="D17" s="4" t="s">
        <v>1983</v>
      </c>
      <c r="E17" s="4" t="s">
        <v>1986</v>
      </c>
      <c r="F17" s="4" t="s">
        <v>1995</v>
      </c>
      <c r="G17" s="4" t="s">
        <v>1978</v>
      </c>
      <c r="H17" s="4" t="s">
        <v>1996</v>
      </c>
      <c r="I17" s="4" t="s">
        <v>1997</v>
      </c>
      <c r="J17" s="4" t="s">
        <v>1979</v>
      </c>
      <c r="K17" s="4" t="s">
        <v>1980</v>
      </c>
    </row>
    <row r="18">
      <c r="A18" s="4" t="s">
        <v>2024</v>
      </c>
      <c r="B18" s="4" t="s">
        <v>576</v>
      </c>
      <c r="C18" s="4" t="s">
        <v>98</v>
      </c>
      <c r="D18" s="4" t="s">
        <v>1982</v>
      </c>
      <c r="E18" s="4" t="s">
        <v>1983</v>
      </c>
      <c r="F18" s="4" t="s">
        <v>1986</v>
      </c>
      <c r="G18" s="4" t="s">
        <v>1987</v>
      </c>
      <c r="H18" s="4" t="s">
        <v>1988</v>
      </c>
      <c r="I18" s="4" t="s">
        <v>1989</v>
      </c>
      <c r="J18" s="4" t="s">
        <v>1979</v>
      </c>
      <c r="K18" s="4" t="s">
        <v>1980</v>
      </c>
    </row>
    <row r="19">
      <c r="A19" s="4" t="s">
        <v>2025</v>
      </c>
      <c r="B19" s="4" t="s">
        <v>576</v>
      </c>
      <c r="C19" s="4" t="s">
        <v>98</v>
      </c>
      <c r="D19" s="4" t="s">
        <v>2010</v>
      </c>
      <c r="E19" s="4" t="s">
        <v>1982</v>
      </c>
      <c r="F19" s="4" t="s">
        <v>2011</v>
      </c>
      <c r="G19" s="4" t="s">
        <v>2012</v>
      </c>
      <c r="H19" s="4" t="s">
        <v>2013</v>
      </c>
      <c r="I19" s="4" t="s">
        <v>2014</v>
      </c>
      <c r="J19" s="4" t="s">
        <v>1979</v>
      </c>
      <c r="K19" s="4" t="s">
        <v>1980</v>
      </c>
    </row>
    <row r="20">
      <c r="A20" s="4" t="s">
        <v>2026</v>
      </c>
      <c r="B20" s="4" t="s">
        <v>576</v>
      </c>
      <c r="C20" s="4" t="s">
        <v>98</v>
      </c>
      <c r="D20" s="4" t="s">
        <v>2010</v>
      </c>
      <c r="E20" s="4" t="s">
        <v>1982</v>
      </c>
      <c r="F20" s="4" t="s">
        <v>2011</v>
      </c>
      <c r="G20" s="4" t="s">
        <v>2012</v>
      </c>
      <c r="H20" s="4" t="s">
        <v>2013</v>
      </c>
      <c r="I20" s="4" t="s">
        <v>2014</v>
      </c>
      <c r="J20" s="4" t="s">
        <v>1979</v>
      </c>
      <c r="K20" s="4" t="s">
        <v>1980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K1"/>
    <mergeCell ref="A2:K2"/>
  </mergeCell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0.0"/>
    <col customWidth="1" min="2" max="2" width="52.0"/>
    <col customWidth="1" min="3" max="3" width="44.0"/>
    <col customWidth="1" min="4" max="4" width="32.0"/>
    <col customWidth="1" min="5" max="5" width="28.0"/>
    <col customWidth="1" min="6" max="11" width="8.71"/>
  </cols>
  <sheetData>
    <row r="1">
      <c r="A1" s="10" t="s">
        <v>2027</v>
      </c>
    </row>
    <row r="2">
      <c r="A2" s="2" t="s">
        <v>2028</v>
      </c>
    </row>
    <row r="4">
      <c r="A4" s="3" t="s">
        <v>1538</v>
      </c>
      <c r="B4" s="3" t="s">
        <v>2029</v>
      </c>
      <c r="C4" s="3" t="s">
        <v>2030</v>
      </c>
      <c r="D4" s="3" t="s">
        <v>2031</v>
      </c>
      <c r="E4" s="3" t="s">
        <v>2032</v>
      </c>
    </row>
    <row r="5">
      <c r="A5" s="4">
        <v>1.0</v>
      </c>
      <c r="B5" s="4" t="s">
        <v>2033</v>
      </c>
      <c r="C5" s="4" t="s">
        <v>2034</v>
      </c>
      <c r="D5" s="4" t="s">
        <v>2035</v>
      </c>
      <c r="E5" s="4" t="s">
        <v>2036</v>
      </c>
    </row>
    <row r="6">
      <c r="A6" s="4">
        <v>2.0</v>
      </c>
      <c r="B6" s="4" t="s">
        <v>2037</v>
      </c>
      <c r="C6" s="4" t="s">
        <v>2038</v>
      </c>
      <c r="D6" s="4" t="s">
        <v>2039</v>
      </c>
      <c r="E6" s="4" t="s">
        <v>2040</v>
      </c>
    </row>
    <row r="7">
      <c r="A7" s="4">
        <v>3.0</v>
      </c>
      <c r="B7" s="4" t="s">
        <v>2041</v>
      </c>
      <c r="C7" s="4" t="s">
        <v>2042</v>
      </c>
      <c r="D7" s="4" t="s">
        <v>2043</v>
      </c>
      <c r="E7" s="4" t="s">
        <v>2044</v>
      </c>
    </row>
    <row r="8">
      <c r="A8" s="4">
        <v>4.0</v>
      </c>
      <c r="B8" s="4" t="s">
        <v>2045</v>
      </c>
      <c r="C8" s="4" t="s">
        <v>2046</v>
      </c>
      <c r="D8" s="4" t="s">
        <v>145</v>
      </c>
      <c r="E8" s="4" t="s">
        <v>2047</v>
      </c>
    </row>
    <row r="9">
      <c r="A9" s="4">
        <v>5.0</v>
      </c>
      <c r="B9" s="4" t="s">
        <v>2048</v>
      </c>
      <c r="C9" s="4" t="s">
        <v>2049</v>
      </c>
      <c r="D9" s="4" t="s">
        <v>145</v>
      </c>
      <c r="E9" s="4" t="s">
        <v>2050</v>
      </c>
    </row>
    <row r="10">
      <c r="A10" s="4">
        <v>6.0</v>
      </c>
      <c r="B10" s="4" t="s">
        <v>2051</v>
      </c>
      <c r="C10" s="4" t="s">
        <v>2052</v>
      </c>
      <c r="D10" s="4" t="s">
        <v>140</v>
      </c>
      <c r="E10" s="4" t="s">
        <v>2053</v>
      </c>
    </row>
    <row r="11">
      <c r="A11" s="4">
        <v>7.0</v>
      </c>
      <c r="B11" s="4" t="s">
        <v>2054</v>
      </c>
      <c r="C11" s="4" t="s">
        <v>2055</v>
      </c>
      <c r="D11" s="4" t="s">
        <v>2056</v>
      </c>
      <c r="E11" s="4" t="s">
        <v>2057</v>
      </c>
    </row>
    <row r="12">
      <c r="A12" s="4">
        <v>8.0</v>
      </c>
      <c r="B12" s="4" t="s">
        <v>2058</v>
      </c>
      <c r="C12" s="4" t="s">
        <v>2059</v>
      </c>
      <c r="D12" s="4" t="s">
        <v>2060</v>
      </c>
      <c r="E12" s="4" t="s">
        <v>2061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2">
    <mergeCell ref="A1:E1"/>
    <mergeCell ref="A2:E2"/>
  </mergeCell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0.0"/>
    <col customWidth="1" min="2" max="2" width="25.0"/>
    <col customWidth="1" min="3" max="3" width="58.0"/>
    <col customWidth="1" min="4" max="4" width="40.0"/>
    <col customWidth="1" min="5" max="5" width="28.0"/>
    <col customWidth="1" min="6" max="7" width="42.0"/>
    <col customWidth="1" min="8" max="8" width="23.0"/>
    <col customWidth="1" min="9" max="9" width="58.0"/>
    <col customWidth="1" min="10" max="10" width="54.0"/>
    <col customWidth="1" min="11" max="11" width="8.71"/>
  </cols>
  <sheetData>
    <row r="1" ht="30.0" customHeight="1">
      <c r="A1" s="16" t="s">
        <v>2062</v>
      </c>
    </row>
    <row r="2" ht="30.0" customHeight="1"/>
    <row r="4" ht="30.0" customHeight="1">
      <c r="A4" s="24" t="s">
        <v>912</v>
      </c>
      <c r="B4" s="24" t="s">
        <v>928</v>
      </c>
      <c r="C4" s="24" t="s">
        <v>2063</v>
      </c>
      <c r="D4" s="24" t="s">
        <v>2064</v>
      </c>
      <c r="E4" s="24" t="s">
        <v>2065</v>
      </c>
      <c r="F4" s="24" t="s">
        <v>2066</v>
      </c>
      <c r="G4" s="24" t="s">
        <v>899</v>
      </c>
      <c r="H4" s="24" t="s">
        <v>827</v>
      </c>
      <c r="I4" s="24" t="s">
        <v>2067</v>
      </c>
      <c r="J4" s="24" t="s">
        <v>2068</v>
      </c>
    </row>
    <row r="5">
      <c r="A5" s="25" t="s">
        <v>931</v>
      </c>
      <c r="B5" s="25" t="s">
        <v>936</v>
      </c>
      <c r="C5" s="25" t="s">
        <v>937</v>
      </c>
      <c r="D5" s="25" t="s">
        <v>1197</v>
      </c>
      <c r="E5" s="25" t="s">
        <v>2069</v>
      </c>
      <c r="F5" s="25" t="s">
        <v>1202</v>
      </c>
      <c r="G5" s="25" t="s">
        <v>1203</v>
      </c>
      <c r="H5" s="25" t="s">
        <v>843</v>
      </c>
      <c r="I5" s="25" t="s">
        <v>844</v>
      </c>
      <c r="J5" s="25" t="s">
        <v>2070</v>
      </c>
    </row>
    <row r="6">
      <c r="A6" s="25" t="s">
        <v>938</v>
      </c>
      <c r="B6" s="25" t="s">
        <v>943</v>
      </c>
      <c r="C6" s="25" t="s">
        <v>944</v>
      </c>
      <c r="D6" s="25" t="s">
        <v>1208</v>
      </c>
      <c r="E6" s="25" t="s">
        <v>2071</v>
      </c>
      <c r="F6" s="25" t="s">
        <v>1211</v>
      </c>
      <c r="G6" s="25" t="s">
        <v>1212</v>
      </c>
      <c r="H6" s="25" t="s">
        <v>843</v>
      </c>
      <c r="I6" s="25" t="s">
        <v>844</v>
      </c>
      <c r="J6" s="25" t="s">
        <v>2070</v>
      </c>
    </row>
    <row r="7">
      <c r="A7" s="25" t="s">
        <v>945</v>
      </c>
      <c r="B7" s="25" t="s">
        <v>947</v>
      </c>
      <c r="C7" s="25" t="s">
        <v>948</v>
      </c>
      <c r="D7" s="25" t="s">
        <v>1216</v>
      </c>
      <c r="E7" s="25" t="s">
        <v>2072</v>
      </c>
      <c r="F7" s="25" t="s">
        <v>1220</v>
      </c>
      <c r="G7" s="25" t="s">
        <v>1221</v>
      </c>
      <c r="H7" s="25" t="s">
        <v>851</v>
      </c>
      <c r="I7" s="25" t="s">
        <v>852</v>
      </c>
      <c r="J7" s="25" t="s">
        <v>2070</v>
      </c>
    </row>
    <row r="8">
      <c r="A8" s="25" t="s">
        <v>949</v>
      </c>
      <c r="B8" s="25" t="s">
        <v>953</v>
      </c>
      <c r="C8" s="25" t="s">
        <v>954</v>
      </c>
      <c r="D8" s="25" t="s">
        <v>1225</v>
      </c>
      <c r="E8" s="25" t="s">
        <v>2073</v>
      </c>
      <c r="F8" s="25" t="s">
        <v>1228</v>
      </c>
      <c r="G8" s="25" t="s">
        <v>1229</v>
      </c>
      <c r="H8" s="25" t="s">
        <v>875</v>
      </c>
      <c r="I8" s="25" t="s">
        <v>876</v>
      </c>
      <c r="J8" s="25" t="s">
        <v>2070</v>
      </c>
    </row>
    <row r="9">
      <c r="A9" s="25" t="s">
        <v>955</v>
      </c>
      <c r="B9" s="25" t="s">
        <v>959</v>
      </c>
      <c r="C9" s="25" t="s">
        <v>960</v>
      </c>
      <c r="D9" s="25" t="s">
        <v>1232</v>
      </c>
      <c r="E9" s="25" t="s">
        <v>2074</v>
      </c>
      <c r="F9" s="25" t="s">
        <v>1235</v>
      </c>
      <c r="G9" s="25" t="s">
        <v>1236</v>
      </c>
      <c r="H9" s="25" t="s">
        <v>843</v>
      </c>
      <c r="I9" s="25" t="s">
        <v>844</v>
      </c>
      <c r="J9" s="25" t="s">
        <v>2070</v>
      </c>
    </row>
    <row r="10">
      <c r="A10" s="25" t="s">
        <v>961</v>
      </c>
      <c r="B10" s="25" t="s">
        <v>964</v>
      </c>
      <c r="C10" s="25" t="s">
        <v>965</v>
      </c>
      <c r="D10" s="25" t="s">
        <v>1239</v>
      </c>
      <c r="E10" s="25" t="s">
        <v>2075</v>
      </c>
      <c r="F10" s="25" t="s">
        <v>1242</v>
      </c>
      <c r="G10" s="25" t="s">
        <v>1243</v>
      </c>
      <c r="H10" s="25" t="s">
        <v>851</v>
      </c>
      <c r="I10" s="25" t="s">
        <v>852</v>
      </c>
      <c r="J10" s="25" t="s">
        <v>2070</v>
      </c>
    </row>
    <row r="11">
      <c r="A11" s="25" t="s">
        <v>966</v>
      </c>
      <c r="B11" s="25" t="s">
        <v>969</v>
      </c>
      <c r="C11" s="25" t="s">
        <v>970</v>
      </c>
      <c r="D11" s="25" t="s">
        <v>1246</v>
      </c>
      <c r="E11" s="25" t="s">
        <v>2074</v>
      </c>
      <c r="F11" s="25" t="s">
        <v>1249</v>
      </c>
      <c r="G11" s="25" t="s">
        <v>1250</v>
      </c>
      <c r="H11" s="25" t="s">
        <v>867</v>
      </c>
      <c r="I11" s="25" t="s">
        <v>868</v>
      </c>
      <c r="J11" s="25" t="s">
        <v>2070</v>
      </c>
    </row>
    <row r="12">
      <c r="A12" s="25" t="s">
        <v>971</v>
      </c>
      <c r="B12" s="25" t="s">
        <v>973</v>
      </c>
      <c r="C12" s="25" t="s">
        <v>974</v>
      </c>
      <c r="D12" s="25" t="s">
        <v>1253</v>
      </c>
      <c r="E12" s="25" t="s">
        <v>2076</v>
      </c>
      <c r="F12" s="25" t="s">
        <v>1256</v>
      </c>
      <c r="G12" s="25" t="s">
        <v>1257</v>
      </c>
      <c r="H12" s="25" t="s">
        <v>875</v>
      </c>
      <c r="I12" s="25" t="s">
        <v>876</v>
      </c>
      <c r="J12" s="25" t="s">
        <v>2070</v>
      </c>
    </row>
    <row r="13">
      <c r="A13" s="25" t="s">
        <v>975</v>
      </c>
      <c r="B13" s="25" t="s">
        <v>979</v>
      </c>
      <c r="C13" s="25" t="s">
        <v>980</v>
      </c>
      <c r="D13" s="25" t="s">
        <v>1260</v>
      </c>
      <c r="E13" s="25" t="s">
        <v>2077</v>
      </c>
      <c r="F13" s="25" t="s">
        <v>1263</v>
      </c>
      <c r="G13" s="25" t="s">
        <v>1264</v>
      </c>
      <c r="H13" s="25" t="s">
        <v>835</v>
      </c>
      <c r="I13" s="25" t="s">
        <v>836</v>
      </c>
      <c r="J13" s="25" t="s">
        <v>2070</v>
      </c>
    </row>
    <row r="14">
      <c r="A14" s="25" t="s">
        <v>981</v>
      </c>
      <c r="B14" s="25" t="s">
        <v>985</v>
      </c>
      <c r="C14" s="25" t="s">
        <v>986</v>
      </c>
      <c r="D14" s="25" t="s">
        <v>1268</v>
      </c>
      <c r="E14" s="25" t="s">
        <v>2078</v>
      </c>
      <c r="F14" s="25" t="s">
        <v>1270</v>
      </c>
      <c r="G14" s="25" t="s">
        <v>1271</v>
      </c>
      <c r="H14" s="25" t="s">
        <v>859</v>
      </c>
      <c r="I14" s="25" t="s">
        <v>860</v>
      </c>
      <c r="J14" s="25" t="s">
        <v>2070</v>
      </c>
    </row>
    <row r="15">
      <c r="A15" s="25" t="s">
        <v>987</v>
      </c>
      <c r="B15" s="25" t="s">
        <v>989</v>
      </c>
      <c r="C15" s="25" t="s">
        <v>990</v>
      </c>
      <c r="D15" s="25" t="s">
        <v>1274</v>
      </c>
      <c r="E15" s="25" t="s">
        <v>2071</v>
      </c>
      <c r="F15" s="25" t="s">
        <v>1277</v>
      </c>
      <c r="G15" s="25" t="s">
        <v>1278</v>
      </c>
      <c r="H15" s="25" t="s">
        <v>875</v>
      </c>
      <c r="I15" s="25" t="s">
        <v>876</v>
      </c>
      <c r="J15" s="25" t="s">
        <v>2070</v>
      </c>
    </row>
    <row r="16">
      <c r="A16" s="25" t="s">
        <v>991</v>
      </c>
      <c r="B16" s="25" t="s">
        <v>993</v>
      </c>
      <c r="C16" s="25" t="s">
        <v>994</v>
      </c>
      <c r="D16" s="25" t="s">
        <v>1281</v>
      </c>
      <c r="E16" s="25" t="s">
        <v>2076</v>
      </c>
      <c r="F16" s="25" t="s">
        <v>1284</v>
      </c>
      <c r="G16" s="25" t="s">
        <v>1285</v>
      </c>
      <c r="H16" s="25" t="s">
        <v>859</v>
      </c>
      <c r="I16" s="25" t="s">
        <v>860</v>
      </c>
      <c r="J16" s="25" t="s">
        <v>2070</v>
      </c>
    </row>
    <row r="17">
      <c r="A17" s="25" t="s">
        <v>995</v>
      </c>
      <c r="B17" s="25" t="s">
        <v>997</v>
      </c>
      <c r="C17" s="25" t="s">
        <v>998</v>
      </c>
      <c r="D17" s="25" t="s">
        <v>1288</v>
      </c>
      <c r="E17" s="25" t="s">
        <v>2079</v>
      </c>
      <c r="F17" s="25" t="s">
        <v>1291</v>
      </c>
      <c r="G17" s="25" t="s">
        <v>1292</v>
      </c>
      <c r="H17" s="25" t="s">
        <v>843</v>
      </c>
      <c r="I17" s="25" t="s">
        <v>844</v>
      </c>
      <c r="J17" s="25" t="s">
        <v>2070</v>
      </c>
    </row>
    <row r="18">
      <c r="A18" s="25" t="s">
        <v>999</v>
      </c>
      <c r="B18" s="25" t="s">
        <v>1001</v>
      </c>
      <c r="C18" s="25" t="s">
        <v>1002</v>
      </c>
      <c r="D18" s="25" t="s">
        <v>1288</v>
      </c>
      <c r="E18" s="25" t="s">
        <v>2080</v>
      </c>
      <c r="F18" s="25" t="s">
        <v>1297</v>
      </c>
      <c r="G18" s="25" t="s">
        <v>1298</v>
      </c>
      <c r="H18" s="25" t="s">
        <v>875</v>
      </c>
      <c r="I18" s="25" t="s">
        <v>876</v>
      </c>
      <c r="J18" s="25" t="s">
        <v>2070</v>
      </c>
    </row>
    <row r="19">
      <c r="A19" s="25" t="s">
        <v>1003</v>
      </c>
      <c r="B19" s="25" t="s">
        <v>1005</v>
      </c>
      <c r="C19" s="25" t="s">
        <v>1006</v>
      </c>
      <c r="D19" s="25" t="s">
        <v>1288</v>
      </c>
      <c r="E19" s="25" t="s">
        <v>2081</v>
      </c>
      <c r="F19" s="25" t="s">
        <v>1303</v>
      </c>
      <c r="G19" s="25" t="s">
        <v>1304</v>
      </c>
      <c r="H19" s="25" t="s">
        <v>859</v>
      </c>
      <c r="I19" s="25" t="s">
        <v>860</v>
      </c>
      <c r="J19" s="25" t="s">
        <v>2070</v>
      </c>
    </row>
    <row r="20">
      <c r="A20" s="25" t="s">
        <v>1007</v>
      </c>
      <c r="B20" s="25" t="s">
        <v>1009</v>
      </c>
      <c r="C20" s="25" t="s">
        <v>1010</v>
      </c>
      <c r="D20" s="25" t="s">
        <v>1307</v>
      </c>
      <c r="E20" s="25" t="s">
        <v>2073</v>
      </c>
      <c r="F20" s="25" t="s">
        <v>1310</v>
      </c>
      <c r="G20" s="25" t="s">
        <v>1311</v>
      </c>
      <c r="H20" s="25" t="s">
        <v>875</v>
      </c>
      <c r="I20" s="25" t="s">
        <v>876</v>
      </c>
      <c r="J20" s="25" t="s">
        <v>2070</v>
      </c>
    </row>
    <row r="21" ht="15.75" customHeight="1">
      <c r="A21" s="25" t="s">
        <v>1011</v>
      </c>
      <c r="B21" s="25" t="s">
        <v>1015</v>
      </c>
      <c r="C21" s="25" t="s">
        <v>1016</v>
      </c>
      <c r="D21" s="25" t="s">
        <v>1307</v>
      </c>
      <c r="E21" s="25" t="s">
        <v>2082</v>
      </c>
      <c r="F21" s="25" t="s">
        <v>1316</v>
      </c>
      <c r="G21" s="25" t="s">
        <v>1317</v>
      </c>
      <c r="H21" s="25" t="s">
        <v>835</v>
      </c>
      <c r="I21" s="25" t="s">
        <v>836</v>
      </c>
      <c r="J21" s="25" t="s">
        <v>2070</v>
      </c>
    </row>
    <row r="22" ht="15.75" customHeight="1">
      <c r="A22" s="25" t="s">
        <v>1017</v>
      </c>
      <c r="B22" s="25" t="s">
        <v>1020</v>
      </c>
      <c r="C22" s="25" t="s">
        <v>1021</v>
      </c>
      <c r="D22" s="25" t="s">
        <v>1307</v>
      </c>
      <c r="E22" s="25" t="s">
        <v>2071</v>
      </c>
      <c r="F22" s="25" t="s">
        <v>1322</v>
      </c>
      <c r="G22" s="25" t="s">
        <v>1323</v>
      </c>
      <c r="H22" s="25" t="s">
        <v>859</v>
      </c>
      <c r="I22" s="25" t="s">
        <v>860</v>
      </c>
      <c r="J22" s="25" t="s">
        <v>2070</v>
      </c>
    </row>
    <row r="23" ht="15.75" customHeight="1">
      <c r="A23" s="25" t="s">
        <v>1022</v>
      </c>
      <c r="B23" s="25" t="s">
        <v>1024</v>
      </c>
      <c r="C23" s="25" t="s">
        <v>1025</v>
      </c>
      <c r="D23" s="25" t="s">
        <v>1288</v>
      </c>
      <c r="E23" s="25" t="s">
        <v>2079</v>
      </c>
      <c r="F23" s="25" t="s">
        <v>1328</v>
      </c>
      <c r="G23" s="25" t="s">
        <v>1329</v>
      </c>
      <c r="H23" s="25" t="s">
        <v>835</v>
      </c>
      <c r="I23" s="25" t="s">
        <v>836</v>
      </c>
      <c r="J23" s="25" t="s">
        <v>2070</v>
      </c>
    </row>
    <row r="24" ht="15.75" customHeight="1">
      <c r="A24" s="25" t="s">
        <v>1026</v>
      </c>
      <c r="B24" s="25" t="s">
        <v>1029</v>
      </c>
      <c r="C24" s="25" t="s">
        <v>1030</v>
      </c>
      <c r="D24" s="25" t="s">
        <v>1307</v>
      </c>
      <c r="E24" s="25" t="s">
        <v>2083</v>
      </c>
      <c r="F24" s="25" t="s">
        <v>1333</v>
      </c>
      <c r="G24" s="25" t="s">
        <v>1334</v>
      </c>
      <c r="H24" s="25" t="s">
        <v>867</v>
      </c>
      <c r="I24" s="25" t="s">
        <v>868</v>
      </c>
      <c r="J24" s="25" t="s">
        <v>2070</v>
      </c>
    </row>
    <row r="25" ht="15.75" customHeight="1">
      <c r="A25" s="25" t="s">
        <v>1031</v>
      </c>
      <c r="B25" s="25" t="s">
        <v>1033</v>
      </c>
      <c r="C25" s="25" t="s">
        <v>1034</v>
      </c>
      <c r="D25" s="25" t="s">
        <v>1307</v>
      </c>
      <c r="E25" s="25" t="s">
        <v>40</v>
      </c>
      <c r="F25" s="25" t="s">
        <v>1339</v>
      </c>
      <c r="G25" s="25" t="s">
        <v>1340</v>
      </c>
      <c r="H25" s="25" t="s">
        <v>843</v>
      </c>
      <c r="I25" s="25" t="s">
        <v>844</v>
      </c>
      <c r="J25" s="25" t="s">
        <v>2070</v>
      </c>
    </row>
    <row r="26" ht="15.75" customHeight="1">
      <c r="A26" s="25" t="s">
        <v>1035</v>
      </c>
      <c r="B26" s="25" t="s">
        <v>1039</v>
      </c>
      <c r="C26" s="25" t="s">
        <v>1040</v>
      </c>
      <c r="D26" s="25" t="s">
        <v>1307</v>
      </c>
      <c r="E26" s="25" t="s">
        <v>2071</v>
      </c>
      <c r="F26" s="25" t="s">
        <v>1345</v>
      </c>
      <c r="G26" s="25" t="s">
        <v>1346</v>
      </c>
      <c r="H26" s="25" t="s">
        <v>884</v>
      </c>
      <c r="I26" s="25" t="s">
        <v>885</v>
      </c>
      <c r="J26" s="25" t="s">
        <v>2070</v>
      </c>
    </row>
    <row r="27" ht="15.75" customHeight="1">
      <c r="A27" s="25" t="s">
        <v>1041</v>
      </c>
      <c r="B27" s="25" t="s">
        <v>1043</v>
      </c>
      <c r="C27" s="25" t="s">
        <v>1044</v>
      </c>
      <c r="D27" s="25" t="s">
        <v>1350</v>
      </c>
      <c r="E27" s="25" t="s">
        <v>2084</v>
      </c>
      <c r="F27" s="25" t="s">
        <v>1353</v>
      </c>
      <c r="G27" s="25" t="s">
        <v>1354</v>
      </c>
      <c r="H27" s="25" t="s">
        <v>884</v>
      </c>
      <c r="I27" s="25" t="s">
        <v>885</v>
      </c>
      <c r="J27" s="25" t="s">
        <v>2070</v>
      </c>
    </row>
    <row r="28" ht="15.75" customHeight="1">
      <c r="A28" s="25" t="s">
        <v>1045</v>
      </c>
      <c r="B28" s="25" t="s">
        <v>1048</v>
      </c>
      <c r="C28" s="25" t="s">
        <v>1049</v>
      </c>
      <c r="D28" s="25" t="s">
        <v>1357</v>
      </c>
      <c r="E28" s="25" t="s">
        <v>2085</v>
      </c>
      <c r="F28" s="25" t="s">
        <v>1360</v>
      </c>
      <c r="G28" s="25" t="s">
        <v>1361</v>
      </c>
      <c r="H28" s="25" t="s">
        <v>843</v>
      </c>
      <c r="I28" s="25" t="s">
        <v>844</v>
      </c>
      <c r="J28" s="25" t="s">
        <v>2070</v>
      </c>
    </row>
    <row r="29" ht="15.75" customHeight="1">
      <c r="A29" s="25" t="s">
        <v>1050</v>
      </c>
      <c r="B29" s="25" t="s">
        <v>1053</v>
      </c>
      <c r="C29" s="25" t="s">
        <v>1054</v>
      </c>
      <c r="D29" s="25" t="s">
        <v>1307</v>
      </c>
      <c r="E29" s="25" t="s">
        <v>2086</v>
      </c>
      <c r="F29" s="25" t="s">
        <v>1366</v>
      </c>
      <c r="G29" s="25" t="s">
        <v>1367</v>
      </c>
      <c r="H29" s="25" t="s">
        <v>867</v>
      </c>
      <c r="I29" s="25" t="s">
        <v>868</v>
      </c>
      <c r="J29" s="25" t="s">
        <v>2070</v>
      </c>
    </row>
    <row r="30" ht="15.75" customHeight="1">
      <c r="A30" s="25" t="s">
        <v>1055</v>
      </c>
      <c r="B30" s="25" t="s">
        <v>1059</v>
      </c>
      <c r="C30" s="25" t="s">
        <v>1060</v>
      </c>
      <c r="D30" s="25" t="s">
        <v>1307</v>
      </c>
      <c r="E30" s="25" t="s">
        <v>2087</v>
      </c>
      <c r="F30" s="25" t="s">
        <v>1372</v>
      </c>
      <c r="G30" s="25" t="s">
        <v>1373</v>
      </c>
      <c r="H30" s="25" t="s">
        <v>867</v>
      </c>
      <c r="I30" s="25" t="s">
        <v>868</v>
      </c>
      <c r="J30" s="25" t="s">
        <v>2070</v>
      </c>
    </row>
    <row r="31" ht="15.75" customHeight="1">
      <c r="A31" s="25" t="s">
        <v>1061</v>
      </c>
      <c r="B31" s="25" t="s">
        <v>1064</v>
      </c>
      <c r="C31" s="25" t="s">
        <v>1065</v>
      </c>
      <c r="D31" s="25" t="s">
        <v>1376</v>
      </c>
      <c r="E31" s="25" t="s">
        <v>2088</v>
      </c>
      <c r="F31" s="25" t="s">
        <v>1379</v>
      </c>
      <c r="G31" s="25" t="s">
        <v>1292</v>
      </c>
      <c r="H31" s="25" t="s">
        <v>884</v>
      </c>
      <c r="I31" s="25" t="s">
        <v>885</v>
      </c>
      <c r="J31" s="25" t="s">
        <v>2070</v>
      </c>
    </row>
    <row r="32" ht="15.75" customHeight="1">
      <c r="A32" s="25" t="s">
        <v>1066</v>
      </c>
      <c r="B32" s="25" t="s">
        <v>1068</v>
      </c>
      <c r="C32" s="25" t="s">
        <v>1069</v>
      </c>
      <c r="D32" s="25" t="s">
        <v>1382</v>
      </c>
      <c r="E32" s="25" t="s">
        <v>2089</v>
      </c>
      <c r="F32" s="25" t="s">
        <v>1385</v>
      </c>
      <c r="G32" s="25" t="s">
        <v>1386</v>
      </c>
      <c r="H32" s="25" t="s">
        <v>884</v>
      </c>
      <c r="I32" s="25" t="s">
        <v>885</v>
      </c>
      <c r="J32" s="25" t="s">
        <v>2070</v>
      </c>
    </row>
    <row r="33" ht="15.75" customHeight="1">
      <c r="A33" s="25" t="s">
        <v>1070</v>
      </c>
      <c r="B33" s="25" t="s">
        <v>1072</v>
      </c>
      <c r="C33" s="25" t="s">
        <v>1073</v>
      </c>
      <c r="D33" s="25" t="s">
        <v>1307</v>
      </c>
      <c r="E33" s="25" t="s">
        <v>2090</v>
      </c>
      <c r="F33" s="25" t="s">
        <v>1391</v>
      </c>
      <c r="G33" s="25" t="s">
        <v>1392</v>
      </c>
      <c r="H33" s="25" t="s">
        <v>884</v>
      </c>
      <c r="I33" s="25" t="s">
        <v>885</v>
      </c>
      <c r="J33" s="25" t="s">
        <v>2070</v>
      </c>
    </row>
    <row r="34" ht="15.75" customHeight="1">
      <c r="A34" s="25" t="s">
        <v>1074</v>
      </c>
      <c r="B34" s="25" t="s">
        <v>1078</v>
      </c>
      <c r="C34" s="25" t="s">
        <v>1079</v>
      </c>
      <c r="D34" s="25" t="s">
        <v>1395</v>
      </c>
      <c r="E34" s="25" t="s">
        <v>2071</v>
      </c>
      <c r="F34" s="25" t="s">
        <v>1398</v>
      </c>
      <c r="G34" s="25" t="s">
        <v>1399</v>
      </c>
      <c r="H34" s="25" t="s">
        <v>892</v>
      </c>
      <c r="I34" s="25" t="s">
        <v>893</v>
      </c>
      <c r="J34" s="25" t="s">
        <v>2070</v>
      </c>
    </row>
    <row r="35" ht="15.75" customHeight="1">
      <c r="A35" s="25" t="s">
        <v>1080</v>
      </c>
      <c r="B35" s="25" t="s">
        <v>1083</v>
      </c>
      <c r="C35" s="25" t="s">
        <v>1084</v>
      </c>
      <c r="D35" s="25" t="s">
        <v>1402</v>
      </c>
      <c r="E35" s="25" t="s">
        <v>2090</v>
      </c>
      <c r="F35" s="25" t="s">
        <v>1405</v>
      </c>
      <c r="G35" s="25" t="s">
        <v>1406</v>
      </c>
      <c r="H35" s="25" t="s">
        <v>843</v>
      </c>
      <c r="I35" s="25" t="s">
        <v>844</v>
      </c>
      <c r="J35" s="25" t="s">
        <v>2070</v>
      </c>
    </row>
    <row r="36" ht="15.75" customHeight="1">
      <c r="A36" s="25" t="s">
        <v>1085</v>
      </c>
      <c r="B36" s="25" t="s">
        <v>1087</v>
      </c>
      <c r="C36" s="25" t="s">
        <v>1088</v>
      </c>
      <c r="D36" s="25" t="s">
        <v>1288</v>
      </c>
      <c r="E36" s="25" t="s">
        <v>2091</v>
      </c>
      <c r="F36" s="25" t="s">
        <v>1411</v>
      </c>
      <c r="G36" s="25" t="s">
        <v>1412</v>
      </c>
      <c r="H36" s="25" t="s">
        <v>875</v>
      </c>
      <c r="I36" s="25" t="s">
        <v>876</v>
      </c>
      <c r="J36" s="25" t="s">
        <v>2070</v>
      </c>
    </row>
    <row r="37" ht="15.75" customHeight="1">
      <c r="A37" s="25" t="s">
        <v>1089</v>
      </c>
      <c r="B37" s="25" t="s">
        <v>1091</v>
      </c>
      <c r="C37" s="25" t="s">
        <v>1092</v>
      </c>
      <c r="D37" s="25" t="s">
        <v>1307</v>
      </c>
      <c r="E37" s="25" t="s">
        <v>2092</v>
      </c>
      <c r="F37" s="25" t="s">
        <v>1417</v>
      </c>
      <c r="G37" s="25" t="s">
        <v>1418</v>
      </c>
      <c r="H37" s="25" t="s">
        <v>843</v>
      </c>
      <c r="I37" s="25" t="s">
        <v>844</v>
      </c>
      <c r="J37" s="25" t="s">
        <v>2070</v>
      </c>
    </row>
    <row r="38" ht="15.75" customHeight="1">
      <c r="A38" s="25" t="s">
        <v>1093</v>
      </c>
      <c r="B38" s="25" t="s">
        <v>1095</v>
      </c>
      <c r="C38" s="25" t="s">
        <v>1096</v>
      </c>
      <c r="D38" s="25" t="s">
        <v>1307</v>
      </c>
      <c r="E38" s="25" t="s">
        <v>2090</v>
      </c>
      <c r="F38" s="25" t="s">
        <v>1422</v>
      </c>
      <c r="G38" s="25" t="s">
        <v>1392</v>
      </c>
      <c r="H38" s="25" t="s">
        <v>843</v>
      </c>
      <c r="I38" s="25" t="s">
        <v>844</v>
      </c>
      <c r="J38" s="25" t="s">
        <v>2070</v>
      </c>
    </row>
    <row r="39" ht="15.75" customHeight="1">
      <c r="A39" s="25" t="s">
        <v>1097</v>
      </c>
      <c r="B39" s="25" t="s">
        <v>1099</v>
      </c>
      <c r="C39" s="25" t="s">
        <v>1100</v>
      </c>
      <c r="D39" s="25" t="s">
        <v>1425</v>
      </c>
      <c r="E39" s="25" t="s">
        <v>2071</v>
      </c>
      <c r="F39" s="25" t="s">
        <v>1428</v>
      </c>
      <c r="G39" s="25" t="s">
        <v>1429</v>
      </c>
      <c r="H39" s="25" t="s">
        <v>875</v>
      </c>
      <c r="I39" s="25" t="s">
        <v>876</v>
      </c>
      <c r="J39" s="25" t="s">
        <v>2070</v>
      </c>
    </row>
    <row r="40" ht="15.75" customHeight="1">
      <c r="A40" s="25" t="s">
        <v>1101</v>
      </c>
      <c r="B40" s="25" t="s">
        <v>1104</v>
      </c>
      <c r="C40" s="25" t="s">
        <v>1105</v>
      </c>
      <c r="D40" s="25" t="s">
        <v>1432</v>
      </c>
      <c r="E40" s="25" t="s">
        <v>2082</v>
      </c>
      <c r="F40" s="25" t="s">
        <v>1435</v>
      </c>
      <c r="G40" s="25" t="s">
        <v>1436</v>
      </c>
      <c r="H40" s="25" t="s">
        <v>867</v>
      </c>
      <c r="I40" s="25" t="s">
        <v>868</v>
      </c>
      <c r="J40" s="25" t="s">
        <v>2070</v>
      </c>
    </row>
    <row r="41" ht="15.75" customHeight="1">
      <c r="A41" s="25" t="s">
        <v>1106</v>
      </c>
      <c r="B41" s="25" t="s">
        <v>1108</v>
      </c>
      <c r="C41" s="25" t="s">
        <v>1109</v>
      </c>
      <c r="D41" s="25" t="s">
        <v>1439</v>
      </c>
      <c r="E41" s="25" t="s">
        <v>2093</v>
      </c>
      <c r="F41" s="25" t="s">
        <v>1442</v>
      </c>
      <c r="G41" s="25" t="s">
        <v>1443</v>
      </c>
      <c r="H41" s="25" t="s">
        <v>851</v>
      </c>
      <c r="I41" s="25" t="s">
        <v>852</v>
      </c>
      <c r="J41" s="25" t="s">
        <v>2070</v>
      </c>
    </row>
    <row r="42" ht="15.75" customHeight="1">
      <c r="A42" s="25" t="s">
        <v>1110</v>
      </c>
      <c r="B42" s="25" t="s">
        <v>1113</v>
      </c>
      <c r="C42" s="25" t="s">
        <v>1114</v>
      </c>
      <c r="D42" s="25" t="s">
        <v>1446</v>
      </c>
      <c r="E42" s="25" t="s">
        <v>2094</v>
      </c>
      <c r="F42" s="25" t="s">
        <v>1449</v>
      </c>
      <c r="G42" s="25" t="s">
        <v>1450</v>
      </c>
      <c r="H42" s="25" t="s">
        <v>835</v>
      </c>
      <c r="I42" s="25" t="s">
        <v>836</v>
      </c>
      <c r="J42" s="25" t="s">
        <v>2070</v>
      </c>
    </row>
    <row r="43" ht="15.75" customHeight="1">
      <c r="A43" s="25" t="s">
        <v>1115</v>
      </c>
      <c r="B43" s="25" t="s">
        <v>1117</v>
      </c>
      <c r="C43" s="25" t="s">
        <v>1118</v>
      </c>
      <c r="D43" s="25" t="s">
        <v>1453</v>
      </c>
      <c r="E43" s="25" t="s">
        <v>2095</v>
      </c>
      <c r="F43" s="25" t="s">
        <v>1456</v>
      </c>
      <c r="G43" s="25" t="s">
        <v>1457</v>
      </c>
      <c r="H43" s="25" t="s">
        <v>867</v>
      </c>
      <c r="I43" s="25" t="s">
        <v>868</v>
      </c>
      <c r="J43" s="25" t="s">
        <v>2070</v>
      </c>
    </row>
    <row r="44" ht="15.75" customHeight="1">
      <c r="A44" s="25" t="s">
        <v>1119</v>
      </c>
      <c r="B44" s="25" t="s">
        <v>1121</v>
      </c>
      <c r="C44" s="25" t="s">
        <v>1122</v>
      </c>
      <c r="D44" s="25" t="s">
        <v>1307</v>
      </c>
      <c r="E44" s="25" t="s">
        <v>2096</v>
      </c>
      <c r="F44" s="25" t="s">
        <v>1462</v>
      </c>
      <c r="G44" s="25" t="s">
        <v>1392</v>
      </c>
      <c r="H44" s="25" t="s">
        <v>851</v>
      </c>
      <c r="I44" s="25" t="s">
        <v>852</v>
      </c>
      <c r="J44" s="25" t="s">
        <v>2070</v>
      </c>
    </row>
    <row r="45" ht="15.75" customHeight="1">
      <c r="A45" s="25" t="s">
        <v>1123</v>
      </c>
      <c r="B45" s="25" t="s">
        <v>1125</v>
      </c>
      <c r="C45" s="25" t="s">
        <v>1126</v>
      </c>
      <c r="D45" s="25" t="s">
        <v>1307</v>
      </c>
      <c r="E45" s="25" t="s">
        <v>2094</v>
      </c>
      <c r="F45" s="25" t="s">
        <v>1467</v>
      </c>
      <c r="G45" s="25" t="s">
        <v>1468</v>
      </c>
      <c r="H45" s="25" t="s">
        <v>835</v>
      </c>
      <c r="I45" s="25" t="s">
        <v>836</v>
      </c>
      <c r="J45" s="25" t="s">
        <v>2070</v>
      </c>
    </row>
    <row r="46" ht="15.75" customHeight="1">
      <c r="A46" s="25" t="s">
        <v>1127</v>
      </c>
      <c r="B46" s="25" t="s">
        <v>1129</v>
      </c>
      <c r="C46" s="25" t="s">
        <v>1130</v>
      </c>
      <c r="D46" s="25" t="s">
        <v>1471</v>
      </c>
      <c r="E46" s="25" t="s">
        <v>2097</v>
      </c>
      <c r="F46" s="25" t="s">
        <v>1474</v>
      </c>
      <c r="G46" s="25" t="s">
        <v>1475</v>
      </c>
      <c r="H46" s="25" t="s">
        <v>843</v>
      </c>
      <c r="I46" s="25" t="s">
        <v>844</v>
      </c>
      <c r="J46" s="25" t="s">
        <v>2070</v>
      </c>
    </row>
    <row r="47" ht="15.75" customHeight="1">
      <c r="A47" s="25" t="s">
        <v>1131</v>
      </c>
      <c r="B47" s="25" t="s">
        <v>1133</v>
      </c>
      <c r="C47" s="25" t="s">
        <v>1134</v>
      </c>
      <c r="D47" s="25" t="s">
        <v>1478</v>
      </c>
      <c r="E47" s="25" t="s">
        <v>2077</v>
      </c>
      <c r="F47" s="25" t="s">
        <v>1481</v>
      </c>
      <c r="G47" s="25" t="s">
        <v>1482</v>
      </c>
      <c r="H47" s="25" t="s">
        <v>884</v>
      </c>
      <c r="I47" s="25" t="s">
        <v>885</v>
      </c>
      <c r="J47" s="25" t="s">
        <v>2070</v>
      </c>
    </row>
    <row r="48" ht="15.75" customHeight="1">
      <c r="A48" s="25" t="s">
        <v>1135</v>
      </c>
      <c r="B48" s="25" t="s">
        <v>1137</v>
      </c>
      <c r="C48" s="25" t="s">
        <v>1138</v>
      </c>
      <c r="D48" s="25" t="s">
        <v>1307</v>
      </c>
      <c r="E48" s="25" t="s">
        <v>2098</v>
      </c>
      <c r="F48" s="25" t="s">
        <v>1487</v>
      </c>
      <c r="G48" s="25" t="s">
        <v>1488</v>
      </c>
      <c r="H48" s="25" t="s">
        <v>867</v>
      </c>
      <c r="I48" s="25" t="s">
        <v>868</v>
      </c>
      <c r="J48" s="25" t="s">
        <v>2070</v>
      </c>
    </row>
    <row r="49" ht="15.75" customHeight="1">
      <c r="A49" s="25" t="s">
        <v>1139</v>
      </c>
      <c r="B49" s="25" t="s">
        <v>1141</v>
      </c>
      <c r="C49" s="25" t="s">
        <v>1142</v>
      </c>
      <c r="D49" s="25" t="s">
        <v>1288</v>
      </c>
      <c r="E49" s="25" t="s">
        <v>2080</v>
      </c>
      <c r="F49" s="25" t="s">
        <v>1492</v>
      </c>
      <c r="G49" s="25" t="s">
        <v>1493</v>
      </c>
      <c r="H49" s="25" t="s">
        <v>875</v>
      </c>
      <c r="I49" s="25" t="s">
        <v>876</v>
      </c>
      <c r="J49" s="25" t="s">
        <v>2070</v>
      </c>
    </row>
    <row r="50" ht="15.75" customHeight="1">
      <c r="A50" s="25" t="s">
        <v>1143</v>
      </c>
      <c r="B50" s="25" t="s">
        <v>1145</v>
      </c>
      <c r="C50" s="25" t="s">
        <v>1146</v>
      </c>
      <c r="D50" s="25" t="s">
        <v>1402</v>
      </c>
      <c r="E50" s="25" t="s">
        <v>2077</v>
      </c>
      <c r="F50" s="25" t="s">
        <v>1498</v>
      </c>
      <c r="G50" s="25" t="s">
        <v>1499</v>
      </c>
      <c r="H50" s="25" t="s">
        <v>835</v>
      </c>
      <c r="I50" s="25" t="s">
        <v>836</v>
      </c>
      <c r="J50" s="25" t="s">
        <v>2070</v>
      </c>
    </row>
    <row r="51" ht="15.75" customHeight="1">
      <c r="A51" s="25" t="s">
        <v>1147</v>
      </c>
      <c r="B51" s="25" t="s">
        <v>1149</v>
      </c>
      <c r="C51" s="25" t="s">
        <v>1150</v>
      </c>
      <c r="D51" s="25" t="s">
        <v>1307</v>
      </c>
      <c r="E51" s="25" t="s">
        <v>2082</v>
      </c>
      <c r="F51" s="25" t="s">
        <v>1504</v>
      </c>
      <c r="G51" s="25" t="s">
        <v>1436</v>
      </c>
      <c r="H51" s="25" t="s">
        <v>875</v>
      </c>
      <c r="I51" s="25" t="s">
        <v>876</v>
      </c>
      <c r="J51" s="25" t="s">
        <v>2070</v>
      </c>
    </row>
    <row r="52" ht="15.75" customHeight="1">
      <c r="A52" s="25" t="s">
        <v>1151</v>
      </c>
      <c r="B52" s="25" t="s">
        <v>1153</v>
      </c>
      <c r="C52" s="25" t="s">
        <v>1154</v>
      </c>
      <c r="D52" s="25" t="s">
        <v>1507</v>
      </c>
      <c r="E52" s="25" t="s">
        <v>2099</v>
      </c>
      <c r="F52" s="25" t="s">
        <v>1510</v>
      </c>
      <c r="G52" s="25" t="s">
        <v>1511</v>
      </c>
      <c r="H52" s="25" t="s">
        <v>875</v>
      </c>
      <c r="I52" s="25" t="s">
        <v>876</v>
      </c>
      <c r="J52" s="25" t="s">
        <v>2070</v>
      </c>
    </row>
    <row r="53" ht="15.75" customHeight="1">
      <c r="A53" s="25" t="s">
        <v>1155</v>
      </c>
      <c r="B53" s="25" t="s">
        <v>1157</v>
      </c>
      <c r="C53" s="25" t="s">
        <v>1158</v>
      </c>
      <c r="D53" s="25" t="s">
        <v>1514</v>
      </c>
      <c r="E53" s="25" t="s">
        <v>2071</v>
      </c>
      <c r="F53" s="25" t="s">
        <v>1516</v>
      </c>
      <c r="G53" s="25" t="s">
        <v>1517</v>
      </c>
      <c r="H53" s="25" t="s">
        <v>875</v>
      </c>
      <c r="I53" s="25" t="s">
        <v>876</v>
      </c>
      <c r="J53" s="25" t="s">
        <v>2070</v>
      </c>
    </row>
    <row r="54" ht="15.75" customHeight="1">
      <c r="A54" s="25" t="s">
        <v>1159</v>
      </c>
      <c r="B54" s="25" t="s">
        <v>1162</v>
      </c>
      <c r="C54" s="25" t="s">
        <v>1163</v>
      </c>
      <c r="D54" s="25" t="s">
        <v>1520</v>
      </c>
      <c r="E54" s="25" t="s">
        <v>2099</v>
      </c>
      <c r="F54" s="25" t="s">
        <v>1449</v>
      </c>
      <c r="G54" s="25" t="s">
        <v>1523</v>
      </c>
      <c r="H54" s="25" t="s">
        <v>835</v>
      </c>
      <c r="I54" s="25" t="s">
        <v>836</v>
      </c>
      <c r="J54" s="25" t="s">
        <v>2070</v>
      </c>
    </row>
    <row r="55" ht="15.75" customHeight="1">
      <c r="A55" s="25" t="s">
        <v>1164</v>
      </c>
      <c r="B55" s="25" t="s">
        <v>1166</v>
      </c>
      <c r="C55" s="25" t="s">
        <v>1167</v>
      </c>
      <c r="D55" s="25" t="s">
        <v>1288</v>
      </c>
      <c r="E55" s="25" t="s">
        <v>2100</v>
      </c>
      <c r="F55" s="25" t="s">
        <v>1405</v>
      </c>
      <c r="G55" s="25" t="s">
        <v>1527</v>
      </c>
      <c r="H55" s="25" t="s">
        <v>843</v>
      </c>
      <c r="I55" s="25" t="s">
        <v>844</v>
      </c>
      <c r="J55" s="25" t="s">
        <v>2070</v>
      </c>
    </row>
    <row r="56" ht="15.75" customHeight="1">
      <c r="A56" s="25" t="s">
        <v>1168</v>
      </c>
      <c r="B56" s="25" t="s">
        <v>1170</v>
      </c>
      <c r="C56" s="25" t="s">
        <v>1171</v>
      </c>
      <c r="D56" s="25" t="s">
        <v>1288</v>
      </c>
      <c r="E56" s="25" t="s">
        <v>2101</v>
      </c>
      <c r="F56" s="25" t="s">
        <v>1532</v>
      </c>
      <c r="G56" s="25" t="s">
        <v>1533</v>
      </c>
      <c r="H56" s="25" t="s">
        <v>843</v>
      </c>
      <c r="I56" s="25" t="s">
        <v>844</v>
      </c>
      <c r="J56" s="25" t="s">
        <v>2070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1">
    <mergeCell ref="A1:J2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2" width="8.71"/>
  </cols>
  <sheetData>
    <row r="1">
      <c r="A1" s="5" t="s">
        <v>2102</v>
      </c>
    </row>
    <row r="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</row>
    <row r="3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</row>
    <row r="4">
      <c r="A4" s="5" t="s">
        <v>2103</v>
      </c>
      <c r="B4" s="5" t="s">
        <v>2103</v>
      </c>
      <c r="C4" s="5" t="s">
        <v>2103</v>
      </c>
      <c r="D4" s="5" t="s">
        <v>2103</v>
      </c>
      <c r="E4" s="5" t="s">
        <v>2103</v>
      </c>
      <c r="F4" s="5" t="s">
        <v>2103</v>
      </c>
      <c r="G4" s="5" t="s">
        <v>2103</v>
      </c>
      <c r="H4" s="5" t="s">
        <v>2103</v>
      </c>
      <c r="I4" s="5" t="s">
        <v>2103</v>
      </c>
      <c r="J4" s="5" t="s">
        <v>2103</v>
      </c>
      <c r="K4" s="5" t="s">
        <v>2103</v>
      </c>
      <c r="L4" s="5" t="s">
        <v>2103</v>
      </c>
    </row>
    <row r="5">
      <c r="A5" s="5" t="s">
        <v>2103</v>
      </c>
      <c r="B5" s="5" t="s">
        <v>2103</v>
      </c>
      <c r="C5" s="5" t="s">
        <v>2103</v>
      </c>
      <c r="D5" s="5" t="s">
        <v>2103</v>
      </c>
      <c r="E5" s="5" t="s">
        <v>2103</v>
      </c>
      <c r="F5" s="5" t="s">
        <v>2103</v>
      </c>
      <c r="G5" s="5" t="s">
        <v>2103</v>
      </c>
      <c r="H5" s="5" t="s">
        <v>2103</v>
      </c>
      <c r="I5" s="5" t="s">
        <v>2103</v>
      </c>
      <c r="J5" s="5" t="s">
        <v>2103</v>
      </c>
      <c r="K5" s="5" t="s">
        <v>2103</v>
      </c>
      <c r="L5" s="5" t="s">
        <v>2103</v>
      </c>
    </row>
    <row r="6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</row>
    <row r="7">
      <c r="A7" s="5" t="s">
        <v>66</v>
      </c>
      <c r="B7" s="5" t="s">
        <v>67</v>
      </c>
      <c r="C7" s="5" t="s">
        <v>367</v>
      </c>
      <c r="D7" s="5" t="s">
        <v>6</v>
      </c>
      <c r="E7" s="5"/>
      <c r="F7" s="5" t="s">
        <v>2104</v>
      </c>
      <c r="G7" s="5" t="s">
        <v>2105</v>
      </c>
      <c r="H7" s="5"/>
      <c r="I7" s="5"/>
      <c r="J7" s="5"/>
      <c r="K7" s="5"/>
      <c r="L7" s="5"/>
    </row>
    <row r="8">
      <c r="A8" s="5" t="s">
        <v>2106</v>
      </c>
      <c r="B8" s="5">
        <v>305.0</v>
      </c>
      <c r="C8" s="5" t="s">
        <v>2107</v>
      </c>
      <c r="D8" s="5" t="s">
        <v>2108</v>
      </c>
      <c r="E8" s="5"/>
      <c r="F8" s="5" t="s">
        <v>2109</v>
      </c>
      <c r="G8" s="5" t="str">
        <f>COUNTIF('Unified Catalogue'!D5:D500,F8)</f>
        <v>113</v>
      </c>
      <c r="H8" s="5"/>
      <c r="I8" s="5"/>
      <c r="J8" s="5"/>
      <c r="K8" s="5"/>
      <c r="L8" s="5"/>
    </row>
    <row r="9">
      <c r="A9" s="5" t="s">
        <v>2110</v>
      </c>
      <c r="B9" s="5">
        <v>113.0</v>
      </c>
      <c r="C9" s="5" t="s">
        <v>2111</v>
      </c>
      <c r="D9" s="5" t="s">
        <v>2112</v>
      </c>
      <c r="E9" s="5"/>
      <c r="F9" s="5" t="s">
        <v>2113</v>
      </c>
      <c r="G9" s="5" t="str">
        <f>COUNTIF('Unified Catalogue'!D5:D500,F9)</f>
        <v>48</v>
      </c>
      <c r="H9" s="5"/>
      <c r="I9" s="5"/>
      <c r="J9" s="5"/>
      <c r="K9" s="5"/>
      <c r="L9" s="5"/>
    </row>
    <row r="10">
      <c r="A10" s="5" t="s">
        <v>32</v>
      </c>
      <c r="B10" s="5">
        <v>36.0</v>
      </c>
      <c r="C10" s="5" t="s">
        <v>2114</v>
      </c>
      <c r="D10" s="5" t="s">
        <v>2115</v>
      </c>
      <c r="E10" s="5"/>
      <c r="F10" s="5" t="s">
        <v>1679</v>
      </c>
      <c r="G10" s="5" t="str">
        <f>COUNTIF('Unified Catalogue'!D5:D500,F10)</f>
        <v>48</v>
      </c>
      <c r="H10" s="5"/>
      <c r="I10" s="5"/>
      <c r="J10" s="5"/>
      <c r="K10" s="5"/>
      <c r="L10" s="5"/>
    </row>
    <row r="11">
      <c r="A11" s="5" t="s">
        <v>36</v>
      </c>
      <c r="B11" s="5" t="str">
        <f>COUNTA('Equipment Skill Library'!A5:A200)</f>
        <v>64</v>
      </c>
      <c r="C11" s="5" t="s">
        <v>2116</v>
      </c>
      <c r="D11" s="5" t="s">
        <v>2117</v>
      </c>
      <c r="E11" s="5"/>
      <c r="F11" s="5" t="s">
        <v>1678</v>
      </c>
      <c r="G11" s="5" t="str">
        <f>COUNTIF('Unified Catalogue'!D5:D500,F11)</f>
        <v>48</v>
      </c>
      <c r="H11" s="5"/>
      <c r="I11" s="5"/>
      <c r="J11" s="5"/>
      <c r="K11" s="5"/>
      <c r="L11" s="5"/>
    </row>
    <row r="12">
      <c r="A12" s="5" t="s">
        <v>2113</v>
      </c>
      <c r="B12" s="5" t="str">
        <f>COUNTIF('Unified Catalogue'!D5:D500,"Armour/Plumage")</f>
        <v>48</v>
      </c>
      <c r="C12" s="5" t="s">
        <v>2118</v>
      </c>
      <c r="D12" s="5" t="s">
        <v>2119</v>
      </c>
      <c r="E12" s="5"/>
      <c r="F12" s="5" t="s">
        <v>1680</v>
      </c>
      <c r="G12" s="5" t="str">
        <f>COUNTIF('Unified Catalogue'!D5:D500,F12)</f>
        <v>24</v>
      </c>
      <c r="H12" s="5"/>
      <c r="I12" s="5"/>
      <c r="J12" s="5"/>
      <c r="K12" s="5"/>
      <c r="L12" s="5"/>
    </row>
    <row r="13">
      <c r="A13" s="5" t="s">
        <v>2120</v>
      </c>
      <c r="B13" s="5" t="str">
        <f>COUNTIF('Unified Catalogue'!D5:D500,"Helmet")</f>
        <v>48</v>
      </c>
      <c r="C13" s="5" t="s">
        <v>2118</v>
      </c>
      <c r="D13" s="5" t="s">
        <v>2121</v>
      </c>
      <c r="E13" s="5"/>
      <c r="F13" s="5" t="s">
        <v>1681</v>
      </c>
      <c r="G13" s="5" t="str">
        <f>COUNTIF('Unified Catalogue'!D5:D500,F13)</f>
        <v>24</v>
      </c>
      <c r="H13" s="5"/>
      <c r="I13" s="5"/>
      <c r="J13" s="5"/>
      <c r="K13" s="5"/>
      <c r="L13" s="5"/>
    </row>
    <row r="14">
      <c r="A14" s="5" t="s">
        <v>2122</v>
      </c>
      <c r="B14" s="5" t="str">
        <f>COUNTIF('Unified Catalogue'!D5:D500,"Shield")</f>
        <v>48</v>
      </c>
      <c r="C14" s="5" t="s">
        <v>2118</v>
      </c>
      <c r="D14" s="5" t="s">
        <v>2123</v>
      </c>
      <c r="E14" s="5"/>
      <c r="F14" s="5"/>
      <c r="G14" s="5"/>
      <c r="H14" s="5"/>
      <c r="I14" s="5"/>
      <c r="J14" s="5"/>
      <c r="K14" s="5"/>
      <c r="L14" s="5"/>
    </row>
    <row r="15">
      <c r="A15" s="5" t="s">
        <v>2124</v>
      </c>
      <c r="B15" s="5" t="str">
        <f>COUNTIF('Unified Catalogue'!D5:D500,"Anklet")+COUNTIF('Unified Catalogue'!D5:D500,"Necklace")</f>
        <v>48</v>
      </c>
      <c r="C15" s="5" t="s">
        <v>2125</v>
      </c>
      <c r="D15" s="5" t="s">
        <v>2126</v>
      </c>
      <c r="E15" s="5"/>
      <c r="F15" s="5"/>
      <c r="G15" s="5"/>
      <c r="H15" s="5"/>
      <c r="I15" s="5"/>
      <c r="J15" s="5"/>
      <c r="K15" s="5"/>
      <c r="L15" s="5"/>
    </row>
    <row r="16">
      <c r="A16" s="5" t="s">
        <v>2127</v>
      </c>
      <c r="B16" s="5">
        <v>0.0</v>
      </c>
      <c r="C16" s="5" t="s">
        <v>2128</v>
      </c>
      <c r="D16" s="5" t="s">
        <v>2129</v>
      </c>
      <c r="E16" s="5"/>
      <c r="F16" s="5"/>
      <c r="G16" s="5"/>
      <c r="H16" s="5"/>
      <c r="I16" s="5"/>
      <c r="J16" s="5"/>
      <c r="K16" s="5"/>
      <c r="L16" s="5"/>
    </row>
    <row r="17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</row>
    <row r="18">
      <c r="A18" s="5" t="s">
        <v>2130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>
      <c r="A19" s="5" t="s">
        <v>32</v>
      </c>
      <c r="B19" s="5" t="s">
        <v>2131</v>
      </c>
      <c r="C19" s="5"/>
      <c r="D19" s="5"/>
      <c r="E19" s="5"/>
      <c r="F19" s="5"/>
      <c r="G19" s="5"/>
      <c r="H19" s="5"/>
      <c r="I19" s="5"/>
      <c r="J19" s="5"/>
      <c r="K19" s="5"/>
      <c r="L19" s="5"/>
    </row>
    <row r="20">
      <c r="A20" s="5" t="s">
        <v>2130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</row>
    <row r="21" ht="15.75" customHeight="1">
      <c r="A21" s="5" t="s">
        <v>2132</v>
      </c>
      <c r="B21" s="5" t="s">
        <v>2133</v>
      </c>
      <c r="C21" s="5"/>
      <c r="D21" s="5"/>
      <c r="E21" s="5"/>
      <c r="F21" s="5"/>
      <c r="G21" s="5"/>
      <c r="H21" s="5"/>
      <c r="I21" s="5"/>
      <c r="J21" s="5"/>
      <c r="K21" s="5"/>
      <c r="L21" s="5"/>
    </row>
    <row r="22" ht="15.75" customHeight="1">
      <c r="A22" s="5" t="s">
        <v>2134</v>
      </c>
      <c r="B22" s="5" t="s">
        <v>2135</v>
      </c>
      <c r="C22" s="5"/>
      <c r="D22" s="5"/>
      <c r="E22" s="5"/>
      <c r="F22" s="5"/>
      <c r="G22" s="5"/>
      <c r="H22" s="5"/>
      <c r="I22" s="5"/>
      <c r="J22" s="5"/>
      <c r="K22" s="5"/>
      <c r="L22" s="5"/>
    </row>
    <row r="23" ht="15.75" customHeight="1">
      <c r="A23" s="5" t="s">
        <v>2136</v>
      </c>
      <c r="B23" s="5" t="s">
        <v>2137</v>
      </c>
      <c r="C23" s="5"/>
      <c r="D23" s="5"/>
      <c r="E23" s="5"/>
      <c r="F23" s="5"/>
      <c r="G23" s="5"/>
      <c r="H23" s="5"/>
      <c r="I23" s="5"/>
      <c r="J23" s="5"/>
      <c r="K23" s="5"/>
      <c r="L23" s="5"/>
    </row>
    <row r="24" ht="15.75" customHeight="1">
      <c r="A24" s="5" t="s">
        <v>1191</v>
      </c>
      <c r="B24" s="5" t="s">
        <v>2138</v>
      </c>
      <c r="C24" s="5"/>
      <c r="D24" s="5"/>
      <c r="E24" s="5"/>
      <c r="F24" s="5"/>
      <c r="G24" s="5"/>
      <c r="H24" s="5"/>
      <c r="I24" s="5"/>
      <c r="J24" s="5"/>
      <c r="K24" s="5"/>
      <c r="L24" s="5"/>
    </row>
    <row r="25" ht="15.75" customHeight="1">
      <c r="A25" s="5" t="s">
        <v>1192</v>
      </c>
      <c r="B25" s="5" t="s">
        <v>2139</v>
      </c>
      <c r="C25" s="5"/>
      <c r="D25" s="5"/>
      <c r="E25" s="5"/>
      <c r="F25" s="5"/>
      <c r="G25" s="5"/>
      <c r="H25" s="5"/>
      <c r="I25" s="5"/>
      <c r="J25" s="5"/>
      <c r="K25" s="5"/>
      <c r="L25" s="5"/>
    </row>
    <row r="26" ht="15.75" customHeight="1">
      <c r="A26" s="5" t="s">
        <v>2140</v>
      </c>
      <c r="B26" s="5" t="s">
        <v>2141</v>
      </c>
      <c r="C26" s="5"/>
      <c r="D26" s="5"/>
      <c r="E26" s="5"/>
      <c r="F26" s="5"/>
      <c r="G26" s="5"/>
      <c r="H26" s="5"/>
      <c r="I26" s="5"/>
      <c r="J26" s="5"/>
      <c r="K26" s="5"/>
      <c r="L26" s="5"/>
    </row>
    <row r="27" ht="15.75" customHeight="1">
      <c r="A27" s="5" t="s">
        <v>2142</v>
      </c>
      <c r="B27" s="5" t="s">
        <v>2143</v>
      </c>
      <c r="C27" s="5"/>
      <c r="D27" s="5"/>
      <c r="E27" s="5"/>
      <c r="F27" s="5"/>
      <c r="G27" s="5"/>
      <c r="H27" s="5"/>
      <c r="I27" s="5"/>
      <c r="J27" s="5"/>
      <c r="K27" s="5"/>
      <c r="L27" s="5"/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1">
    <mergeCell ref="A1:L1"/>
  </mergeCell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1" width="8.71"/>
  </cols>
  <sheetData>
    <row r="1">
      <c r="A1" t="s">
        <v>2144</v>
      </c>
    </row>
    <row r="4">
      <c r="A4" t="s">
        <v>2145</v>
      </c>
      <c r="B4" t="s">
        <v>367</v>
      </c>
      <c r="C4" t="s">
        <v>2146</v>
      </c>
      <c r="D4" t="s">
        <v>2147</v>
      </c>
      <c r="E4" t="s">
        <v>538</v>
      </c>
      <c r="F4" t="s">
        <v>5</v>
      </c>
      <c r="G4" t="s">
        <v>2148</v>
      </c>
      <c r="H4" t="s">
        <v>6</v>
      </c>
    </row>
    <row r="5">
      <c r="A5" t="s">
        <v>1578</v>
      </c>
      <c r="B5" t="s">
        <v>2149</v>
      </c>
      <c r="C5" t="s">
        <v>2150</v>
      </c>
      <c r="D5" t="s">
        <v>2151</v>
      </c>
      <c r="E5" t="s">
        <v>2152</v>
      </c>
      <c r="F5" t="s">
        <v>84</v>
      </c>
      <c r="G5" t="s">
        <v>2153</v>
      </c>
      <c r="H5" t="s">
        <v>2154</v>
      </c>
    </row>
    <row r="6">
      <c r="A6" t="s">
        <v>2155</v>
      </c>
      <c r="B6" t="s">
        <v>2156</v>
      </c>
      <c r="C6" t="s">
        <v>2157</v>
      </c>
      <c r="D6" t="s">
        <v>2158</v>
      </c>
      <c r="E6" t="s">
        <v>2159</v>
      </c>
      <c r="F6" t="s">
        <v>84</v>
      </c>
      <c r="G6" t="s">
        <v>2160</v>
      </c>
      <c r="H6" t="s">
        <v>2161</v>
      </c>
    </row>
    <row r="7">
      <c r="A7" t="s">
        <v>2162</v>
      </c>
      <c r="B7" t="s">
        <v>2163</v>
      </c>
      <c r="C7" t="s">
        <v>2164</v>
      </c>
      <c r="D7" t="s">
        <v>570</v>
      </c>
      <c r="E7" t="s">
        <v>2165</v>
      </c>
      <c r="F7" t="s">
        <v>84</v>
      </c>
      <c r="G7" t="s">
        <v>2166</v>
      </c>
    </row>
    <row r="8">
      <c r="A8" t="s">
        <v>2167</v>
      </c>
      <c r="B8" t="s">
        <v>2168</v>
      </c>
      <c r="C8" t="s">
        <v>2169</v>
      </c>
      <c r="D8" t="s">
        <v>573</v>
      </c>
      <c r="E8" t="s">
        <v>2170</v>
      </c>
      <c r="F8" t="s">
        <v>84</v>
      </c>
      <c r="G8" t="s">
        <v>2171</v>
      </c>
    </row>
    <row r="9">
      <c r="A9" t="s">
        <v>2172</v>
      </c>
      <c r="B9" t="s">
        <v>2173</v>
      </c>
      <c r="C9" t="s">
        <v>2174</v>
      </c>
      <c r="D9" t="s">
        <v>2175</v>
      </c>
      <c r="E9" t="s">
        <v>2176</v>
      </c>
      <c r="F9" t="s">
        <v>84</v>
      </c>
      <c r="G9" t="s">
        <v>2177</v>
      </c>
    </row>
    <row r="10">
      <c r="A10" t="s">
        <v>461</v>
      </c>
      <c r="B10" t="s">
        <v>2178</v>
      </c>
      <c r="C10" t="s">
        <v>2179</v>
      </c>
      <c r="D10" t="s">
        <v>2180</v>
      </c>
      <c r="E10" t="s">
        <v>2181</v>
      </c>
      <c r="F10" t="s">
        <v>84</v>
      </c>
      <c r="G10" t="s">
        <v>2182</v>
      </c>
    </row>
    <row r="11">
      <c r="A11" t="s">
        <v>2183</v>
      </c>
      <c r="B11" t="s">
        <v>2184</v>
      </c>
      <c r="C11" t="s">
        <v>2185</v>
      </c>
      <c r="D11" t="s">
        <v>2180</v>
      </c>
      <c r="E11" t="s">
        <v>2186</v>
      </c>
      <c r="F11" t="s">
        <v>84</v>
      </c>
      <c r="G11" t="s">
        <v>2187</v>
      </c>
    </row>
    <row r="12">
      <c r="A12" t="s">
        <v>1569</v>
      </c>
      <c r="B12" t="s">
        <v>2188</v>
      </c>
      <c r="C12" t="s">
        <v>2189</v>
      </c>
      <c r="D12" t="s">
        <v>2180</v>
      </c>
      <c r="E12" t="s">
        <v>2190</v>
      </c>
      <c r="F12" t="s">
        <v>84</v>
      </c>
      <c r="G12" t="s">
        <v>2191</v>
      </c>
    </row>
    <row r="13">
      <c r="A13" t="s">
        <v>2192</v>
      </c>
      <c r="B13" t="s">
        <v>2193</v>
      </c>
      <c r="C13" t="s">
        <v>2194</v>
      </c>
      <c r="D13" t="s">
        <v>2195</v>
      </c>
      <c r="E13" t="s">
        <v>2196</v>
      </c>
      <c r="F13" t="s">
        <v>84</v>
      </c>
      <c r="G13" t="s">
        <v>2197</v>
      </c>
    </row>
    <row r="14">
      <c r="A14" t="s">
        <v>2198</v>
      </c>
      <c r="B14" t="s">
        <v>2199</v>
      </c>
      <c r="C14" t="s">
        <v>2200</v>
      </c>
      <c r="D14" t="s">
        <v>2201</v>
      </c>
      <c r="E14" t="s">
        <v>2202</v>
      </c>
      <c r="F14" t="s">
        <v>84</v>
      </c>
      <c r="G14" t="s">
        <v>2197</v>
      </c>
    </row>
    <row r="15">
      <c r="A15" t="s">
        <v>2203</v>
      </c>
      <c r="B15" t="s">
        <v>2204</v>
      </c>
      <c r="C15" t="s">
        <v>2205</v>
      </c>
      <c r="D15" t="s">
        <v>2195</v>
      </c>
      <c r="E15" t="s">
        <v>2206</v>
      </c>
      <c r="F15" t="s">
        <v>84</v>
      </c>
      <c r="G15" t="s">
        <v>2207</v>
      </c>
    </row>
    <row r="16">
      <c r="A16" t="s">
        <v>1223</v>
      </c>
      <c r="B16" t="s">
        <v>2208</v>
      </c>
      <c r="C16" t="s">
        <v>2205</v>
      </c>
      <c r="D16" t="s">
        <v>2201</v>
      </c>
      <c r="E16" t="s">
        <v>2206</v>
      </c>
      <c r="F16" t="s">
        <v>84</v>
      </c>
      <c r="G16" t="s">
        <v>2209</v>
      </c>
    </row>
    <row r="17">
      <c r="A17" t="s">
        <v>2210</v>
      </c>
      <c r="B17" t="s">
        <v>2211</v>
      </c>
      <c r="C17" t="s">
        <v>2212</v>
      </c>
      <c r="D17" t="s">
        <v>2213</v>
      </c>
      <c r="E17" t="s">
        <v>2214</v>
      </c>
      <c r="F17" t="s">
        <v>84</v>
      </c>
      <c r="G17" t="s">
        <v>2215</v>
      </c>
      <c r="H17" t="s">
        <v>2216</v>
      </c>
    </row>
    <row r="18">
      <c r="A18" t="s">
        <v>2217</v>
      </c>
      <c r="B18" t="s">
        <v>2218</v>
      </c>
      <c r="C18" t="s">
        <v>2219</v>
      </c>
      <c r="D18" t="s">
        <v>2220</v>
      </c>
      <c r="E18" t="s">
        <v>2221</v>
      </c>
      <c r="F18" t="s">
        <v>84</v>
      </c>
      <c r="G18" t="s">
        <v>2215</v>
      </c>
      <c r="H18" t="s">
        <v>2222</v>
      </c>
    </row>
    <row r="19">
      <c r="A19" t="s">
        <v>1191</v>
      </c>
      <c r="B19" t="s">
        <v>2223</v>
      </c>
      <c r="C19" t="s">
        <v>2224</v>
      </c>
      <c r="D19" t="s">
        <v>2213</v>
      </c>
      <c r="E19" t="s">
        <v>2225</v>
      </c>
      <c r="F19" t="s">
        <v>84</v>
      </c>
      <c r="G19" t="s">
        <v>2226</v>
      </c>
      <c r="H19" t="s">
        <v>2227</v>
      </c>
    </row>
    <row r="20">
      <c r="A20" t="s">
        <v>1192</v>
      </c>
      <c r="B20" t="s">
        <v>2228</v>
      </c>
      <c r="C20" t="s">
        <v>2229</v>
      </c>
      <c r="D20" t="s">
        <v>2220</v>
      </c>
      <c r="E20" t="s">
        <v>2230</v>
      </c>
      <c r="F20" t="s">
        <v>84</v>
      </c>
      <c r="G20" t="s">
        <v>2231</v>
      </c>
      <c r="H20" t="s">
        <v>2232</v>
      </c>
    </row>
    <row r="21" ht="15.75" customHeight="1">
      <c r="A21" t="s">
        <v>2233</v>
      </c>
      <c r="B21" t="s">
        <v>2234</v>
      </c>
      <c r="C21" t="s">
        <v>2235</v>
      </c>
      <c r="D21" t="s">
        <v>2236</v>
      </c>
      <c r="E21" t="s">
        <v>2237</v>
      </c>
      <c r="F21" t="s">
        <v>84</v>
      </c>
      <c r="G21" t="s">
        <v>2238</v>
      </c>
    </row>
    <row r="22" ht="15.75" customHeight="1">
      <c r="A22" t="s">
        <v>2239</v>
      </c>
      <c r="B22" t="s">
        <v>2240</v>
      </c>
      <c r="C22" t="s">
        <v>2241</v>
      </c>
      <c r="D22" t="s">
        <v>2242</v>
      </c>
      <c r="E22" t="s">
        <v>2243</v>
      </c>
      <c r="F22" t="s">
        <v>84</v>
      </c>
      <c r="G22" t="s">
        <v>2244</v>
      </c>
      <c r="H22" t="s">
        <v>2245</v>
      </c>
    </row>
    <row r="23" ht="15.75" customHeight="1">
      <c r="A23" t="s">
        <v>2142</v>
      </c>
      <c r="B23" t="s">
        <v>2246</v>
      </c>
      <c r="C23" t="s">
        <v>2247</v>
      </c>
      <c r="D23" t="s">
        <v>2248</v>
      </c>
      <c r="E23" t="s">
        <v>2249</v>
      </c>
      <c r="F23" t="s">
        <v>84</v>
      </c>
      <c r="G23" t="s">
        <v>2250</v>
      </c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1" width="8.71"/>
  </cols>
  <sheetData>
    <row r="1">
      <c r="A1" t="s">
        <v>2251</v>
      </c>
    </row>
    <row r="4">
      <c r="A4" t="s">
        <v>2104</v>
      </c>
      <c r="B4" t="s">
        <v>2252</v>
      </c>
      <c r="C4" t="s">
        <v>2253</v>
      </c>
      <c r="D4" t="s">
        <v>2254</v>
      </c>
      <c r="E4" t="s">
        <v>2255</v>
      </c>
      <c r="F4" t="s">
        <v>2256</v>
      </c>
      <c r="G4" t="s">
        <v>2257</v>
      </c>
      <c r="H4" t="s">
        <v>1542</v>
      </c>
    </row>
    <row r="5">
      <c r="A5" t="s">
        <v>1679</v>
      </c>
      <c r="B5">
        <v>1.0</v>
      </c>
      <c r="C5" t="s">
        <v>2258</v>
      </c>
      <c r="D5" t="s">
        <v>2259</v>
      </c>
      <c r="E5" t="s">
        <v>2260</v>
      </c>
      <c r="F5" t="s">
        <v>2261</v>
      </c>
      <c r="G5" t="s">
        <v>2262</v>
      </c>
      <c r="H5" t="s">
        <v>2263</v>
      </c>
    </row>
    <row r="6">
      <c r="A6" t="s">
        <v>2113</v>
      </c>
      <c r="B6">
        <v>1.0</v>
      </c>
      <c r="C6" t="s">
        <v>2264</v>
      </c>
      <c r="D6" t="s">
        <v>2265</v>
      </c>
      <c r="E6" t="s">
        <v>2266</v>
      </c>
      <c r="F6" t="s">
        <v>2267</v>
      </c>
      <c r="G6" t="s">
        <v>2268</v>
      </c>
      <c r="H6" t="s">
        <v>2269</v>
      </c>
    </row>
    <row r="7">
      <c r="A7" t="s">
        <v>2109</v>
      </c>
      <c r="B7">
        <v>2.0</v>
      </c>
      <c r="C7" t="s">
        <v>2270</v>
      </c>
      <c r="D7" t="s">
        <v>2271</v>
      </c>
      <c r="E7" t="s">
        <v>2272</v>
      </c>
      <c r="F7" t="s">
        <v>2273</v>
      </c>
      <c r="G7" t="s">
        <v>2274</v>
      </c>
      <c r="H7" t="s">
        <v>2275</v>
      </c>
    </row>
    <row r="8">
      <c r="A8" t="s">
        <v>1678</v>
      </c>
      <c r="B8">
        <v>-1.0</v>
      </c>
      <c r="C8" t="s">
        <v>2276</v>
      </c>
      <c r="D8" t="s">
        <v>2265</v>
      </c>
      <c r="E8" t="s">
        <v>2260</v>
      </c>
      <c r="F8" t="s">
        <v>2277</v>
      </c>
      <c r="G8" t="s">
        <v>2278</v>
      </c>
      <c r="H8" t="s">
        <v>2279</v>
      </c>
    </row>
    <row r="9">
      <c r="A9" t="s">
        <v>1680</v>
      </c>
      <c r="B9">
        <v>2.0</v>
      </c>
      <c r="C9" t="s">
        <v>2280</v>
      </c>
      <c r="D9" t="s">
        <v>2281</v>
      </c>
      <c r="E9" t="s">
        <v>2282</v>
      </c>
      <c r="F9" t="s">
        <v>2283</v>
      </c>
      <c r="G9" t="s">
        <v>2284</v>
      </c>
      <c r="H9" t="s">
        <v>2285</v>
      </c>
    </row>
    <row r="10">
      <c r="A10" t="s">
        <v>1681</v>
      </c>
      <c r="B10">
        <v>1.0</v>
      </c>
      <c r="C10" t="s">
        <v>2280</v>
      </c>
      <c r="D10" t="s">
        <v>2286</v>
      </c>
      <c r="E10" t="s">
        <v>2287</v>
      </c>
      <c r="F10" t="s">
        <v>2288</v>
      </c>
      <c r="G10" t="s">
        <v>2289</v>
      </c>
      <c r="H10" t="s">
        <v>2290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1" width="8.71"/>
  </cols>
  <sheetData>
    <row r="1">
      <c r="A1" t="s">
        <v>2291</v>
      </c>
    </row>
    <row r="4">
      <c r="A4" t="s">
        <v>133</v>
      </c>
      <c r="B4" t="s">
        <v>1638</v>
      </c>
      <c r="C4" t="s">
        <v>2292</v>
      </c>
      <c r="D4" t="s">
        <v>2113</v>
      </c>
      <c r="E4" t="s">
        <v>1679</v>
      </c>
      <c r="F4" t="s">
        <v>1678</v>
      </c>
      <c r="G4" t="s">
        <v>2293</v>
      </c>
      <c r="H4" t="s">
        <v>2294</v>
      </c>
      <c r="I4" t="s">
        <v>2295</v>
      </c>
      <c r="J4" t="s">
        <v>2296</v>
      </c>
    </row>
    <row r="5">
      <c r="A5" t="s">
        <v>569</v>
      </c>
      <c r="B5">
        <v>1.0</v>
      </c>
      <c r="C5">
        <v>1.0</v>
      </c>
      <c r="D5">
        <v>4.0</v>
      </c>
      <c r="E5">
        <v>2.0</v>
      </c>
      <c r="F5">
        <v>3.0</v>
      </c>
      <c r="G5">
        <v>0.8</v>
      </c>
      <c r="H5">
        <v>1.0</v>
      </c>
      <c r="I5">
        <v>1.1</v>
      </c>
      <c r="J5" t="s">
        <v>2297</v>
      </c>
    </row>
    <row r="6">
      <c r="A6" t="s">
        <v>572</v>
      </c>
      <c r="B6">
        <v>1.25</v>
      </c>
      <c r="C6">
        <v>2.0</v>
      </c>
      <c r="D6">
        <v>6.0</v>
      </c>
      <c r="E6">
        <v>3.0</v>
      </c>
      <c r="F6">
        <v>4.0</v>
      </c>
      <c r="G6">
        <v>0.8</v>
      </c>
      <c r="H6">
        <v>1.0</v>
      </c>
      <c r="I6">
        <v>1.1</v>
      </c>
      <c r="J6" t="s">
        <v>2298</v>
      </c>
    </row>
    <row r="7">
      <c r="A7" t="s">
        <v>575</v>
      </c>
      <c r="B7">
        <v>1.55</v>
      </c>
      <c r="C7">
        <v>3.0</v>
      </c>
      <c r="D7">
        <v>9.0</v>
      </c>
      <c r="E7">
        <v>4.0</v>
      </c>
      <c r="F7">
        <v>6.0</v>
      </c>
      <c r="G7">
        <v>0.8</v>
      </c>
      <c r="H7">
        <v>1.0</v>
      </c>
      <c r="I7">
        <v>1.1</v>
      </c>
      <c r="J7" t="s">
        <v>2299</v>
      </c>
    </row>
    <row r="8">
      <c r="A8" t="s">
        <v>578</v>
      </c>
      <c r="B8">
        <v>1.9</v>
      </c>
      <c r="C8">
        <v>5.0</v>
      </c>
      <c r="D8">
        <v>12.0</v>
      </c>
      <c r="E8">
        <v>6.0</v>
      </c>
      <c r="F8">
        <v>8.0</v>
      </c>
      <c r="G8">
        <v>0.8</v>
      </c>
      <c r="H8">
        <v>1.0</v>
      </c>
      <c r="I8">
        <v>1.1</v>
      </c>
      <c r="J8" t="s">
        <v>2300</v>
      </c>
    </row>
    <row r="9">
      <c r="A9" t="s">
        <v>581</v>
      </c>
      <c r="B9">
        <v>2.3</v>
      </c>
      <c r="C9">
        <v>7.0</v>
      </c>
      <c r="D9">
        <v>16.0</v>
      </c>
      <c r="E9">
        <v>8.0</v>
      </c>
      <c r="F9">
        <v>12.0</v>
      </c>
      <c r="G9">
        <v>0.8</v>
      </c>
      <c r="H9">
        <v>1.0</v>
      </c>
      <c r="I9">
        <v>1.1</v>
      </c>
      <c r="J9" t="s">
        <v>2301</v>
      </c>
    </row>
    <row r="10">
      <c r="A10" t="s">
        <v>584</v>
      </c>
      <c r="B10">
        <v>2.75</v>
      </c>
      <c r="C10">
        <v>9.0</v>
      </c>
      <c r="D10">
        <v>22.0</v>
      </c>
      <c r="E10">
        <v>11.0</v>
      </c>
      <c r="F10">
        <v>16.0</v>
      </c>
      <c r="G10">
        <v>0.8</v>
      </c>
      <c r="H10">
        <v>1.0</v>
      </c>
      <c r="I10">
        <v>1.1</v>
      </c>
      <c r="J10" t="s">
        <v>2302</v>
      </c>
    </row>
    <row r="13">
      <c r="A13" t="s">
        <v>2303</v>
      </c>
      <c r="B13" t="s">
        <v>2304</v>
      </c>
      <c r="C13" t="s">
        <v>2305</v>
      </c>
      <c r="D13" t="s">
        <v>2306</v>
      </c>
      <c r="F13" t="s">
        <v>2307</v>
      </c>
    </row>
    <row r="14">
      <c r="A14" t="s">
        <v>539</v>
      </c>
      <c r="B14">
        <v>4.0</v>
      </c>
      <c r="C14" t="s">
        <v>2308</v>
      </c>
      <c r="D14" t="s">
        <v>2309</v>
      </c>
      <c r="F14" t="s">
        <v>133</v>
      </c>
      <c r="G14" t="s">
        <v>2310</v>
      </c>
      <c r="H14" t="s">
        <v>2311</v>
      </c>
      <c r="I14" t="s">
        <v>2312</v>
      </c>
      <c r="J14" t="s">
        <v>6</v>
      </c>
    </row>
    <row r="15">
      <c r="A15" t="s">
        <v>234</v>
      </c>
      <c r="B15">
        <v>10.0</v>
      </c>
      <c r="C15" t="s">
        <v>2313</v>
      </c>
      <c r="D15" t="s">
        <v>2314</v>
      </c>
      <c r="F15" t="s">
        <v>569</v>
      </c>
      <c r="G15" t="s">
        <v>1602</v>
      </c>
      <c r="H15" t="s">
        <v>2315</v>
      </c>
      <c r="I15" t="s">
        <v>1205</v>
      </c>
      <c r="J15" t="s">
        <v>2316</v>
      </c>
    </row>
    <row r="16">
      <c r="A16" t="s">
        <v>551</v>
      </c>
      <c r="B16">
        <v>20.0</v>
      </c>
      <c r="C16" t="s">
        <v>2317</v>
      </c>
      <c r="D16" t="s">
        <v>2318</v>
      </c>
      <c r="F16" t="s">
        <v>572</v>
      </c>
      <c r="G16" t="s">
        <v>2319</v>
      </c>
      <c r="H16" t="s">
        <v>2320</v>
      </c>
      <c r="I16" t="s">
        <v>2321</v>
      </c>
      <c r="J16" t="s">
        <v>2322</v>
      </c>
    </row>
    <row r="17">
      <c r="F17" t="s">
        <v>575</v>
      </c>
      <c r="G17" t="s">
        <v>2319</v>
      </c>
      <c r="H17" t="s">
        <v>2323</v>
      </c>
      <c r="I17" t="s">
        <v>2321</v>
      </c>
      <c r="J17" t="s">
        <v>2324</v>
      </c>
    </row>
    <row r="18">
      <c r="F18" t="s">
        <v>578</v>
      </c>
      <c r="G18" t="s">
        <v>2325</v>
      </c>
      <c r="H18" t="s">
        <v>2326</v>
      </c>
      <c r="I18" t="s">
        <v>2327</v>
      </c>
      <c r="J18" t="s">
        <v>2328</v>
      </c>
    </row>
    <row r="19">
      <c r="F19" t="s">
        <v>581</v>
      </c>
      <c r="G19" t="s">
        <v>2325</v>
      </c>
      <c r="H19" t="s">
        <v>2326</v>
      </c>
      <c r="I19" t="s">
        <v>2327</v>
      </c>
      <c r="J19" t="s">
        <v>2329</v>
      </c>
    </row>
    <row r="20">
      <c r="F20" t="s">
        <v>584</v>
      </c>
      <c r="G20" t="s">
        <v>2325</v>
      </c>
      <c r="H20" t="s">
        <v>2330</v>
      </c>
      <c r="I20" t="s">
        <v>2327</v>
      </c>
      <c r="J20" t="s">
        <v>2331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1" width="8.71"/>
  </cols>
  <sheetData>
    <row r="1">
      <c r="A1" t="s">
        <v>2332</v>
      </c>
    </row>
    <row r="4">
      <c r="A4" t="s">
        <v>1970</v>
      </c>
      <c r="B4" t="s">
        <v>1848</v>
      </c>
      <c r="C4" t="s">
        <v>1814</v>
      </c>
      <c r="D4" t="s">
        <v>2333</v>
      </c>
      <c r="E4" t="s">
        <v>565</v>
      </c>
      <c r="F4" t="s">
        <v>2334</v>
      </c>
      <c r="G4" t="s">
        <v>2335</v>
      </c>
      <c r="H4" t="s">
        <v>2336</v>
      </c>
      <c r="I4" t="s">
        <v>2337</v>
      </c>
      <c r="J4" t="s">
        <v>2338</v>
      </c>
      <c r="K4" t="s">
        <v>2339</v>
      </c>
      <c r="L4" t="s">
        <v>2340</v>
      </c>
      <c r="M4" t="s">
        <v>2341</v>
      </c>
      <c r="N4" t="s">
        <v>2342</v>
      </c>
      <c r="O4" t="s">
        <v>2343</v>
      </c>
      <c r="P4" t="s">
        <v>2344</v>
      </c>
      <c r="Q4" t="s">
        <v>2345</v>
      </c>
      <c r="R4" t="s">
        <v>1801</v>
      </c>
      <c r="S4" t="s">
        <v>2346</v>
      </c>
      <c r="T4" t="s">
        <v>2347</v>
      </c>
      <c r="U4" t="s">
        <v>2348</v>
      </c>
    </row>
    <row r="5">
      <c r="A5" t="s">
        <v>1855</v>
      </c>
      <c r="B5" t="s">
        <v>2349</v>
      </c>
      <c r="C5" t="s">
        <v>1856</v>
      </c>
      <c r="D5" t="s">
        <v>573</v>
      </c>
      <c r="E5" t="s">
        <v>94</v>
      </c>
      <c r="F5">
        <v>2.0</v>
      </c>
      <c r="G5">
        <v>3.0</v>
      </c>
      <c r="H5">
        <v>2.0</v>
      </c>
      <c r="I5" t="s">
        <v>2350</v>
      </c>
      <c r="J5">
        <v>110.0</v>
      </c>
      <c r="K5">
        <v>0.0</v>
      </c>
      <c r="L5" t="s">
        <v>2351</v>
      </c>
      <c r="M5">
        <v>3.0</v>
      </c>
      <c r="N5" t="s">
        <v>2352</v>
      </c>
      <c r="O5">
        <v>120.0</v>
      </c>
      <c r="P5">
        <v>1.0</v>
      </c>
      <c r="Q5" t="s">
        <v>2353</v>
      </c>
      <c r="R5" t="s">
        <v>101</v>
      </c>
      <c r="S5" t="s">
        <v>106</v>
      </c>
      <c r="T5" t="s">
        <v>2354</v>
      </c>
      <c r="U5" t="s">
        <v>2355</v>
      </c>
    </row>
    <row r="6">
      <c r="A6" t="s">
        <v>1972</v>
      </c>
      <c r="B6" t="s">
        <v>2349</v>
      </c>
      <c r="C6" t="s">
        <v>2356</v>
      </c>
      <c r="D6" t="s">
        <v>573</v>
      </c>
      <c r="E6" t="s">
        <v>94</v>
      </c>
      <c r="F6">
        <v>3.0</v>
      </c>
      <c r="G6">
        <v>4.0</v>
      </c>
      <c r="H6">
        <v>2.0</v>
      </c>
      <c r="I6" t="s">
        <v>2357</v>
      </c>
      <c r="J6">
        <v>110.0</v>
      </c>
      <c r="K6">
        <v>0.0</v>
      </c>
      <c r="L6" t="s">
        <v>2358</v>
      </c>
      <c r="M6">
        <v>3.0</v>
      </c>
      <c r="N6" t="s">
        <v>2359</v>
      </c>
      <c r="O6">
        <v>120.0</v>
      </c>
      <c r="P6">
        <v>1.0</v>
      </c>
      <c r="Q6" t="s">
        <v>2360</v>
      </c>
      <c r="R6" t="s">
        <v>101</v>
      </c>
      <c r="S6" t="s">
        <v>82</v>
      </c>
      <c r="T6" t="s">
        <v>2361</v>
      </c>
      <c r="U6" t="s">
        <v>2355</v>
      </c>
    </row>
    <row r="7">
      <c r="A7" t="s">
        <v>1985</v>
      </c>
      <c r="B7" t="s">
        <v>2349</v>
      </c>
      <c r="C7" t="s">
        <v>2356</v>
      </c>
      <c r="D7" t="s">
        <v>573</v>
      </c>
      <c r="E7" t="s">
        <v>94</v>
      </c>
      <c r="F7">
        <v>3.0</v>
      </c>
      <c r="G7">
        <v>5.0</v>
      </c>
      <c r="H7">
        <v>2.0</v>
      </c>
      <c r="I7" t="s">
        <v>2362</v>
      </c>
      <c r="J7">
        <v>100.0</v>
      </c>
      <c r="K7">
        <v>0.0</v>
      </c>
      <c r="L7" t="s">
        <v>2363</v>
      </c>
      <c r="M7">
        <v>3.0</v>
      </c>
      <c r="N7" t="s">
        <v>2364</v>
      </c>
      <c r="O7">
        <v>115.0</v>
      </c>
      <c r="P7">
        <v>1.0</v>
      </c>
      <c r="Q7" t="s">
        <v>2365</v>
      </c>
      <c r="R7" t="s">
        <v>101</v>
      </c>
      <c r="S7" t="s">
        <v>106</v>
      </c>
      <c r="T7" t="s">
        <v>2366</v>
      </c>
      <c r="U7" t="s">
        <v>2355</v>
      </c>
    </row>
    <row r="8">
      <c r="A8" t="s">
        <v>1870</v>
      </c>
      <c r="B8" t="s">
        <v>2349</v>
      </c>
      <c r="C8" t="s">
        <v>2367</v>
      </c>
      <c r="D8" t="s">
        <v>573</v>
      </c>
      <c r="E8" t="s">
        <v>94</v>
      </c>
      <c r="F8">
        <v>3.0</v>
      </c>
      <c r="G8">
        <v>4.0</v>
      </c>
      <c r="H8">
        <v>2.0</v>
      </c>
      <c r="I8" t="s">
        <v>2368</v>
      </c>
      <c r="J8">
        <v>110.0</v>
      </c>
      <c r="K8">
        <v>0.0</v>
      </c>
      <c r="L8" t="s">
        <v>2358</v>
      </c>
      <c r="M8">
        <v>3.0</v>
      </c>
      <c r="N8" t="s">
        <v>2369</v>
      </c>
      <c r="O8">
        <v>115.0</v>
      </c>
      <c r="P8">
        <v>1.0</v>
      </c>
      <c r="Q8" t="s">
        <v>2370</v>
      </c>
      <c r="R8" t="s">
        <v>101</v>
      </c>
      <c r="S8" t="s">
        <v>82</v>
      </c>
      <c r="T8" t="s">
        <v>2371</v>
      </c>
      <c r="U8" t="s">
        <v>2355</v>
      </c>
    </row>
    <row r="9">
      <c r="A9" t="s">
        <v>1994</v>
      </c>
      <c r="B9" t="s">
        <v>2349</v>
      </c>
      <c r="C9" t="s">
        <v>2372</v>
      </c>
      <c r="D9" t="s">
        <v>570</v>
      </c>
      <c r="E9" t="s">
        <v>89</v>
      </c>
      <c r="F9">
        <v>4.0</v>
      </c>
      <c r="G9">
        <v>6.0</v>
      </c>
      <c r="H9">
        <v>2.0</v>
      </c>
      <c r="I9" t="s">
        <v>2373</v>
      </c>
      <c r="J9">
        <v>100.0</v>
      </c>
      <c r="K9">
        <v>0.0</v>
      </c>
      <c r="L9" t="s">
        <v>2374</v>
      </c>
      <c r="M9">
        <v>3.0</v>
      </c>
      <c r="N9" t="s">
        <v>2375</v>
      </c>
      <c r="O9">
        <v>85.0</v>
      </c>
      <c r="P9">
        <v>2.0</v>
      </c>
      <c r="Q9" t="s">
        <v>2376</v>
      </c>
      <c r="R9" t="s">
        <v>106</v>
      </c>
      <c r="S9" t="s">
        <v>82</v>
      </c>
      <c r="T9" t="s">
        <v>2377</v>
      </c>
      <c r="U9" t="s">
        <v>2355</v>
      </c>
    </row>
    <row r="10">
      <c r="A10" t="s">
        <v>2009</v>
      </c>
      <c r="B10" t="s">
        <v>2349</v>
      </c>
      <c r="C10" t="s">
        <v>2378</v>
      </c>
      <c r="D10" t="s">
        <v>2175</v>
      </c>
      <c r="E10" t="s">
        <v>98</v>
      </c>
      <c r="F10">
        <v>2.0</v>
      </c>
      <c r="G10">
        <v>4.0</v>
      </c>
      <c r="H10">
        <v>2.0</v>
      </c>
      <c r="I10" t="s">
        <v>2379</v>
      </c>
      <c r="J10">
        <v>110.0</v>
      </c>
      <c r="K10">
        <v>0.0</v>
      </c>
      <c r="L10" t="s">
        <v>2380</v>
      </c>
      <c r="M10">
        <v>3.0</v>
      </c>
      <c r="N10" t="s">
        <v>2381</v>
      </c>
      <c r="O10">
        <v>0.0</v>
      </c>
      <c r="P10">
        <v>2.0</v>
      </c>
      <c r="Q10" t="s">
        <v>2382</v>
      </c>
      <c r="R10" t="s">
        <v>111</v>
      </c>
      <c r="S10" t="s">
        <v>101</v>
      </c>
      <c r="T10" t="s">
        <v>2383</v>
      </c>
      <c r="U10" t="s">
        <v>2355</v>
      </c>
    </row>
    <row r="11">
      <c r="A11" t="s">
        <v>2015</v>
      </c>
      <c r="B11" t="s">
        <v>2349</v>
      </c>
      <c r="C11" t="s">
        <v>2384</v>
      </c>
      <c r="D11" t="s">
        <v>2175</v>
      </c>
      <c r="E11" t="s">
        <v>98</v>
      </c>
      <c r="F11">
        <v>2.0</v>
      </c>
      <c r="G11">
        <v>3.0</v>
      </c>
      <c r="H11">
        <v>2.0</v>
      </c>
      <c r="I11" t="s">
        <v>2385</v>
      </c>
      <c r="J11">
        <v>90.0</v>
      </c>
      <c r="K11">
        <v>0.0</v>
      </c>
      <c r="L11" t="s">
        <v>2386</v>
      </c>
      <c r="M11">
        <v>3.0</v>
      </c>
      <c r="N11" t="s">
        <v>2387</v>
      </c>
      <c r="O11">
        <v>75.0</v>
      </c>
      <c r="P11">
        <v>1.0</v>
      </c>
      <c r="Q11" t="s">
        <v>2388</v>
      </c>
      <c r="R11" t="s">
        <v>111</v>
      </c>
      <c r="S11" t="s">
        <v>82</v>
      </c>
      <c r="T11" t="s">
        <v>2389</v>
      </c>
      <c r="U11" t="s">
        <v>2355</v>
      </c>
    </row>
    <row r="12">
      <c r="A12" t="s">
        <v>1817</v>
      </c>
      <c r="B12" t="s">
        <v>2349</v>
      </c>
      <c r="C12" t="s">
        <v>2378</v>
      </c>
      <c r="D12" t="s">
        <v>2175</v>
      </c>
      <c r="E12" t="s">
        <v>98</v>
      </c>
      <c r="F12">
        <v>1.0</v>
      </c>
      <c r="G12">
        <v>3.0</v>
      </c>
      <c r="H12">
        <v>2.0</v>
      </c>
      <c r="I12" t="s">
        <v>2390</v>
      </c>
      <c r="J12">
        <v>80.0</v>
      </c>
      <c r="K12">
        <v>0.0</v>
      </c>
      <c r="L12" t="s">
        <v>2391</v>
      </c>
      <c r="M12">
        <v>3.0</v>
      </c>
      <c r="N12" t="s">
        <v>2392</v>
      </c>
      <c r="O12">
        <v>0.0</v>
      </c>
      <c r="P12">
        <v>2.0</v>
      </c>
      <c r="Q12" t="s">
        <v>2393</v>
      </c>
      <c r="R12" t="s">
        <v>111</v>
      </c>
      <c r="S12" t="s">
        <v>101</v>
      </c>
      <c r="T12" t="s">
        <v>2394</v>
      </c>
      <c r="U12" t="s">
        <v>2355</v>
      </c>
    </row>
    <row r="13">
      <c r="A13" t="s">
        <v>2022</v>
      </c>
      <c r="B13" t="s">
        <v>2349</v>
      </c>
      <c r="C13" t="s">
        <v>2395</v>
      </c>
      <c r="D13" t="s">
        <v>2175</v>
      </c>
      <c r="E13" t="s">
        <v>98</v>
      </c>
      <c r="F13">
        <v>3.0</v>
      </c>
      <c r="G13">
        <v>4.0</v>
      </c>
      <c r="H13">
        <v>2.0</v>
      </c>
      <c r="I13" t="s">
        <v>2396</v>
      </c>
      <c r="J13">
        <v>110.0</v>
      </c>
      <c r="K13">
        <v>0.0</v>
      </c>
      <c r="L13" t="s">
        <v>2380</v>
      </c>
      <c r="M13">
        <v>3.0</v>
      </c>
      <c r="N13" t="s">
        <v>2397</v>
      </c>
      <c r="O13">
        <v>0.0</v>
      </c>
      <c r="P13">
        <v>1.0</v>
      </c>
      <c r="Q13" t="s">
        <v>2398</v>
      </c>
      <c r="R13" t="s">
        <v>111</v>
      </c>
      <c r="S13" t="s">
        <v>82</v>
      </c>
      <c r="T13" t="s">
        <v>2399</v>
      </c>
      <c r="U13" t="s">
        <v>2355</v>
      </c>
    </row>
    <row r="14">
      <c r="A14" t="s">
        <v>1862</v>
      </c>
      <c r="B14" t="s">
        <v>2400</v>
      </c>
      <c r="C14" t="s">
        <v>2367</v>
      </c>
      <c r="D14" t="s">
        <v>573</v>
      </c>
      <c r="E14" t="s">
        <v>94</v>
      </c>
      <c r="F14">
        <v>4.0</v>
      </c>
      <c r="G14">
        <v>6.0</v>
      </c>
      <c r="H14">
        <v>2.0</v>
      </c>
      <c r="I14" t="s">
        <v>2401</v>
      </c>
      <c r="J14">
        <v>115.0</v>
      </c>
      <c r="K14">
        <v>0.0</v>
      </c>
      <c r="L14" t="s">
        <v>2402</v>
      </c>
      <c r="M14">
        <v>3.0</v>
      </c>
      <c r="N14" t="s">
        <v>2403</v>
      </c>
      <c r="O14">
        <v>95.0</v>
      </c>
      <c r="P14">
        <v>1.0</v>
      </c>
      <c r="Q14" t="s">
        <v>2404</v>
      </c>
      <c r="R14" t="s">
        <v>101</v>
      </c>
      <c r="S14" t="s">
        <v>82</v>
      </c>
      <c r="T14" t="s">
        <v>2405</v>
      </c>
      <c r="U14" t="s">
        <v>2355</v>
      </c>
    </row>
    <row r="15">
      <c r="A15" t="s">
        <v>1998</v>
      </c>
      <c r="B15" t="s">
        <v>2400</v>
      </c>
      <c r="C15" t="s">
        <v>2406</v>
      </c>
      <c r="D15" t="s">
        <v>570</v>
      </c>
      <c r="E15" t="s">
        <v>89</v>
      </c>
      <c r="F15">
        <v>5.0</v>
      </c>
      <c r="G15">
        <v>7.0</v>
      </c>
      <c r="H15">
        <v>2.0</v>
      </c>
      <c r="I15" t="s">
        <v>2407</v>
      </c>
      <c r="J15">
        <v>120.0</v>
      </c>
      <c r="K15">
        <v>0.0</v>
      </c>
      <c r="L15" t="s">
        <v>2408</v>
      </c>
      <c r="M15">
        <v>3.0</v>
      </c>
      <c r="N15" t="s">
        <v>2409</v>
      </c>
      <c r="O15">
        <v>135.0</v>
      </c>
      <c r="P15">
        <v>1.0</v>
      </c>
      <c r="Q15" t="s">
        <v>2410</v>
      </c>
      <c r="R15" t="s">
        <v>106</v>
      </c>
      <c r="S15" t="s">
        <v>82</v>
      </c>
      <c r="T15" t="s">
        <v>2411</v>
      </c>
      <c r="U15" t="s">
        <v>2355</v>
      </c>
    </row>
    <row r="16">
      <c r="A16" t="s">
        <v>2023</v>
      </c>
      <c r="B16" t="s">
        <v>2400</v>
      </c>
      <c r="C16" t="s">
        <v>2412</v>
      </c>
      <c r="D16" t="s">
        <v>2175</v>
      </c>
      <c r="E16" t="s">
        <v>98</v>
      </c>
      <c r="F16">
        <v>4.0</v>
      </c>
      <c r="G16">
        <v>6.0</v>
      </c>
      <c r="H16">
        <v>2.0</v>
      </c>
      <c r="I16" t="s">
        <v>2413</v>
      </c>
      <c r="J16">
        <v>110.0</v>
      </c>
      <c r="K16">
        <v>0.0</v>
      </c>
      <c r="L16" t="s">
        <v>2380</v>
      </c>
      <c r="M16">
        <v>3.0</v>
      </c>
      <c r="N16" t="s">
        <v>2414</v>
      </c>
      <c r="O16">
        <v>0.0</v>
      </c>
      <c r="P16">
        <v>2.0</v>
      </c>
      <c r="Q16" t="s">
        <v>2415</v>
      </c>
      <c r="R16" t="s">
        <v>111</v>
      </c>
      <c r="S16" t="s">
        <v>82</v>
      </c>
      <c r="T16" t="s">
        <v>2416</v>
      </c>
      <c r="U16" t="s">
        <v>2355</v>
      </c>
    </row>
    <row r="17">
      <c r="A17" t="s">
        <v>2002</v>
      </c>
      <c r="B17" t="s">
        <v>2400</v>
      </c>
      <c r="C17" t="s">
        <v>2406</v>
      </c>
      <c r="D17" t="s">
        <v>570</v>
      </c>
      <c r="E17" t="s">
        <v>89</v>
      </c>
      <c r="F17">
        <v>6.0</v>
      </c>
      <c r="G17">
        <v>8.0</v>
      </c>
      <c r="H17">
        <v>2.0</v>
      </c>
      <c r="I17" t="s">
        <v>2417</v>
      </c>
      <c r="J17">
        <v>120.0</v>
      </c>
      <c r="K17">
        <v>0.0</v>
      </c>
      <c r="L17" t="s">
        <v>2408</v>
      </c>
      <c r="M17">
        <v>3.0</v>
      </c>
      <c r="N17" t="s">
        <v>2418</v>
      </c>
      <c r="O17">
        <v>125.0</v>
      </c>
      <c r="P17">
        <v>1.0</v>
      </c>
      <c r="Q17" t="s">
        <v>2419</v>
      </c>
      <c r="R17" t="s">
        <v>106</v>
      </c>
      <c r="S17" t="s">
        <v>82</v>
      </c>
      <c r="T17" t="s">
        <v>2420</v>
      </c>
      <c r="U17" t="s">
        <v>2355</v>
      </c>
    </row>
    <row r="18">
      <c r="A18" t="s">
        <v>1875</v>
      </c>
      <c r="B18" t="s">
        <v>2400</v>
      </c>
      <c r="C18" t="s">
        <v>2421</v>
      </c>
      <c r="D18" t="s">
        <v>573</v>
      </c>
      <c r="E18" t="s">
        <v>94</v>
      </c>
      <c r="F18">
        <v>5.0</v>
      </c>
      <c r="G18">
        <v>8.0</v>
      </c>
      <c r="H18">
        <v>2.0</v>
      </c>
      <c r="I18" t="s">
        <v>2422</v>
      </c>
      <c r="J18">
        <v>120.0</v>
      </c>
      <c r="K18">
        <v>0.0</v>
      </c>
      <c r="L18" t="s">
        <v>2423</v>
      </c>
      <c r="M18">
        <v>3.0</v>
      </c>
      <c r="N18" t="s">
        <v>2424</v>
      </c>
      <c r="O18">
        <v>140.0</v>
      </c>
      <c r="P18">
        <v>1.0</v>
      </c>
      <c r="Q18" t="s">
        <v>2425</v>
      </c>
      <c r="R18" t="s">
        <v>101</v>
      </c>
      <c r="S18" t="s">
        <v>82</v>
      </c>
      <c r="T18" t="s">
        <v>2426</v>
      </c>
      <c r="U18" t="s">
        <v>2355</v>
      </c>
    </row>
    <row r="19">
      <c r="A19" t="s">
        <v>2008</v>
      </c>
      <c r="B19" t="s">
        <v>2400</v>
      </c>
      <c r="C19" t="s">
        <v>2427</v>
      </c>
      <c r="D19" t="s">
        <v>570</v>
      </c>
      <c r="E19" t="s">
        <v>89</v>
      </c>
      <c r="F19">
        <v>5.0</v>
      </c>
      <c r="G19">
        <v>7.0</v>
      </c>
      <c r="H19">
        <v>2.0</v>
      </c>
      <c r="I19" t="s">
        <v>2428</v>
      </c>
      <c r="J19">
        <v>100.0</v>
      </c>
      <c r="K19">
        <v>0.0</v>
      </c>
      <c r="L19" t="s">
        <v>2429</v>
      </c>
      <c r="M19">
        <v>3.0</v>
      </c>
      <c r="N19" t="s">
        <v>2430</v>
      </c>
      <c r="O19">
        <v>125.0</v>
      </c>
      <c r="P19">
        <v>1.0</v>
      </c>
      <c r="Q19" t="s">
        <v>2431</v>
      </c>
      <c r="R19" t="s">
        <v>82</v>
      </c>
      <c r="S19" t="s">
        <v>106</v>
      </c>
      <c r="T19" t="s">
        <v>2432</v>
      </c>
      <c r="U19" t="s">
        <v>2355</v>
      </c>
    </row>
    <row r="20">
      <c r="A20" t="s">
        <v>2024</v>
      </c>
      <c r="B20" t="s">
        <v>2400</v>
      </c>
      <c r="C20" t="s">
        <v>2384</v>
      </c>
      <c r="D20" t="s">
        <v>2175</v>
      </c>
      <c r="E20" t="s">
        <v>98</v>
      </c>
      <c r="F20">
        <v>3.0</v>
      </c>
      <c r="G20">
        <v>5.0</v>
      </c>
      <c r="H20">
        <v>2.0</v>
      </c>
      <c r="I20" t="s">
        <v>2433</v>
      </c>
      <c r="J20">
        <v>100.0</v>
      </c>
      <c r="K20">
        <v>0.0</v>
      </c>
      <c r="L20" t="s">
        <v>2434</v>
      </c>
      <c r="M20">
        <v>3.0</v>
      </c>
      <c r="N20" t="s">
        <v>2435</v>
      </c>
      <c r="O20">
        <v>0.0</v>
      </c>
      <c r="P20">
        <v>3.0</v>
      </c>
      <c r="Q20" t="s">
        <v>2436</v>
      </c>
      <c r="R20" t="s">
        <v>111</v>
      </c>
      <c r="S20" t="s">
        <v>82</v>
      </c>
      <c r="T20" t="s">
        <v>2437</v>
      </c>
      <c r="U20" t="s">
        <v>2355</v>
      </c>
    </row>
    <row r="21" ht="15.75" customHeight="1">
      <c r="A21" t="s">
        <v>2025</v>
      </c>
      <c r="B21" t="s">
        <v>2400</v>
      </c>
      <c r="C21" t="s">
        <v>2438</v>
      </c>
      <c r="D21" t="s">
        <v>2175</v>
      </c>
      <c r="E21" t="s">
        <v>98</v>
      </c>
      <c r="F21">
        <v>2.0</v>
      </c>
      <c r="G21">
        <v>4.0</v>
      </c>
      <c r="H21">
        <v>2.0</v>
      </c>
      <c r="I21" t="s">
        <v>2439</v>
      </c>
      <c r="J21">
        <v>70.0</v>
      </c>
      <c r="K21">
        <v>0.0</v>
      </c>
      <c r="L21" t="s">
        <v>2440</v>
      </c>
      <c r="M21">
        <v>3.0</v>
      </c>
      <c r="N21" t="s">
        <v>2441</v>
      </c>
      <c r="O21">
        <v>90.0</v>
      </c>
      <c r="P21">
        <v>1.0</v>
      </c>
      <c r="Q21" t="s">
        <v>2442</v>
      </c>
      <c r="R21" t="s">
        <v>94</v>
      </c>
      <c r="S21" t="s">
        <v>111</v>
      </c>
      <c r="T21" t="s">
        <v>2443</v>
      </c>
      <c r="U21" t="s">
        <v>2355</v>
      </c>
    </row>
    <row r="22" ht="15.75" customHeight="1">
      <c r="A22" t="s">
        <v>2026</v>
      </c>
      <c r="B22" t="s">
        <v>2400</v>
      </c>
      <c r="C22" t="s">
        <v>2444</v>
      </c>
      <c r="D22" t="s">
        <v>2175</v>
      </c>
      <c r="E22" t="s">
        <v>98</v>
      </c>
      <c r="F22">
        <v>2.0</v>
      </c>
      <c r="G22">
        <v>4.0</v>
      </c>
      <c r="H22">
        <v>2.0</v>
      </c>
      <c r="I22" t="s">
        <v>2445</v>
      </c>
      <c r="J22">
        <v>85.0</v>
      </c>
      <c r="K22">
        <v>0.0</v>
      </c>
      <c r="L22" t="s">
        <v>2446</v>
      </c>
      <c r="M22">
        <v>3.0</v>
      </c>
      <c r="N22" t="s">
        <v>2447</v>
      </c>
      <c r="O22">
        <v>100.0</v>
      </c>
      <c r="P22">
        <v>1.0</v>
      </c>
      <c r="Q22" t="s">
        <v>2448</v>
      </c>
      <c r="R22" t="s">
        <v>111</v>
      </c>
      <c r="S22" t="s">
        <v>101</v>
      </c>
      <c r="T22" t="s">
        <v>2449</v>
      </c>
      <c r="U22" t="s">
        <v>2355</v>
      </c>
    </row>
    <row r="23" ht="15.75" customHeight="1">
      <c r="A23" s="5" t="s">
        <v>2450</v>
      </c>
      <c r="B23" s="5" t="s">
        <v>2349</v>
      </c>
      <c r="C23" s="5" t="s">
        <v>2384</v>
      </c>
      <c r="D23" s="5" t="s">
        <v>2175</v>
      </c>
      <c r="E23" s="5" t="s">
        <v>98</v>
      </c>
      <c r="F23" s="5">
        <v>1.0</v>
      </c>
      <c r="G23" s="5">
        <v>2.0</v>
      </c>
      <c r="H23" s="5">
        <v>1.0</v>
      </c>
      <c r="I23" s="5" t="s">
        <v>2132</v>
      </c>
      <c r="J23" s="5">
        <v>100.0</v>
      </c>
      <c r="K23" s="5">
        <v>0.0</v>
      </c>
      <c r="L23" s="5" t="s">
        <v>2451</v>
      </c>
      <c r="M23" s="5"/>
      <c r="N23" s="5"/>
      <c r="O23" s="5"/>
      <c r="P23" s="5"/>
      <c r="Q23" s="5" t="s">
        <v>2452</v>
      </c>
      <c r="R23" s="5" t="s">
        <v>111</v>
      </c>
      <c r="S23" s="5" t="s">
        <v>101</v>
      </c>
      <c r="T23" s="5" t="s">
        <v>2453</v>
      </c>
      <c r="U23" s="5" t="s">
        <v>2454</v>
      </c>
    </row>
    <row r="24" ht="15.75" customHeight="1">
      <c r="A24" s="5" t="s">
        <v>2455</v>
      </c>
      <c r="B24" s="5" t="s">
        <v>2456</v>
      </c>
      <c r="C24" s="5" t="s">
        <v>2406</v>
      </c>
      <c r="D24" s="5" t="s">
        <v>570</v>
      </c>
      <c r="E24" s="5" t="s">
        <v>89</v>
      </c>
      <c r="F24" s="5">
        <v>2.0</v>
      </c>
      <c r="G24" s="5">
        <v>3.0</v>
      </c>
      <c r="H24" s="5">
        <v>1.0</v>
      </c>
      <c r="I24" s="5" t="s">
        <v>2132</v>
      </c>
      <c r="J24" s="5">
        <v>100.0</v>
      </c>
      <c r="K24" s="5">
        <v>0.0</v>
      </c>
      <c r="L24" s="5" t="s">
        <v>2457</v>
      </c>
      <c r="M24" s="5"/>
      <c r="N24" s="5"/>
      <c r="O24" s="5"/>
      <c r="P24" s="5"/>
      <c r="Q24" s="5" t="s">
        <v>2452</v>
      </c>
      <c r="R24" s="5" t="s">
        <v>106</v>
      </c>
      <c r="S24" s="5" t="s">
        <v>82</v>
      </c>
      <c r="T24" s="5" t="s">
        <v>2458</v>
      </c>
      <c r="U24" s="5" t="s">
        <v>2454</v>
      </c>
    </row>
    <row r="25" ht="15.75" customHeight="1">
      <c r="A25" s="5" t="s">
        <v>2459</v>
      </c>
      <c r="B25" s="5" t="s">
        <v>2456</v>
      </c>
      <c r="C25" s="5" t="s">
        <v>2438</v>
      </c>
      <c r="D25" s="5" t="s">
        <v>2175</v>
      </c>
      <c r="E25" s="5" t="s">
        <v>98</v>
      </c>
      <c r="F25" s="5">
        <v>1.0</v>
      </c>
      <c r="G25" s="5">
        <v>2.0</v>
      </c>
      <c r="H25" s="5">
        <v>1.0</v>
      </c>
      <c r="I25" s="5" t="s">
        <v>2132</v>
      </c>
      <c r="J25" s="5">
        <v>100.0</v>
      </c>
      <c r="K25" s="5">
        <v>0.0</v>
      </c>
      <c r="L25" s="5" t="s">
        <v>2451</v>
      </c>
      <c r="M25" s="5"/>
      <c r="N25" s="5"/>
      <c r="O25" s="5"/>
      <c r="P25" s="5"/>
      <c r="Q25" s="5" t="s">
        <v>2452</v>
      </c>
      <c r="R25" s="5" t="s">
        <v>94</v>
      </c>
      <c r="S25" s="5" t="s">
        <v>111</v>
      </c>
      <c r="T25" s="5" t="s">
        <v>2460</v>
      </c>
      <c r="U25" s="5" t="s">
        <v>2454</v>
      </c>
    </row>
    <row r="26" ht="15.75" customHeight="1">
      <c r="A26" s="5" t="s">
        <v>2461</v>
      </c>
      <c r="B26" s="5" t="s">
        <v>2456</v>
      </c>
      <c r="C26" s="5" t="s">
        <v>1856</v>
      </c>
      <c r="D26" s="5" t="s">
        <v>573</v>
      </c>
      <c r="E26" s="5" t="s">
        <v>94</v>
      </c>
      <c r="F26" s="5">
        <v>1.0</v>
      </c>
      <c r="G26" s="5">
        <v>2.0</v>
      </c>
      <c r="H26" s="5">
        <v>1.0</v>
      </c>
      <c r="I26" s="5" t="s">
        <v>2132</v>
      </c>
      <c r="J26" s="5">
        <v>100.0</v>
      </c>
      <c r="K26" s="5">
        <v>0.0</v>
      </c>
      <c r="L26" s="5" t="s">
        <v>2462</v>
      </c>
      <c r="M26" s="5"/>
      <c r="N26" s="5"/>
      <c r="O26" s="5"/>
      <c r="P26" s="5"/>
      <c r="Q26" s="5" t="s">
        <v>2452</v>
      </c>
      <c r="R26" s="5" t="s">
        <v>101</v>
      </c>
      <c r="S26" s="5" t="s">
        <v>82</v>
      </c>
      <c r="T26" s="5" t="s">
        <v>2463</v>
      </c>
      <c r="U26" s="5" t="s">
        <v>2454</v>
      </c>
    </row>
    <row r="27" ht="15.75" customHeight="1">
      <c r="A27" s="5" t="s">
        <v>2464</v>
      </c>
      <c r="B27" s="5" t="s">
        <v>2456</v>
      </c>
      <c r="C27" s="5" t="s">
        <v>2465</v>
      </c>
      <c r="D27" s="5" t="s">
        <v>2175</v>
      </c>
      <c r="E27" s="5" t="s">
        <v>98</v>
      </c>
      <c r="F27" s="5">
        <v>1.0</v>
      </c>
      <c r="G27" s="5">
        <v>2.0</v>
      </c>
      <c r="H27" s="5">
        <v>1.0</v>
      </c>
      <c r="I27" s="5" t="s">
        <v>2132</v>
      </c>
      <c r="J27" s="5">
        <v>100.0</v>
      </c>
      <c r="K27" s="5">
        <v>0.0</v>
      </c>
      <c r="L27" s="5" t="s">
        <v>2451</v>
      </c>
      <c r="M27" s="5"/>
      <c r="N27" s="5"/>
      <c r="O27" s="5"/>
      <c r="P27" s="5"/>
      <c r="Q27" s="5" t="s">
        <v>2452</v>
      </c>
      <c r="R27" s="5" t="s">
        <v>82</v>
      </c>
      <c r="S27" s="5" t="s">
        <v>111</v>
      </c>
      <c r="T27" s="5" t="s">
        <v>2466</v>
      </c>
      <c r="U27" s="5" t="s">
        <v>2454</v>
      </c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1">
    <mergeCell ref="A1:U1"/>
  </mergeCell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32" width="8.71"/>
  </cols>
  <sheetData>
    <row r="1">
      <c r="A1" t="s">
        <v>2467</v>
      </c>
    </row>
    <row r="4">
      <c r="A4" t="s">
        <v>2468</v>
      </c>
      <c r="B4" t="s">
        <v>2469</v>
      </c>
      <c r="C4" t="s">
        <v>133</v>
      </c>
      <c r="D4" t="s">
        <v>1970</v>
      </c>
      <c r="E4" t="s">
        <v>1848</v>
      </c>
      <c r="F4" t="s">
        <v>1814</v>
      </c>
      <c r="G4" t="s">
        <v>2333</v>
      </c>
      <c r="H4" t="s">
        <v>565</v>
      </c>
      <c r="I4" t="s">
        <v>2470</v>
      </c>
      <c r="J4" t="s">
        <v>2471</v>
      </c>
      <c r="K4" t="s">
        <v>2336</v>
      </c>
      <c r="L4" t="s">
        <v>2337</v>
      </c>
      <c r="M4" t="s">
        <v>2338</v>
      </c>
      <c r="N4" t="s">
        <v>2339</v>
      </c>
      <c r="O4" t="s">
        <v>2340</v>
      </c>
      <c r="P4" t="s">
        <v>2341</v>
      </c>
      <c r="Q4" t="s">
        <v>2342</v>
      </c>
      <c r="R4" t="s">
        <v>2343</v>
      </c>
      <c r="S4" t="s">
        <v>2344</v>
      </c>
      <c r="T4" t="s">
        <v>2345</v>
      </c>
      <c r="U4" t="s">
        <v>82</v>
      </c>
      <c r="V4" t="s">
        <v>89</v>
      </c>
      <c r="W4" t="s">
        <v>94</v>
      </c>
      <c r="X4" t="s">
        <v>106</v>
      </c>
      <c r="Y4" t="s">
        <v>98</v>
      </c>
      <c r="Z4" t="s">
        <v>111</v>
      </c>
      <c r="AA4" t="s">
        <v>101</v>
      </c>
      <c r="AB4" t="s">
        <v>919</v>
      </c>
      <c r="AC4" t="s">
        <v>2472</v>
      </c>
      <c r="AD4" t="s">
        <v>2473</v>
      </c>
      <c r="AE4" t="s">
        <v>2347</v>
      </c>
      <c r="AF4" t="s">
        <v>6</v>
      </c>
    </row>
    <row r="5">
      <c r="A5" t="s">
        <v>2474</v>
      </c>
      <c r="B5" t="s">
        <v>1855</v>
      </c>
      <c r="C5" t="s">
        <v>569</v>
      </c>
      <c r="D5" t="s">
        <v>1855</v>
      </c>
      <c r="E5" t="s">
        <v>2349</v>
      </c>
      <c r="F5" t="s">
        <v>1856</v>
      </c>
      <c r="G5" t="s">
        <v>573</v>
      </c>
      <c r="H5" t="s">
        <v>94</v>
      </c>
      <c r="I5">
        <v>2.0</v>
      </c>
      <c r="J5">
        <v>3.0</v>
      </c>
      <c r="K5">
        <v>2.0</v>
      </c>
      <c r="L5" t="s">
        <v>2350</v>
      </c>
      <c r="M5">
        <v>110.0</v>
      </c>
      <c r="N5">
        <v>0.0</v>
      </c>
      <c r="O5" t="s">
        <v>2351</v>
      </c>
      <c r="P5">
        <v>3.0</v>
      </c>
      <c r="Q5" t="s">
        <v>2352</v>
      </c>
      <c r="R5">
        <v>120.0</v>
      </c>
      <c r="S5">
        <v>1.0</v>
      </c>
      <c r="T5" t="s">
        <v>2353</v>
      </c>
      <c r="U5">
        <v>0.0</v>
      </c>
      <c r="V5">
        <v>0.0</v>
      </c>
      <c r="W5">
        <v>1.0</v>
      </c>
      <c r="X5">
        <v>0.0</v>
      </c>
      <c r="Y5">
        <v>0.0</v>
      </c>
      <c r="Z5">
        <v>0.0</v>
      </c>
      <c r="AA5">
        <v>0.0</v>
      </c>
      <c r="AB5">
        <v>0.0</v>
      </c>
      <c r="AC5">
        <v>0.0</v>
      </c>
      <c r="AD5">
        <v>0.0</v>
      </c>
      <c r="AE5" t="s">
        <v>2354</v>
      </c>
      <c r="AF5" t="s">
        <v>2475</v>
      </c>
    </row>
    <row r="6">
      <c r="A6" t="s">
        <v>2476</v>
      </c>
      <c r="B6" t="s">
        <v>2477</v>
      </c>
      <c r="C6" t="s">
        <v>572</v>
      </c>
      <c r="D6" t="s">
        <v>1855</v>
      </c>
      <c r="E6" t="s">
        <v>2349</v>
      </c>
      <c r="F6" t="s">
        <v>1856</v>
      </c>
      <c r="G6" t="s">
        <v>573</v>
      </c>
      <c r="H6" t="s">
        <v>94</v>
      </c>
      <c r="I6">
        <v>3.0</v>
      </c>
      <c r="J6">
        <v>4.0</v>
      </c>
      <c r="K6">
        <v>2.0</v>
      </c>
      <c r="L6" t="s">
        <v>2350</v>
      </c>
      <c r="M6">
        <v>110.0</v>
      </c>
      <c r="N6">
        <v>0.0</v>
      </c>
      <c r="O6" t="s">
        <v>2351</v>
      </c>
      <c r="P6">
        <v>3.0</v>
      </c>
      <c r="Q6" t="s">
        <v>2352</v>
      </c>
      <c r="R6">
        <v>120.0</v>
      </c>
      <c r="S6">
        <v>1.0</v>
      </c>
      <c r="T6" t="s">
        <v>2353</v>
      </c>
      <c r="U6">
        <v>0.0</v>
      </c>
      <c r="V6">
        <v>0.0</v>
      </c>
      <c r="W6">
        <v>1.0</v>
      </c>
      <c r="X6">
        <v>0.0</v>
      </c>
      <c r="Y6">
        <v>0.0</v>
      </c>
      <c r="Z6">
        <v>0.0</v>
      </c>
      <c r="AA6">
        <v>1.0</v>
      </c>
      <c r="AB6">
        <v>0.0</v>
      </c>
      <c r="AC6">
        <v>0.0</v>
      </c>
      <c r="AD6">
        <v>0.0</v>
      </c>
      <c r="AE6" t="s">
        <v>2354</v>
      </c>
      <c r="AF6" t="s">
        <v>2475</v>
      </c>
    </row>
    <row r="7">
      <c r="A7" t="s">
        <v>2478</v>
      </c>
      <c r="B7" t="s">
        <v>2479</v>
      </c>
      <c r="C7" t="s">
        <v>575</v>
      </c>
      <c r="D7" t="s">
        <v>1855</v>
      </c>
      <c r="E7" t="s">
        <v>2349</v>
      </c>
      <c r="F7" t="s">
        <v>1856</v>
      </c>
      <c r="G7" t="s">
        <v>573</v>
      </c>
      <c r="H7" t="s">
        <v>94</v>
      </c>
      <c r="I7">
        <v>3.0</v>
      </c>
      <c r="J7">
        <v>5.0</v>
      </c>
      <c r="K7">
        <v>2.0</v>
      </c>
      <c r="L7" t="s">
        <v>2350</v>
      </c>
      <c r="M7">
        <v>110.0</v>
      </c>
      <c r="N7">
        <v>0.0</v>
      </c>
      <c r="O7" t="s">
        <v>2351</v>
      </c>
      <c r="P7">
        <v>3.0</v>
      </c>
      <c r="Q7" t="s">
        <v>2352</v>
      </c>
      <c r="R7">
        <v>120.0</v>
      </c>
      <c r="S7">
        <v>1.0</v>
      </c>
      <c r="T7" t="s">
        <v>2353</v>
      </c>
      <c r="U7">
        <v>0.0</v>
      </c>
      <c r="V7">
        <v>0.0</v>
      </c>
      <c r="W7">
        <v>2.0</v>
      </c>
      <c r="X7">
        <v>0.0</v>
      </c>
      <c r="Y7">
        <v>0.0</v>
      </c>
      <c r="Z7">
        <v>0.0</v>
      </c>
      <c r="AA7">
        <v>1.0</v>
      </c>
      <c r="AB7">
        <v>1.0</v>
      </c>
      <c r="AC7">
        <v>0.0</v>
      </c>
      <c r="AD7">
        <v>0.0</v>
      </c>
      <c r="AE7" t="s">
        <v>2354</v>
      </c>
      <c r="AF7" t="s">
        <v>2475</v>
      </c>
    </row>
    <row r="8">
      <c r="A8" t="s">
        <v>2480</v>
      </c>
      <c r="B8" t="s">
        <v>2481</v>
      </c>
      <c r="C8" t="s">
        <v>578</v>
      </c>
      <c r="D8" t="s">
        <v>1855</v>
      </c>
      <c r="E8" t="s">
        <v>2349</v>
      </c>
      <c r="F8" t="s">
        <v>1856</v>
      </c>
      <c r="G8" t="s">
        <v>573</v>
      </c>
      <c r="H8" t="s">
        <v>94</v>
      </c>
      <c r="I8">
        <v>4.0</v>
      </c>
      <c r="J8">
        <v>6.0</v>
      </c>
      <c r="K8">
        <v>2.0</v>
      </c>
      <c r="L8" t="s">
        <v>2350</v>
      </c>
      <c r="M8">
        <v>110.0</v>
      </c>
      <c r="N8">
        <v>0.0</v>
      </c>
      <c r="O8" t="s">
        <v>2351</v>
      </c>
      <c r="P8">
        <v>3.0</v>
      </c>
      <c r="Q8" t="s">
        <v>2352</v>
      </c>
      <c r="R8">
        <v>120.0</v>
      </c>
      <c r="S8">
        <v>1.0</v>
      </c>
      <c r="T8" t="s">
        <v>2353</v>
      </c>
      <c r="U8">
        <v>0.0</v>
      </c>
      <c r="V8">
        <v>0.0</v>
      </c>
      <c r="W8">
        <v>3.0</v>
      </c>
      <c r="X8">
        <v>1.0</v>
      </c>
      <c r="Y8">
        <v>0.0</v>
      </c>
      <c r="Z8">
        <v>0.0</v>
      </c>
      <c r="AA8">
        <v>1.0</v>
      </c>
      <c r="AB8">
        <v>2.0</v>
      </c>
      <c r="AC8">
        <v>0.0</v>
      </c>
      <c r="AD8">
        <v>0.0</v>
      </c>
      <c r="AE8" t="s">
        <v>2354</v>
      </c>
      <c r="AF8" t="s">
        <v>2475</v>
      </c>
    </row>
    <row r="9">
      <c r="A9" t="s">
        <v>2482</v>
      </c>
      <c r="B9" t="s">
        <v>2483</v>
      </c>
      <c r="C9" t="s">
        <v>581</v>
      </c>
      <c r="D9" t="s">
        <v>1855</v>
      </c>
      <c r="E9" t="s">
        <v>2349</v>
      </c>
      <c r="F9" t="s">
        <v>1856</v>
      </c>
      <c r="G9" t="s">
        <v>573</v>
      </c>
      <c r="H9" t="s">
        <v>94</v>
      </c>
      <c r="I9">
        <v>5.0</v>
      </c>
      <c r="J9">
        <v>7.0</v>
      </c>
      <c r="K9">
        <v>2.0</v>
      </c>
      <c r="L9" t="s">
        <v>2350</v>
      </c>
      <c r="M9">
        <v>110.0</v>
      </c>
      <c r="N9">
        <v>0.0</v>
      </c>
      <c r="O9" t="s">
        <v>2351</v>
      </c>
      <c r="P9">
        <v>3.0</v>
      </c>
      <c r="Q9" t="s">
        <v>2352</v>
      </c>
      <c r="R9">
        <v>120.0</v>
      </c>
      <c r="S9">
        <v>1.0</v>
      </c>
      <c r="T9" t="s">
        <v>2353</v>
      </c>
      <c r="U9">
        <v>0.0</v>
      </c>
      <c r="V9">
        <v>0.0</v>
      </c>
      <c r="W9">
        <v>4.0</v>
      </c>
      <c r="X9">
        <v>1.0</v>
      </c>
      <c r="Y9">
        <v>0.0</v>
      </c>
      <c r="Z9">
        <v>0.0</v>
      </c>
      <c r="AA9">
        <v>2.0</v>
      </c>
      <c r="AB9">
        <v>3.0</v>
      </c>
      <c r="AC9">
        <v>0.0</v>
      </c>
      <c r="AD9">
        <v>0.0</v>
      </c>
      <c r="AE9" t="s">
        <v>2354</v>
      </c>
      <c r="AF9" t="s">
        <v>2475</v>
      </c>
    </row>
    <row r="10">
      <c r="A10" t="s">
        <v>2484</v>
      </c>
      <c r="B10" t="s">
        <v>2485</v>
      </c>
      <c r="C10" t="s">
        <v>584</v>
      </c>
      <c r="D10" t="s">
        <v>1855</v>
      </c>
      <c r="E10" t="s">
        <v>2349</v>
      </c>
      <c r="F10" t="s">
        <v>1856</v>
      </c>
      <c r="G10" t="s">
        <v>573</v>
      </c>
      <c r="H10" t="s">
        <v>94</v>
      </c>
      <c r="I10">
        <v>6.0</v>
      </c>
      <c r="J10">
        <v>8.0</v>
      </c>
      <c r="K10">
        <v>2.0</v>
      </c>
      <c r="L10" t="s">
        <v>2350</v>
      </c>
      <c r="M10">
        <v>110.0</v>
      </c>
      <c r="N10">
        <v>0.0</v>
      </c>
      <c r="O10" t="s">
        <v>2351</v>
      </c>
      <c r="P10">
        <v>3.0</v>
      </c>
      <c r="Q10" t="s">
        <v>2352</v>
      </c>
      <c r="R10">
        <v>120.0</v>
      </c>
      <c r="S10">
        <v>1.0</v>
      </c>
      <c r="T10" t="s">
        <v>2353</v>
      </c>
      <c r="U10">
        <v>0.0</v>
      </c>
      <c r="V10">
        <v>0.0</v>
      </c>
      <c r="W10">
        <v>5.0</v>
      </c>
      <c r="X10">
        <v>2.0</v>
      </c>
      <c r="Y10">
        <v>0.0</v>
      </c>
      <c r="Z10">
        <v>0.0</v>
      </c>
      <c r="AA10">
        <v>2.0</v>
      </c>
      <c r="AB10">
        <v>4.0</v>
      </c>
      <c r="AC10">
        <v>0.0</v>
      </c>
      <c r="AD10">
        <v>0.0</v>
      </c>
      <c r="AE10" t="s">
        <v>2354</v>
      </c>
      <c r="AF10" t="s">
        <v>2475</v>
      </c>
    </row>
    <row r="11">
      <c r="A11" t="s">
        <v>2486</v>
      </c>
      <c r="B11" t="s">
        <v>1972</v>
      </c>
      <c r="C11" t="s">
        <v>569</v>
      </c>
      <c r="D11" t="s">
        <v>1972</v>
      </c>
      <c r="E11" t="s">
        <v>2349</v>
      </c>
      <c r="F11" t="s">
        <v>2356</v>
      </c>
      <c r="G11" t="s">
        <v>573</v>
      </c>
      <c r="H11" t="s">
        <v>94</v>
      </c>
      <c r="I11">
        <v>3.0</v>
      </c>
      <c r="J11">
        <v>4.0</v>
      </c>
      <c r="K11">
        <v>2.0</v>
      </c>
      <c r="L11" t="s">
        <v>2357</v>
      </c>
      <c r="M11">
        <v>110.0</v>
      </c>
      <c r="N11">
        <v>0.0</v>
      </c>
      <c r="O11" t="s">
        <v>2358</v>
      </c>
      <c r="P11">
        <v>3.0</v>
      </c>
      <c r="Q11" t="s">
        <v>2359</v>
      </c>
      <c r="R11">
        <v>120.0</v>
      </c>
      <c r="S11">
        <v>1.0</v>
      </c>
      <c r="T11" t="s">
        <v>2360</v>
      </c>
      <c r="U11">
        <v>0.0</v>
      </c>
      <c r="V11">
        <v>0.0</v>
      </c>
      <c r="W11">
        <v>1.0</v>
      </c>
      <c r="X11">
        <v>0.0</v>
      </c>
      <c r="Y11">
        <v>0.0</v>
      </c>
      <c r="Z11">
        <v>0.0</v>
      </c>
      <c r="AA11">
        <v>0.0</v>
      </c>
      <c r="AB11">
        <v>0.0</v>
      </c>
      <c r="AC11">
        <v>0.0</v>
      </c>
      <c r="AD11">
        <v>0.0</v>
      </c>
      <c r="AE11" t="s">
        <v>2361</v>
      </c>
      <c r="AF11" t="s">
        <v>2475</v>
      </c>
    </row>
    <row r="12">
      <c r="A12" t="s">
        <v>2487</v>
      </c>
      <c r="B12" t="s">
        <v>2488</v>
      </c>
      <c r="C12" t="s">
        <v>572</v>
      </c>
      <c r="D12" t="s">
        <v>1972</v>
      </c>
      <c r="E12" t="s">
        <v>2349</v>
      </c>
      <c r="F12" t="s">
        <v>2356</v>
      </c>
      <c r="G12" t="s">
        <v>573</v>
      </c>
      <c r="H12" t="s">
        <v>94</v>
      </c>
      <c r="I12">
        <v>4.0</v>
      </c>
      <c r="J12">
        <v>5.0</v>
      </c>
      <c r="K12">
        <v>2.0</v>
      </c>
      <c r="L12" t="s">
        <v>2357</v>
      </c>
      <c r="M12">
        <v>110.0</v>
      </c>
      <c r="N12">
        <v>0.0</v>
      </c>
      <c r="O12" t="s">
        <v>2358</v>
      </c>
      <c r="P12">
        <v>3.0</v>
      </c>
      <c r="Q12" t="s">
        <v>2359</v>
      </c>
      <c r="R12">
        <v>120.0</v>
      </c>
      <c r="S12">
        <v>1.0</v>
      </c>
      <c r="T12" t="s">
        <v>2360</v>
      </c>
      <c r="U12">
        <v>0.0</v>
      </c>
      <c r="V12">
        <v>0.0</v>
      </c>
      <c r="W12">
        <v>1.0</v>
      </c>
      <c r="X12">
        <v>0.0</v>
      </c>
      <c r="Y12">
        <v>0.0</v>
      </c>
      <c r="Z12">
        <v>0.0</v>
      </c>
      <c r="AA12">
        <v>1.0</v>
      </c>
      <c r="AB12">
        <v>0.0</v>
      </c>
      <c r="AC12">
        <v>0.0</v>
      </c>
      <c r="AD12">
        <v>0.0</v>
      </c>
      <c r="AE12" t="s">
        <v>2361</v>
      </c>
      <c r="AF12" t="s">
        <v>2475</v>
      </c>
    </row>
    <row r="13">
      <c r="A13" t="s">
        <v>2489</v>
      </c>
      <c r="B13" t="s">
        <v>2490</v>
      </c>
      <c r="C13" t="s">
        <v>575</v>
      </c>
      <c r="D13" t="s">
        <v>1972</v>
      </c>
      <c r="E13" t="s">
        <v>2349</v>
      </c>
      <c r="F13" t="s">
        <v>2356</v>
      </c>
      <c r="G13" t="s">
        <v>573</v>
      </c>
      <c r="H13" t="s">
        <v>94</v>
      </c>
      <c r="I13">
        <v>5.0</v>
      </c>
      <c r="J13">
        <v>6.0</v>
      </c>
      <c r="K13">
        <v>2.0</v>
      </c>
      <c r="L13" t="s">
        <v>2357</v>
      </c>
      <c r="M13">
        <v>110.0</v>
      </c>
      <c r="N13">
        <v>0.0</v>
      </c>
      <c r="O13" t="s">
        <v>2358</v>
      </c>
      <c r="P13">
        <v>3.0</v>
      </c>
      <c r="Q13" t="s">
        <v>2359</v>
      </c>
      <c r="R13">
        <v>120.0</v>
      </c>
      <c r="S13">
        <v>1.0</v>
      </c>
      <c r="T13" t="s">
        <v>2360</v>
      </c>
      <c r="U13">
        <v>0.0</v>
      </c>
      <c r="V13">
        <v>0.0</v>
      </c>
      <c r="W13">
        <v>2.0</v>
      </c>
      <c r="X13">
        <v>0.0</v>
      </c>
      <c r="Y13">
        <v>0.0</v>
      </c>
      <c r="Z13">
        <v>0.0</v>
      </c>
      <c r="AA13">
        <v>1.0</v>
      </c>
      <c r="AB13">
        <v>1.0</v>
      </c>
      <c r="AC13">
        <v>0.0</v>
      </c>
      <c r="AD13">
        <v>0.0</v>
      </c>
      <c r="AE13" t="s">
        <v>2361</v>
      </c>
      <c r="AF13" t="s">
        <v>2475</v>
      </c>
    </row>
    <row r="14">
      <c r="A14" t="s">
        <v>2491</v>
      </c>
      <c r="B14" t="s">
        <v>2492</v>
      </c>
      <c r="C14" t="s">
        <v>578</v>
      </c>
      <c r="D14" t="s">
        <v>1972</v>
      </c>
      <c r="E14" t="s">
        <v>2349</v>
      </c>
      <c r="F14" t="s">
        <v>2356</v>
      </c>
      <c r="G14" t="s">
        <v>573</v>
      </c>
      <c r="H14" t="s">
        <v>94</v>
      </c>
      <c r="I14">
        <v>6.0</v>
      </c>
      <c r="J14">
        <v>8.0</v>
      </c>
      <c r="K14">
        <v>2.0</v>
      </c>
      <c r="L14" t="s">
        <v>2357</v>
      </c>
      <c r="M14">
        <v>110.0</v>
      </c>
      <c r="N14">
        <v>0.0</v>
      </c>
      <c r="O14" t="s">
        <v>2358</v>
      </c>
      <c r="P14">
        <v>3.0</v>
      </c>
      <c r="Q14" t="s">
        <v>2359</v>
      </c>
      <c r="R14">
        <v>120.0</v>
      </c>
      <c r="S14">
        <v>1.0</v>
      </c>
      <c r="T14" t="s">
        <v>2360</v>
      </c>
      <c r="U14">
        <v>1.0</v>
      </c>
      <c r="V14">
        <v>0.0</v>
      </c>
      <c r="W14">
        <v>3.0</v>
      </c>
      <c r="X14">
        <v>0.0</v>
      </c>
      <c r="Y14">
        <v>0.0</v>
      </c>
      <c r="Z14">
        <v>0.0</v>
      </c>
      <c r="AA14">
        <v>1.0</v>
      </c>
      <c r="AB14">
        <v>2.0</v>
      </c>
      <c r="AC14">
        <v>0.0</v>
      </c>
      <c r="AD14">
        <v>0.0</v>
      </c>
      <c r="AE14" t="s">
        <v>2361</v>
      </c>
      <c r="AF14" t="s">
        <v>2475</v>
      </c>
    </row>
    <row r="15">
      <c r="A15" t="s">
        <v>2493</v>
      </c>
      <c r="B15" t="s">
        <v>2494</v>
      </c>
      <c r="C15" t="s">
        <v>581</v>
      </c>
      <c r="D15" t="s">
        <v>1972</v>
      </c>
      <c r="E15" t="s">
        <v>2349</v>
      </c>
      <c r="F15" t="s">
        <v>2356</v>
      </c>
      <c r="G15" t="s">
        <v>573</v>
      </c>
      <c r="H15" t="s">
        <v>94</v>
      </c>
      <c r="I15">
        <v>7.0</v>
      </c>
      <c r="J15">
        <v>9.0</v>
      </c>
      <c r="K15">
        <v>2.0</v>
      </c>
      <c r="L15" t="s">
        <v>2357</v>
      </c>
      <c r="M15">
        <v>110.0</v>
      </c>
      <c r="N15">
        <v>0.0</v>
      </c>
      <c r="O15" t="s">
        <v>2358</v>
      </c>
      <c r="P15">
        <v>3.0</v>
      </c>
      <c r="Q15" t="s">
        <v>2359</v>
      </c>
      <c r="R15">
        <v>120.0</v>
      </c>
      <c r="S15">
        <v>1.0</v>
      </c>
      <c r="T15" t="s">
        <v>2360</v>
      </c>
      <c r="U15">
        <v>1.0</v>
      </c>
      <c r="V15">
        <v>0.0</v>
      </c>
      <c r="W15">
        <v>4.0</v>
      </c>
      <c r="X15">
        <v>0.0</v>
      </c>
      <c r="Y15">
        <v>0.0</v>
      </c>
      <c r="Z15">
        <v>0.0</v>
      </c>
      <c r="AA15">
        <v>2.0</v>
      </c>
      <c r="AB15">
        <v>3.0</v>
      </c>
      <c r="AC15">
        <v>0.0</v>
      </c>
      <c r="AD15">
        <v>0.0</v>
      </c>
      <c r="AE15" t="s">
        <v>2361</v>
      </c>
      <c r="AF15" t="s">
        <v>2475</v>
      </c>
    </row>
    <row r="16">
      <c r="A16" t="s">
        <v>2495</v>
      </c>
      <c r="B16" t="s">
        <v>2496</v>
      </c>
      <c r="C16" t="s">
        <v>584</v>
      </c>
      <c r="D16" t="s">
        <v>1972</v>
      </c>
      <c r="E16" t="s">
        <v>2349</v>
      </c>
      <c r="F16" t="s">
        <v>2356</v>
      </c>
      <c r="G16" t="s">
        <v>573</v>
      </c>
      <c r="H16" t="s">
        <v>94</v>
      </c>
      <c r="I16">
        <v>8.0</v>
      </c>
      <c r="J16">
        <v>11.0</v>
      </c>
      <c r="K16">
        <v>2.0</v>
      </c>
      <c r="L16" t="s">
        <v>2357</v>
      </c>
      <c r="M16">
        <v>110.0</v>
      </c>
      <c r="N16">
        <v>0.0</v>
      </c>
      <c r="O16" t="s">
        <v>2358</v>
      </c>
      <c r="P16">
        <v>3.0</v>
      </c>
      <c r="Q16" t="s">
        <v>2359</v>
      </c>
      <c r="R16">
        <v>120.0</v>
      </c>
      <c r="S16">
        <v>1.0</v>
      </c>
      <c r="T16" t="s">
        <v>2360</v>
      </c>
      <c r="U16">
        <v>2.0</v>
      </c>
      <c r="V16">
        <v>0.0</v>
      </c>
      <c r="W16">
        <v>5.0</v>
      </c>
      <c r="X16">
        <v>0.0</v>
      </c>
      <c r="Y16">
        <v>0.0</v>
      </c>
      <c r="Z16">
        <v>0.0</v>
      </c>
      <c r="AA16">
        <v>2.0</v>
      </c>
      <c r="AB16">
        <v>4.0</v>
      </c>
      <c r="AC16">
        <v>0.0</v>
      </c>
      <c r="AD16">
        <v>0.0</v>
      </c>
      <c r="AE16" t="s">
        <v>2361</v>
      </c>
      <c r="AF16" t="s">
        <v>2475</v>
      </c>
    </row>
    <row r="17">
      <c r="A17" t="s">
        <v>2497</v>
      </c>
      <c r="B17" t="s">
        <v>1985</v>
      </c>
      <c r="C17" t="s">
        <v>569</v>
      </c>
      <c r="D17" t="s">
        <v>1985</v>
      </c>
      <c r="E17" t="s">
        <v>2349</v>
      </c>
      <c r="F17" t="s">
        <v>2356</v>
      </c>
      <c r="G17" t="s">
        <v>573</v>
      </c>
      <c r="H17" t="s">
        <v>94</v>
      </c>
      <c r="I17">
        <v>3.0</v>
      </c>
      <c r="J17">
        <v>5.0</v>
      </c>
      <c r="K17">
        <v>2.0</v>
      </c>
      <c r="L17" t="s">
        <v>2362</v>
      </c>
      <c r="M17">
        <v>100.0</v>
      </c>
      <c r="N17">
        <v>0.0</v>
      </c>
      <c r="O17" t="s">
        <v>2363</v>
      </c>
      <c r="P17">
        <v>3.0</v>
      </c>
      <c r="Q17" t="s">
        <v>2364</v>
      </c>
      <c r="R17">
        <v>115.0</v>
      </c>
      <c r="S17">
        <v>1.0</v>
      </c>
      <c r="T17" t="s">
        <v>2365</v>
      </c>
      <c r="U17">
        <v>0.0</v>
      </c>
      <c r="V17">
        <v>0.0</v>
      </c>
      <c r="W17">
        <v>1.0</v>
      </c>
      <c r="X17">
        <v>0.0</v>
      </c>
      <c r="Y17">
        <v>0.0</v>
      </c>
      <c r="Z17">
        <v>0.0</v>
      </c>
      <c r="AA17">
        <v>0.0</v>
      </c>
      <c r="AB17">
        <v>0.0</v>
      </c>
      <c r="AC17">
        <v>0.0</v>
      </c>
      <c r="AD17">
        <v>0.0</v>
      </c>
      <c r="AE17" t="s">
        <v>2366</v>
      </c>
      <c r="AF17" t="s">
        <v>2475</v>
      </c>
    </row>
    <row r="18">
      <c r="A18" t="s">
        <v>2498</v>
      </c>
      <c r="B18" t="s">
        <v>2499</v>
      </c>
      <c r="C18" t="s">
        <v>572</v>
      </c>
      <c r="D18" t="s">
        <v>1985</v>
      </c>
      <c r="E18" t="s">
        <v>2349</v>
      </c>
      <c r="F18" t="s">
        <v>2356</v>
      </c>
      <c r="G18" t="s">
        <v>573</v>
      </c>
      <c r="H18" t="s">
        <v>94</v>
      </c>
      <c r="I18">
        <v>4.0</v>
      </c>
      <c r="J18">
        <v>6.0</v>
      </c>
      <c r="K18">
        <v>2.0</v>
      </c>
      <c r="L18" t="s">
        <v>2362</v>
      </c>
      <c r="M18">
        <v>100.0</v>
      </c>
      <c r="N18">
        <v>0.0</v>
      </c>
      <c r="O18" t="s">
        <v>2363</v>
      </c>
      <c r="P18">
        <v>3.0</v>
      </c>
      <c r="Q18" t="s">
        <v>2364</v>
      </c>
      <c r="R18">
        <v>115.0</v>
      </c>
      <c r="S18">
        <v>1.0</v>
      </c>
      <c r="T18" t="s">
        <v>2365</v>
      </c>
      <c r="U18">
        <v>0.0</v>
      </c>
      <c r="V18">
        <v>0.0</v>
      </c>
      <c r="W18">
        <v>1.0</v>
      </c>
      <c r="X18">
        <v>0.0</v>
      </c>
      <c r="Y18">
        <v>0.0</v>
      </c>
      <c r="Z18">
        <v>0.0</v>
      </c>
      <c r="AA18">
        <v>1.0</v>
      </c>
      <c r="AB18">
        <v>0.0</v>
      </c>
      <c r="AC18">
        <v>0.0</v>
      </c>
      <c r="AD18">
        <v>0.0</v>
      </c>
      <c r="AE18" t="s">
        <v>2366</v>
      </c>
      <c r="AF18" t="s">
        <v>2475</v>
      </c>
    </row>
    <row r="19">
      <c r="A19" t="s">
        <v>2500</v>
      </c>
      <c r="B19" t="s">
        <v>2501</v>
      </c>
      <c r="C19" t="s">
        <v>575</v>
      </c>
      <c r="D19" t="s">
        <v>1985</v>
      </c>
      <c r="E19" t="s">
        <v>2349</v>
      </c>
      <c r="F19" t="s">
        <v>2356</v>
      </c>
      <c r="G19" t="s">
        <v>573</v>
      </c>
      <c r="H19" t="s">
        <v>94</v>
      </c>
      <c r="I19">
        <v>5.0</v>
      </c>
      <c r="J19">
        <v>8.0</v>
      </c>
      <c r="K19">
        <v>2.0</v>
      </c>
      <c r="L19" t="s">
        <v>2362</v>
      </c>
      <c r="M19">
        <v>100.0</v>
      </c>
      <c r="N19">
        <v>0.0</v>
      </c>
      <c r="O19" t="s">
        <v>2363</v>
      </c>
      <c r="P19">
        <v>3.0</v>
      </c>
      <c r="Q19" t="s">
        <v>2364</v>
      </c>
      <c r="R19">
        <v>115.0</v>
      </c>
      <c r="S19">
        <v>1.0</v>
      </c>
      <c r="T19" t="s">
        <v>2365</v>
      </c>
      <c r="U19">
        <v>0.0</v>
      </c>
      <c r="V19">
        <v>0.0</v>
      </c>
      <c r="W19">
        <v>2.0</v>
      </c>
      <c r="X19">
        <v>0.0</v>
      </c>
      <c r="Y19">
        <v>0.0</v>
      </c>
      <c r="Z19">
        <v>0.0</v>
      </c>
      <c r="AA19">
        <v>1.0</v>
      </c>
      <c r="AB19">
        <v>1.0</v>
      </c>
      <c r="AC19">
        <v>0.0</v>
      </c>
      <c r="AD19">
        <v>0.0</v>
      </c>
      <c r="AE19" t="s">
        <v>2366</v>
      </c>
      <c r="AF19" t="s">
        <v>2475</v>
      </c>
    </row>
    <row r="20">
      <c r="A20" t="s">
        <v>2502</v>
      </c>
      <c r="B20" t="s">
        <v>2503</v>
      </c>
      <c r="C20" t="s">
        <v>578</v>
      </c>
      <c r="D20" t="s">
        <v>1985</v>
      </c>
      <c r="E20" t="s">
        <v>2349</v>
      </c>
      <c r="F20" t="s">
        <v>2356</v>
      </c>
      <c r="G20" t="s">
        <v>573</v>
      </c>
      <c r="H20" t="s">
        <v>94</v>
      </c>
      <c r="I20">
        <v>6.0</v>
      </c>
      <c r="J20">
        <v>10.0</v>
      </c>
      <c r="K20">
        <v>2.0</v>
      </c>
      <c r="L20" t="s">
        <v>2362</v>
      </c>
      <c r="M20">
        <v>100.0</v>
      </c>
      <c r="N20">
        <v>0.0</v>
      </c>
      <c r="O20" t="s">
        <v>2363</v>
      </c>
      <c r="P20">
        <v>3.0</v>
      </c>
      <c r="Q20" t="s">
        <v>2364</v>
      </c>
      <c r="R20">
        <v>115.0</v>
      </c>
      <c r="S20">
        <v>1.0</v>
      </c>
      <c r="T20" t="s">
        <v>2365</v>
      </c>
      <c r="U20">
        <v>0.0</v>
      </c>
      <c r="V20">
        <v>0.0</v>
      </c>
      <c r="W20">
        <v>3.0</v>
      </c>
      <c r="X20">
        <v>1.0</v>
      </c>
      <c r="Y20">
        <v>0.0</v>
      </c>
      <c r="Z20">
        <v>0.0</v>
      </c>
      <c r="AA20">
        <v>1.0</v>
      </c>
      <c r="AB20">
        <v>2.0</v>
      </c>
      <c r="AC20">
        <v>0.0</v>
      </c>
      <c r="AD20">
        <v>0.0</v>
      </c>
      <c r="AE20" t="s">
        <v>2366</v>
      </c>
      <c r="AF20" t="s">
        <v>2475</v>
      </c>
    </row>
    <row r="21" ht="15.75" customHeight="1">
      <c r="A21" t="s">
        <v>2504</v>
      </c>
      <c r="B21" t="s">
        <v>2505</v>
      </c>
      <c r="C21" t="s">
        <v>581</v>
      </c>
      <c r="D21" t="s">
        <v>1985</v>
      </c>
      <c r="E21" t="s">
        <v>2349</v>
      </c>
      <c r="F21" t="s">
        <v>2356</v>
      </c>
      <c r="G21" t="s">
        <v>573</v>
      </c>
      <c r="H21" t="s">
        <v>94</v>
      </c>
      <c r="I21">
        <v>7.0</v>
      </c>
      <c r="J21">
        <v>12.0</v>
      </c>
      <c r="K21">
        <v>2.0</v>
      </c>
      <c r="L21" t="s">
        <v>2362</v>
      </c>
      <c r="M21">
        <v>100.0</v>
      </c>
      <c r="N21">
        <v>0.0</v>
      </c>
      <c r="O21" t="s">
        <v>2363</v>
      </c>
      <c r="P21">
        <v>3.0</v>
      </c>
      <c r="Q21" t="s">
        <v>2364</v>
      </c>
      <c r="R21">
        <v>115.0</v>
      </c>
      <c r="S21">
        <v>1.0</v>
      </c>
      <c r="T21" t="s">
        <v>2365</v>
      </c>
      <c r="U21">
        <v>0.0</v>
      </c>
      <c r="V21">
        <v>0.0</v>
      </c>
      <c r="W21">
        <v>4.0</v>
      </c>
      <c r="X21">
        <v>1.0</v>
      </c>
      <c r="Y21">
        <v>0.0</v>
      </c>
      <c r="Z21">
        <v>0.0</v>
      </c>
      <c r="AA21">
        <v>2.0</v>
      </c>
      <c r="AB21">
        <v>3.0</v>
      </c>
      <c r="AC21">
        <v>0.0</v>
      </c>
      <c r="AD21">
        <v>0.0</v>
      </c>
      <c r="AE21" t="s">
        <v>2366</v>
      </c>
      <c r="AF21" t="s">
        <v>2475</v>
      </c>
    </row>
    <row r="22" ht="15.75" customHeight="1">
      <c r="A22" t="s">
        <v>2506</v>
      </c>
      <c r="B22" t="s">
        <v>2507</v>
      </c>
      <c r="C22" t="s">
        <v>584</v>
      </c>
      <c r="D22" t="s">
        <v>1985</v>
      </c>
      <c r="E22" t="s">
        <v>2349</v>
      </c>
      <c r="F22" t="s">
        <v>2356</v>
      </c>
      <c r="G22" t="s">
        <v>573</v>
      </c>
      <c r="H22" t="s">
        <v>94</v>
      </c>
      <c r="I22">
        <v>8.0</v>
      </c>
      <c r="J22">
        <v>14.0</v>
      </c>
      <c r="K22">
        <v>2.0</v>
      </c>
      <c r="L22" t="s">
        <v>2362</v>
      </c>
      <c r="M22">
        <v>100.0</v>
      </c>
      <c r="N22">
        <v>0.0</v>
      </c>
      <c r="O22" t="s">
        <v>2363</v>
      </c>
      <c r="P22">
        <v>3.0</v>
      </c>
      <c r="Q22" t="s">
        <v>2364</v>
      </c>
      <c r="R22">
        <v>115.0</v>
      </c>
      <c r="S22">
        <v>1.0</v>
      </c>
      <c r="T22" t="s">
        <v>2365</v>
      </c>
      <c r="U22">
        <v>0.0</v>
      </c>
      <c r="V22">
        <v>0.0</v>
      </c>
      <c r="W22">
        <v>5.0</v>
      </c>
      <c r="X22">
        <v>2.0</v>
      </c>
      <c r="Y22">
        <v>0.0</v>
      </c>
      <c r="Z22">
        <v>0.0</v>
      </c>
      <c r="AA22">
        <v>2.0</v>
      </c>
      <c r="AB22">
        <v>4.0</v>
      </c>
      <c r="AC22">
        <v>0.0</v>
      </c>
      <c r="AD22">
        <v>0.0</v>
      </c>
      <c r="AE22" t="s">
        <v>2366</v>
      </c>
      <c r="AF22" t="s">
        <v>2475</v>
      </c>
    </row>
    <row r="23" ht="15.75" customHeight="1">
      <c r="A23" t="s">
        <v>2508</v>
      </c>
      <c r="B23" t="s">
        <v>1870</v>
      </c>
      <c r="C23" t="s">
        <v>569</v>
      </c>
      <c r="D23" t="s">
        <v>1870</v>
      </c>
      <c r="E23" t="s">
        <v>2349</v>
      </c>
      <c r="F23" t="s">
        <v>2367</v>
      </c>
      <c r="G23" t="s">
        <v>573</v>
      </c>
      <c r="H23" t="s">
        <v>94</v>
      </c>
      <c r="I23">
        <v>3.0</v>
      </c>
      <c r="J23">
        <v>4.0</v>
      </c>
      <c r="K23">
        <v>2.0</v>
      </c>
      <c r="L23" t="s">
        <v>2368</v>
      </c>
      <c r="M23">
        <v>110.0</v>
      </c>
      <c r="N23">
        <v>0.0</v>
      </c>
      <c r="O23" t="s">
        <v>2358</v>
      </c>
      <c r="P23">
        <v>3.0</v>
      </c>
      <c r="Q23" t="s">
        <v>2369</v>
      </c>
      <c r="R23">
        <v>115.0</v>
      </c>
      <c r="S23">
        <v>1.0</v>
      </c>
      <c r="T23" t="s">
        <v>2370</v>
      </c>
      <c r="U23">
        <v>0.0</v>
      </c>
      <c r="V23">
        <v>0.0</v>
      </c>
      <c r="W23">
        <v>1.0</v>
      </c>
      <c r="X23">
        <v>0.0</v>
      </c>
      <c r="Y23">
        <v>0.0</v>
      </c>
      <c r="Z23">
        <v>0.0</v>
      </c>
      <c r="AA23">
        <v>0.0</v>
      </c>
      <c r="AB23">
        <v>0.0</v>
      </c>
      <c r="AC23">
        <v>0.0</v>
      </c>
      <c r="AD23">
        <v>0.0</v>
      </c>
      <c r="AE23" t="s">
        <v>2371</v>
      </c>
      <c r="AF23" t="s">
        <v>2475</v>
      </c>
    </row>
    <row r="24" ht="15.75" customHeight="1">
      <c r="A24" t="s">
        <v>2509</v>
      </c>
      <c r="B24" t="s">
        <v>2510</v>
      </c>
      <c r="C24" t="s">
        <v>572</v>
      </c>
      <c r="D24" t="s">
        <v>1870</v>
      </c>
      <c r="E24" t="s">
        <v>2349</v>
      </c>
      <c r="F24" t="s">
        <v>2367</v>
      </c>
      <c r="G24" t="s">
        <v>573</v>
      </c>
      <c r="H24" t="s">
        <v>94</v>
      </c>
      <c r="I24">
        <v>4.0</v>
      </c>
      <c r="J24">
        <v>5.0</v>
      </c>
      <c r="K24">
        <v>2.0</v>
      </c>
      <c r="L24" t="s">
        <v>2368</v>
      </c>
      <c r="M24">
        <v>110.0</v>
      </c>
      <c r="N24">
        <v>0.0</v>
      </c>
      <c r="O24" t="s">
        <v>2358</v>
      </c>
      <c r="P24">
        <v>3.0</v>
      </c>
      <c r="Q24" t="s">
        <v>2369</v>
      </c>
      <c r="R24">
        <v>115.0</v>
      </c>
      <c r="S24">
        <v>1.0</v>
      </c>
      <c r="T24" t="s">
        <v>2370</v>
      </c>
      <c r="U24">
        <v>0.0</v>
      </c>
      <c r="V24">
        <v>0.0</v>
      </c>
      <c r="W24">
        <v>1.0</v>
      </c>
      <c r="X24">
        <v>0.0</v>
      </c>
      <c r="Y24">
        <v>0.0</v>
      </c>
      <c r="Z24">
        <v>0.0</v>
      </c>
      <c r="AA24">
        <v>1.0</v>
      </c>
      <c r="AB24">
        <v>0.0</v>
      </c>
      <c r="AC24">
        <v>0.0</v>
      </c>
      <c r="AD24">
        <v>0.0</v>
      </c>
      <c r="AE24" t="s">
        <v>2371</v>
      </c>
      <c r="AF24" t="s">
        <v>2475</v>
      </c>
    </row>
    <row r="25" ht="15.75" customHeight="1">
      <c r="A25" t="s">
        <v>2511</v>
      </c>
      <c r="B25" t="s">
        <v>2512</v>
      </c>
      <c r="C25" t="s">
        <v>575</v>
      </c>
      <c r="D25" t="s">
        <v>1870</v>
      </c>
      <c r="E25" t="s">
        <v>2349</v>
      </c>
      <c r="F25" t="s">
        <v>2367</v>
      </c>
      <c r="G25" t="s">
        <v>573</v>
      </c>
      <c r="H25" t="s">
        <v>94</v>
      </c>
      <c r="I25">
        <v>5.0</v>
      </c>
      <c r="J25">
        <v>6.0</v>
      </c>
      <c r="K25">
        <v>2.0</v>
      </c>
      <c r="L25" t="s">
        <v>2368</v>
      </c>
      <c r="M25">
        <v>110.0</v>
      </c>
      <c r="N25">
        <v>0.0</v>
      </c>
      <c r="O25" t="s">
        <v>2358</v>
      </c>
      <c r="P25">
        <v>3.0</v>
      </c>
      <c r="Q25" t="s">
        <v>2369</v>
      </c>
      <c r="R25">
        <v>115.0</v>
      </c>
      <c r="S25">
        <v>1.0</v>
      </c>
      <c r="T25" t="s">
        <v>2370</v>
      </c>
      <c r="U25">
        <v>0.0</v>
      </c>
      <c r="V25">
        <v>0.0</v>
      </c>
      <c r="W25">
        <v>2.0</v>
      </c>
      <c r="X25">
        <v>0.0</v>
      </c>
      <c r="Y25">
        <v>0.0</v>
      </c>
      <c r="Z25">
        <v>0.0</v>
      </c>
      <c r="AA25">
        <v>1.0</v>
      </c>
      <c r="AB25">
        <v>1.0</v>
      </c>
      <c r="AC25">
        <v>0.0</v>
      </c>
      <c r="AD25">
        <v>0.0</v>
      </c>
      <c r="AE25" t="s">
        <v>2371</v>
      </c>
      <c r="AF25" t="s">
        <v>2475</v>
      </c>
    </row>
    <row r="26" ht="15.75" customHeight="1">
      <c r="A26" t="s">
        <v>2513</v>
      </c>
      <c r="B26" t="s">
        <v>2514</v>
      </c>
      <c r="C26" t="s">
        <v>578</v>
      </c>
      <c r="D26" t="s">
        <v>1870</v>
      </c>
      <c r="E26" t="s">
        <v>2349</v>
      </c>
      <c r="F26" t="s">
        <v>2367</v>
      </c>
      <c r="G26" t="s">
        <v>573</v>
      </c>
      <c r="H26" t="s">
        <v>94</v>
      </c>
      <c r="I26">
        <v>6.0</v>
      </c>
      <c r="J26">
        <v>8.0</v>
      </c>
      <c r="K26">
        <v>2.0</v>
      </c>
      <c r="L26" t="s">
        <v>2368</v>
      </c>
      <c r="M26">
        <v>110.0</v>
      </c>
      <c r="N26">
        <v>0.0</v>
      </c>
      <c r="O26" t="s">
        <v>2358</v>
      </c>
      <c r="P26">
        <v>3.0</v>
      </c>
      <c r="Q26" t="s">
        <v>2369</v>
      </c>
      <c r="R26">
        <v>115.0</v>
      </c>
      <c r="S26">
        <v>1.0</v>
      </c>
      <c r="T26" t="s">
        <v>2370</v>
      </c>
      <c r="U26">
        <v>1.0</v>
      </c>
      <c r="V26">
        <v>0.0</v>
      </c>
      <c r="W26">
        <v>3.0</v>
      </c>
      <c r="X26">
        <v>0.0</v>
      </c>
      <c r="Y26">
        <v>0.0</v>
      </c>
      <c r="Z26">
        <v>0.0</v>
      </c>
      <c r="AA26">
        <v>1.0</v>
      </c>
      <c r="AB26">
        <v>2.0</v>
      </c>
      <c r="AC26">
        <v>0.0</v>
      </c>
      <c r="AD26">
        <v>0.0</v>
      </c>
      <c r="AE26" t="s">
        <v>2371</v>
      </c>
      <c r="AF26" t="s">
        <v>2475</v>
      </c>
    </row>
    <row r="27" ht="15.75" customHeight="1">
      <c r="A27" t="s">
        <v>2515</v>
      </c>
      <c r="B27" t="s">
        <v>2516</v>
      </c>
      <c r="C27" t="s">
        <v>581</v>
      </c>
      <c r="D27" t="s">
        <v>1870</v>
      </c>
      <c r="E27" t="s">
        <v>2349</v>
      </c>
      <c r="F27" t="s">
        <v>2367</v>
      </c>
      <c r="G27" t="s">
        <v>573</v>
      </c>
      <c r="H27" t="s">
        <v>94</v>
      </c>
      <c r="I27">
        <v>7.0</v>
      </c>
      <c r="J27">
        <v>9.0</v>
      </c>
      <c r="K27">
        <v>2.0</v>
      </c>
      <c r="L27" t="s">
        <v>2368</v>
      </c>
      <c r="M27">
        <v>110.0</v>
      </c>
      <c r="N27">
        <v>0.0</v>
      </c>
      <c r="O27" t="s">
        <v>2358</v>
      </c>
      <c r="P27">
        <v>3.0</v>
      </c>
      <c r="Q27" t="s">
        <v>2369</v>
      </c>
      <c r="R27">
        <v>115.0</v>
      </c>
      <c r="S27">
        <v>1.0</v>
      </c>
      <c r="T27" t="s">
        <v>2370</v>
      </c>
      <c r="U27">
        <v>1.0</v>
      </c>
      <c r="V27">
        <v>0.0</v>
      </c>
      <c r="W27">
        <v>4.0</v>
      </c>
      <c r="X27">
        <v>0.0</v>
      </c>
      <c r="Y27">
        <v>0.0</v>
      </c>
      <c r="Z27">
        <v>0.0</v>
      </c>
      <c r="AA27">
        <v>2.0</v>
      </c>
      <c r="AB27">
        <v>3.0</v>
      </c>
      <c r="AC27">
        <v>0.0</v>
      </c>
      <c r="AD27">
        <v>0.0</v>
      </c>
      <c r="AE27" t="s">
        <v>2371</v>
      </c>
      <c r="AF27" t="s">
        <v>2475</v>
      </c>
    </row>
    <row r="28" ht="15.75" customHeight="1">
      <c r="A28" t="s">
        <v>2517</v>
      </c>
      <c r="B28" t="s">
        <v>2518</v>
      </c>
      <c r="C28" t="s">
        <v>584</v>
      </c>
      <c r="D28" t="s">
        <v>1870</v>
      </c>
      <c r="E28" t="s">
        <v>2349</v>
      </c>
      <c r="F28" t="s">
        <v>2367</v>
      </c>
      <c r="G28" t="s">
        <v>573</v>
      </c>
      <c r="H28" t="s">
        <v>94</v>
      </c>
      <c r="I28">
        <v>8.0</v>
      </c>
      <c r="J28">
        <v>11.0</v>
      </c>
      <c r="K28">
        <v>2.0</v>
      </c>
      <c r="L28" t="s">
        <v>2368</v>
      </c>
      <c r="M28">
        <v>110.0</v>
      </c>
      <c r="N28">
        <v>0.0</v>
      </c>
      <c r="O28" t="s">
        <v>2358</v>
      </c>
      <c r="P28">
        <v>3.0</v>
      </c>
      <c r="Q28" t="s">
        <v>2369</v>
      </c>
      <c r="R28">
        <v>115.0</v>
      </c>
      <c r="S28">
        <v>1.0</v>
      </c>
      <c r="T28" t="s">
        <v>2370</v>
      </c>
      <c r="U28">
        <v>2.0</v>
      </c>
      <c r="V28">
        <v>0.0</v>
      </c>
      <c r="W28">
        <v>5.0</v>
      </c>
      <c r="X28">
        <v>0.0</v>
      </c>
      <c r="Y28">
        <v>0.0</v>
      </c>
      <c r="Z28">
        <v>0.0</v>
      </c>
      <c r="AA28">
        <v>2.0</v>
      </c>
      <c r="AB28">
        <v>4.0</v>
      </c>
      <c r="AC28">
        <v>0.0</v>
      </c>
      <c r="AD28">
        <v>0.0</v>
      </c>
      <c r="AE28" t="s">
        <v>2371</v>
      </c>
      <c r="AF28" t="s">
        <v>2475</v>
      </c>
    </row>
    <row r="29" ht="15.75" customHeight="1">
      <c r="A29" t="s">
        <v>2519</v>
      </c>
      <c r="B29" t="s">
        <v>1994</v>
      </c>
      <c r="C29" t="s">
        <v>569</v>
      </c>
      <c r="D29" t="s">
        <v>1994</v>
      </c>
      <c r="E29" t="s">
        <v>2349</v>
      </c>
      <c r="F29" t="s">
        <v>2372</v>
      </c>
      <c r="G29" t="s">
        <v>570</v>
      </c>
      <c r="H29" t="s">
        <v>89</v>
      </c>
      <c r="I29">
        <v>4.0</v>
      </c>
      <c r="J29">
        <v>6.0</v>
      </c>
      <c r="K29">
        <v>2.0</v>
      </c>
      <c r="L29" t="s">
        <v>2373</v>
      </c>
      <c r="M29">
        <v>100.0</v>
      </c>
      <c r="N29">
        <v>0.0</v>
      </c>
      <c r="O29" t="s">
        <v>2374</v>
      </c>
      <c r="P29">
        <v>3.0</v>
      </c>
      <c r="Q29" t="s">
        <v>2375</v>
      </c>
      <c r="R29">
        <v>85.0</v>
      </c>
      <c r="S29">
        <v>2.0</v>
      </c>
      <c r="T29" t="s">
        <v>2376</v>
      </c>
      <c r="U29">
        <v>0.0</v>
      </c>
      <c r="V29">
        <v>1.0</v>
      </c>
      <c r="W29">
        <v>0.0</v>
      </c>
      <c r="X29">
        <v>0.0</v>
      </c>
      <c r="Y29">
        <v>0.0</v>
      </c>
      <c r="Z29">
        <v>0.0</v>
      </c>
      <c r="AA29">
        <v>0.0</v>
      </c>
      <c r="AB29">
        <v>0.0</v>
      </c>
      <c r="AC29">
        <v>0.0</v>
      </c>
      <c r="AD29">
        <v>0.0</v>
      </c>
      <c r="AE29" t="s">
        <v>2377</v>
      </c>
      <c r="AF29" t="s">
        <v>2475</v>
      </c>
    </row>
    <row r="30" ht="15.75" customHeight="1">
      <c r="A30" t="s">
        <v>2520</v>
      </c>
      <c r="B30" t="s">
        <v>2521</v>
      </c>
      <c r="C30" t="s">
        <v>572</v>
      </c>
      <c r="D30" t="s">
        <v>1994</v>
      </c>
      <c r="E30" t="s">
        <v>2349</v>
      </c>
      <c r="F30" t="s">
        <v>2372</v>
      </c>
      <c r="G30" t="s">
        <v>570</v>
      </c>
      <c r="H30" t="s">
        <v>89</v>
      </c>
      <c r="I30">
        <v>5.0</v>
      </c>
      <c r="J30">
        <v>8.0</v>
      </c>
      <c r="K30">
        <v>2.0</v>
      </c>
      <c r="L30" t="s">
        <v>2373</v>
      </c>
      <c r="M30">
        <v>100.0</v>
      </c>
      <c r="N30">
        <v>0.0</v>
      </c>
      <c r="O30" t="s">
        <v>2374</v>
      </c>
      <c r="P30">
        <v>3.0</v>
      </c>
      <c r="Q30" t="s">
        <v>2375</v>
      </c>
      <c r="R30">
        <v>85.0</v>
      </c>
      <c r="S30">
        <v>2.0</v>
      </c>
      <c r="T30" t="s">
        <v>2376</v>
      </c>
      <c r="U30">
        <v>0.0</v>
      </c>
      <c r="V30">
        <v>1.0</v>
      </c>
      <c r="W30">
        <v>0.0</v>
      </c>
      <c r="X30">
        <v>1.0</v>
      </c>
      <c r="Y30">
        <v>0.0</v>
      </c>
      <c r="Z30">
        <v>0.0</v>
      </c>
      <c r="AA30">
        <v>0.0</v>
      </c>
      <c r="AB30">
        <v>0.0</v>
      </c>
      <c r="AC30">
        <v>0.0</v>
      </c>
      <c r="AD30">
        <v>0.0</v>
      </c>
      <c r="AE30" t="s">
        <v>2377</v>
      </c>
      <c r="AF30" t="s">
        <v>2475</v>
      </c>
    </row>
    <row r="31" ht="15.75" customHeight="1">
      <c r="A31" t="s">
        <v>2522</v>
      </c>
      <c r="B31" t="s">
        <v>2523</v>
      </c>
      <c r="C31" t="s">
        <v>575</v>
      </c>
      <c r="D31" t="s">
        <v>1994</v>
      </c>
      <c r="E31" t="s">
        <v>2349</v>
      </c>
      <c r="F31" t="s">
        <v>2372</v>
      </c>
      <c r="G31" t="s">
        <v>570</v>
      </c>
      <c r="H31" t="s">
        <v>89</v>
      </c>
      <c r="I31">
        <v>6.0</v>
      </c>
      <c r="J31">
        <v>9.0</v>
      </c>
      <c r="K31">
        <v>2.0</v>
      </c>
      <c r="L31" t="s">
        <v>2373</v>
      </c>
      <c r="M31">
        <v>100.0</v>
      </c>
      <c r="N31">
        <v>0.0</v>
      </c>
      <c r="O31" t="s">
        <v>2374</v>
      </c>
      <c r="P31">
        <v>3.0</v>
      </c>
      <c r="Q31" t="s">
        <v>2375</v>
      </c>
      <c r="R31">
        <v>85.0</v>
      </c>
      <c r="S31">
        <v>2.0</v>
      </c>
      <c r="T31" t="s">
        <v>2376</v>
      </c>
      <c r="U31">
        <v>0.0</v>
      </c>
      <c r="V31">
        <v>2.0</v>
      </c>
      <c r="W31">
        <v>0.0</v>
      </c>
      <c r="X31">
        <v>1.0</v>
      </c>
      <c r="Y31">
        <v>0.0</v>
      </c>
      <c r="Z31">
        <v>0.0</v>
      </c>
      <c r="AA31">
        <v>0.0</v>
      </c>
      <c r="AB31">
        <v>0.0</v>
      </c>
      <c r="AC31">
        <v>0.0</v>
      </c>
      <c r="AD31">
        <v>0.0</v>
      </c>
      <c r="AE31" t="s">
        <v>2377</v>
      </c>
      <c r="AF31" t="s">
        <v>2475</v>
      </c>
    </row>
    <row r="32" ht="15.75" customHeight="1">
      <c r="A32" t="s">
        <v>2524</v>
      </c>
      <c r="B32" t="s">
        <v>2525</v>
      </c>
      <c r="C32" t="s">
        <v>578</v>
      </c>
      <c r="D32" t="s">
        <v>1994</v>
      </c>
      <c r="E32" t="s">
        <v>2349</v>
      </c>
      <c r="F32" t="s">
        <v>2372</v>
      </c>
      <c r="G32" t="s">
        <v>570</v>
      </c>
      <c r="H32" t="s">
        <v>89</v>
      </c>
      <c r="I32">
        <v>8.0</v>
      </c>
      <c r="J32">
        <v>11.0</v>
      </c>
      <c r="K32">
        <v>2.0</v>
      </c>
      <c r="L32" t="s">
        <v>2373</v>
      </c>
      <c r="M32">
        <v>100.0</v>
      </c>
      <c r="N32">
        <v>0.0</v>
      </c>
      <c r="O32" t="s">
        <v>2374</v>
      </c>
      <c r="P32">
        <v>3.0</v>
      </c>
      <c r="Q32" t="s">
        <v>2375</v>
      </c>
      <c r="R32">
        <v>85.0</v>
      </c>
      <c r="S32">
        <v>2.0</v>
      </c>
      <c r="T32" t="s">
        <v>2376</v>
      </c>
      <c r="U32">
        <v>1.0</v>
      </c>
      <c r="V32">
        <v>3.0</v>
      </c>
      <c r="W32">
        <v>0.0</v>
      </c>
      <c r="X32">
        <v>1.0</v>
      </c>
      <c r="Y32">
        <v>0.0</v>
      </c>
      <c r="Z32">
        <v>0.0</v>
      </c>
      <c r="AA32">
        <v>0.0</v>
      </c>
      <c r="AB32">
        <v>0.0</v>
      </c>
      <c r="AC32">
        <v>1.0</v>
      </c>
      <c r="AD32">
        <v>0.0</v>
      </c>
      <c r="AE32" t="s">
        <v>2377</v>
      </c>
      <c r="AF32" t="s">
        <v>2475</v>
      </c>
    </row>
    <row r="33" ht="15.75" customHeight="1">
      <c r="A33" t="s">
        <v>2526</v>
      </c>
      <c r="B33" t="s">
        <v>2527</v>
      </c>
      <c r="C33" t="s">
        <v>581</v>
      </c>
      <c r="D33" t="s">
        <v>1994</v>
      </c>
      <c r="E33" t="s">
        <v>2349</v>
      </c>
      <c r="F33" t="s">
        <v>2372</v>
      </c>
      <c r="G33" t="s">
        <v>570</v>
      </c>
      <c r="H33" t="s">
        <v>89</v>
      </c>
      <c r="I33">
        <v>9.0</v>
      </c>
      <c r="J33">
        <v>14.0</v>
      </c>
      <c r="K33">
        <v>2.0</v>
      </c>
      <c r="L33" t="s">
        <v>2373</v>
      </c>
      <c r="M33">
        <v>100.0</v>
      </c>
      <c r="N33">
        <v>0.0</v>
      </c>
      <c r="O33" t="s">
        <v>2374</v>
      </c>
      <c r="P33">
        <v>3.0</v>
      </c>
      <c r="Q33" t="s">
        <v>2375</v>
      </c>
      <c r="R33">
        <v>85.0</v>
      </c>
      <c r="S33">
        <v>2.0</v>
      </c>
      <c r="T33" t="s">
        <v>2376</v>
      </c>
      <c r="U33">
        <v>1.0</v>
      </c>
      <c r="V33">
        <v>4.0</v>
      </c>
      <c r="W33">
        <v>0.0</v>
      </c>
      <c r="X33">
        <v>2.0</v>
      </c>
      <c r="Y33">
        <v>0.0</v>
      </c>
      <c r="Z33">
        <v>0.0</v>
      </c>
      <c r="AA33">
        <v>0.0</v>
      </c>
      <c r="AB33">
        <v>0.0</v>
      </c>
      <c r="AC33">
        <v>2.0</v>
      </c>
      <c r="AD33">
        <v>0.0</v>
      </c>
      <c r="AE33" t="s">
        <v>2377</v>
      </c>
      <c r="AF33" t="s">
        <v>2475</v>
      </c>
    </row>
    <row r="34" ht="15.75" customHeight="1">
      <c r="A34" t="s">
        <v>2528</v>
      </c>
      <c r="B34" t="s">
        <v>2529</v>
      </c>
      <c r="C34" t="s">
        <v>584</v>
      </c>
      <c r="D34" t="s">
        <v>1994</v>
      </c>
      <c r="E34" t="s">
        <v>2349</v>
      </c>
      <c r="F34" t="s">
        <v>2372</v>
      </c>
      <c r="G34" t="s">
        <v>570</v>
      </c>
      <c r="H34" t="s">
        <v>89</v>
      </c>
      <c r="I34">
        <v>11.0</v>
      </c>
      <c r="J34">
        <v>17.0</v>
      </c>
      <c r="K34">
        <v>2.0</v>
      </c>
      <c r="L34" t="s">
        <v>2373</v>
      </c>
      <c r="M34">
        <v>100.0</v>
      </c>
      <c r="N34">
        <v>0.0</v>
      </c>
      <c r="O34" t="s">
        <v>2374</v>
      </c>
      <c r="P34">
        <v>3.0</v>
      </c>
      <c r="Q34" t="s">
        <v>2375</v>
      </c>
      <c r="R34">
        <v>85.0</v>
      </c>
      <c r="S34">
        <v>2.0</v>
      </c>
      <c r="T34" t="s">
        <v>2376</v>
      </c>
      <c r="U34">
        <v>2.0</v>
      </c>
      <c r="V34">
        <v>5.0</v>
      </c>
      <c r="W34">
        <v>0.0</v>
      </c>
      <c r="X34">
        <v>2.0</v>
      </c>
      <c r="Y34">
        <v>0.0</v>
      </c>
      <c r="Z34">
        <v>0.0</v>
      </c>
      <c r="AA34">
        <v>0.0</v>
      </c>
      <c r="AB34">
        <v>0.0</v>
      </c>
      <c r="AC34">
        <v>3.0</v>
      </c>
      <c r="AD34">
        <v>0.0</v>
      </c>
      <c r="AE34" t="s">
        <v>2377</v>
      </c>
      <c r="AF34" t="s">
        <v>2475</v>
      </c>
    </row>
    <row r="35" ht="15.75" customHeight="1">
      <c r="A35" t="s">
        <v>2530</v>
      </c>
      <c r="B35" t="s">
        <v>2009</v>
      </c>
      <c r="C35" t="s">
        <v>569</v>
      </c>
      <c r="D35" t="s">
        <v>2009</v>
      </c>
      <c r="E35" t="s">
        <v>2349</v>
      </c>
      <c r="F35" t="s">
        <v>2378</v>
      </c>
      <c r="G35" t="s">
        <v>2175</v>
      </c>
      <c r="H35" t="s">
        <v>98</v>
      </c>
      <c r="I35">
        <v>2.0</v>
      </c>
      <c r="J35">
        <v>4.0</v>
      </c>
      <c r="K35">
        <v>2.0</v>
      </c>
      <c r="L35" t="s">
        <v>2379</v>
      </c>
      <c r="M35">
        <v>110.0</v>
      </c>
      <c r="N35">
        <v>0.0</v>
      </c>
      <c r="O35" t="s">
        <v>2380</v>
      </c>
      <c r="P35">
        <v>3.0</v>
      </c>
      <c r="Q35" t="s">
        <v>2381</v>
      </c>
      <c r="R35">
        <v>0.0</v>
      </c>
      <c r="S35">
        <v>2.0</v>
      </c>
      <c r="T35" t="s">
        <v>2382</v>
      </c>
      <c r="U35">
        <v>0.0</v>
      </c>
      <c r="V35">
        <v>0.0</v>
      </c>
      <c r="W35">
        <v>0.0</v>
      </c>
      <c r="X35">
        <v>0.0</v>
      </c>
      <c r="Y35">
        <v>1.0</v>
      </c>
      <c r="Z35">
        <v>0.0</v>
      </c>
      <c r="AA35">
        <v>0.0</v>
      </c>
      <c r="AB35">
        <v>0.0</v>
      </c>
      <c r="AC35">
        <v>0.0</v>
      </c>
      <c r="AD35">
        <v>0.0</v>
      </c>
      <c r="AE35" t="s">
        <v>2383</v>
      </c>
      <c r="AF35" t="s">
        <v>2475</v>
      </c>
    </row>
    <row r="36" ht="15.75" customHeight="1">
      <c r="A36" t="s">
        <v>2531</v>
      </c>
      <c r="B36" t="s">
        <v>2532</v>
      </c>
      <c r="C36" t="s">
        <v>572</v>
      </c>
      <c r="D36" t="s">
        <v>2009</v>
      </c>
      <c r="E36" t="s">
        <v>2349</v>
      </c>
      <c r="F36" t="s">
        <v>2378</v>
      </c>
      <c r="G36" t="s">
        <v>2175</v>
      </c>
      <c r="H36" t="s">
        <v>98</v>
      </c>
      <c r="I36">
        <v>3.0</v>
      </c>
      <c r="J36">
        <v>5.0</v>
      </c>
      <c r="K36">
        <v>2.0</v>
      </c>
      <c r="L36" t="s">
        <v>2379</v>
      </c>
      <c r="M36">
        <v>110.0</v>
      </c>
      <c r="N36">
        <v>0.0</v>
      </c>
      <c r="O36" t="s">
        <v>2380</v>
      </c>
      <c r="P36">
        <v>3.0</v>
      </c>
      <c r="Q36" t="s">
        <v>2381</v>
      </c>
      <c r="R36">
        <v>0.0</v>
      </c>
      <c r="S36">
        <v>2.0</v>
      </c>
      <c r="T36" t="s">
        <v>2382</v>
      </c>
      <c r="U36">
        <v>0.0</v>
      </c>
      <c r="V36">
        <v>0.0</v>
      </c>
      <c r="W36">
        <v>0.0</v>
      </c>
      <c r="X36">
        <v>0.0</v>
      </c>
      <c r="Y36">
        <v>1.0</v>
      </c>
      <c r="Z36">
        <v>1.0</v>
      </c>
      <c r="AA36">
        <v>0.0</v>
      </c>
      <c r="AB36">
        <v>0.0</v>
      </c>
      <c r="AC36">
        <v>0.0</v>
      </c>
      <c r="AD36">
        <v>0.0</v>
      </c>
      <c r="AE36" t="s">
        <v>2383</v>
      </c>
      <c r="AF36" t="s">
        <v>2475</v>
      </c>
    </row>
    <row r="37" ht="15.75" customHeight="1">
      <c r="A37" t="s">
        <v>2533</v>
      </c>
      <c r="B37" t="s">
        <v>2534</v>
      </c>
      <c r="C37" t="s">
        <v>575</v>
      </c>
      <c r="D37" t="s">
        <v>2009</v>
      </c>
      <c r="E37" t="s">
        <v>2349</v>
      </c>
      <c r="F37" t="s">
        <v>2378</v>
      </c>
      <c r="G37" t="s">
        <v>2175</v>
      </c>
      <c r="H37" t="s">
        <v>98</v>
      </c>
      <c r="I37">
        <v>3.0</v>
      </c>
      <c r="J37">
        <v>6.0</v>
      </c>
      <c r="K37">
        <v>2.0</v>
      </c>
      <c r="L37" t="s">
        <v>2379</v>
      </c>
      <c r="M37">
        <v>110.0</v>
      </c>
      <c r="N37">
        <v>0.0</v>
      </c>
      <c r="O37" t="s">
        <v>2380</v>
      </c>
      <c r="P37">
        <v>3.0</v>
      </c>
      <c r="Q37" t="s">
        <v>2381</v>
      </c>
      <c r="R37">
        <v>0.0</v>
      </c>
      <c r="S37">
        <v>2.0</v>
      </c>
      <c r="T37" t="s">
        <v>2382</v>
      </c>
      <c r="U37">
        <v>0.0</v>
      </c>
      <c r="V37">
        <v>0.0</v>
      </c>
      <c r="W37">
        <v>0.0</v>
      </c>
      <c r="X37">
        <v>0.0</v>
      </c>
      <c r="Y37">
        <v>2.0</v>
      </c>
      <c r="Z37">
        <v>1.0</v>
      </c>
      <c r="AA37">
        <v>0.0</v>
      </c>
      <c r="AB37">
        <v>0.0</v>
      </c>
      <c r="AC37">
        <v>0.0</v>
      </c>
      <c r="AD37">
        <v>0.0</v>
      </c>
      <c r="AE37" t="s">
        <v>2383</v>
      </c>
      <c r="AF37" t="s">
        <v>2475</v>
      </c>
    </row>
    <row r="38" ht="15.75" customHeight="1">
      <c r="A38" t="s">
        <v>2535</v>
      </c>
      <c r="B38" t="s">
        <v>2536</v>
      </c>
      <c r="C38" t="s">
        <v>578</v>
      </c>
      <c r="D38" t="s">
        <v>2009</v>
      </c>
      <c r="E38" t="s">
        <v>2349</v>
      </c>
      <c r="F38" t="s">
        <v>2378</v>
      </c>
      <c r="G38" t="s">
        <v>2175</v>
      </c>
      <c r="H38" t="s">
        <v>98</v>
      </c>
      <c r="I38">
        <v>4.0</v>
      </c>
      <c r="J38">
        <v>8.0</v>
      </c>
      <c r="K38">
        <v>2.0</v>
      </c>
      <c r="L38" t="s">
        <v>2379</v>
      </c>
      <c r="M38">
        <v>110.0</v>
      </c>
      <c r="N38">
        <v>0.0</v>
      </c>
      <c r="O38" t="s">
        <v>2380</v>
      </c>
      <c r="P38">
        <v>3.0</v>
      </c>
      <c r="Q38" t="s">
        <v>2381</v>
      </c>
      <c r="R38">
        <v>0.0</v>
      </c>
      <c r="S38">
        <v>2.0</v>
      </c>
      <c r="T38" t="s">
        <v>2382</v>
      </c>
      <c r="U38">
        <v>0.0</v>
      </c>
      <c r="V38">
        <v>0.0</v>
      </c>
      <c r="W38">
        <v>0.0</v>
      </c>
      <c r="X38">
        <v>0.0</v>
      </c>
      <c r="Y38">
        <v>3.0</v>
      </c>
      <c r="Z38">
        <v>1.0</v>
      </c>
      <c r="AA38">
        <v>1.0</v>
      </c>
      <c r="AB38">
        <v>0.0</v>
      </c>
      <c r="AC38">
        <v>0.0</v>
      </c>
      <c r="AD38">
        <v>1.0</v>
      </c>
      <c r="AE38" t="s">
        <v>2383</v>
      </c>
      <c r="AF38" t="s">
        <v>2475</v>
      </c>
    </row>
    <row r="39" ht="15.75" customHeight="1">
      <c r="A39" t="s">
        <v>2537</v>
      </c>
      <c r="B39" t="s">
        <v>2538</v>
      </c>
      <c r="C39" t="s">
        <v>581</v>
      </c>
      <c r="D39" t="s">
        <v>2009</v>
      </c>
      <c r="E39" t="s">
        <v>2349</v>
      </c>
      <c r="F39" t="s">
        <v>2378</v>
      </c>
      <c r="G39" t="s">
        <v>2175</v>
      </c>
      <c r="H39" t="s">
        <v>98</v>
      </c>
      <c r="I39">
        <v>5.0</v>
      </c>
      <c r="J39">
        <v>9.0</v>
      </c>
      <c r="K39">
        <v>2.0</v>
      </c>
      <c r="L39" t="s">
        <v>2379</v>
      </c>
      <c r="M39">
        <v>110.0</v>
      </c>
      <c r="N39">
        <v>0.0</v>
      </c>
      <c r="O39" t="s">
        <v>2380</v>
      </c>
      <c r="P39">
        <v>3.0</v>
      </c>
      <c r="Q39" t="s">
        <v>2381</v>
      </c>
      <c r="R39">
        <v>0.0</v>
      </c>
      <c r="S39">
        <v>2.0</v>
      </c>
      <c r="T39" t="s">
        <v>2382</v>
      </c>
      <c r="U39">
        <v>0.0</v>
      </c>
      <c r="V39">
        <v>0.0</v>
      </c>
      <c r="W39">
        <v>0.0</v>
      </c>
      <c r="X39">
        <v>0.0</v>
      </c>
      <c r="Y39">
        <v>4.0</v>
      </c>
      <c r="Z39">
        <v>2.0</v>
      </c>
      <c r="AA39">
        <v>1.0</v>
      </c>
      <c r="AB39">
        <v>0.0</v>
      </c>
      <c r="AC39">
        <v>0.0</v>
      </c>
      <c r="AD39">
        <v>2.0</v>
      </c>
      <c r="AE39" t="s">
        <v>2383</v>
      </c>
      <c r="AF39" t="s">
        <v>2475</v>
      </c>
    </row>
    <row r="40" ht="15.75" customHeight="1">
      <c r="A40" t="s">
        <v>2539</v>
      </c>
      <c r="B40" t="s">
        <v>2540</v>
      </c>
      <c r="C40" t="s">
        <v>584</v>
      </c>
      <c r="D40" t="s">
        <v>2009</v>
      </c>
      <c r="E40" t="s">
        <v>2349</v>
      </c>
      <c r="F40" t="s">
        <v>2378</v>
      </c>
      <c r="G40" t="s">
        <v>2175</v>
      </c>
      <c r="H40" t="s">
        <v>98</v>
      </c>
      <c r="I40">
        <v>6.0</v>
      </c>
      <c r="J40">
        <v>11.0</v>
      </c>
      <c r="K40">
        <v>2.0</v>
      </c>
      <c r="L40" t="s">
        <v>2379</v>
      </c>
      <c r="M40">
        <v>110.0</v>
      </c>
      <c r="N40">
        <v>0.0</v>
      </c>
      <c r="O40" t="s">
        <v>2380</v>
      </c>
      <c r="P40">
        <v>3.0</v>
      </c>
      <c r="Q40" t="s">
        <v>2381</v>
      </c>
      <c r="R40">
        <v>0.0</v>
      </c>
      <c r="S40">
        <v>2.0</v>
      </c>
      <c r="T40" t="s">
        <v>2382</v>
      </c>
      <c r="U40">
        <v>0.0</v>
      </c>
      <c r="V40">
        <v>0.0</v>
      </c>
      <c r="W40">
        <v>0.0</v>
      </c>
      <c r="X40">
        <v>0.0</v>
      </c>
      <c r="Y40">
        <v>5.0</v>
      </c>
      <c r="Z40">
        <v>2.0</v>
      </c>
      <c r="AA40">
        <v>2.0</v>
      </c>
      <c r="AB40">
        <v>0.0</v>
      </c>
      <c r="AC40">
        <v>0.0</v>
      </c>
      <c r="AD40">
        <v>3.0</v>
      </c>
      <c r="AE40" t="s">
        <v>2383</v>
      </c>
      <c r="AF40" t="s">
        <v>2475</v>
      </c>
    </row>
    <row r="41" ht="15.75" customHeight="1">
      <c r="A41" t="s">
        <v>2541</v>
      </c>
      <c r="B41" t="s">
        <v>2015</v>
      </c>
      <c r="C41" t="s">
        <v>569</v>
      </c>
      <c r="D41" t="s">
        <v>2015</v>
      </c>
      <c r="E41" t="s">
        <v>2349</v>
      </c>
      <c r="F41" t="s">
        <v>2384</v>
      </c>
      <c r="G41" t="s">
        <v>2175</v>
      </c>
      <c r="H41" t="s">
        <v>98</v>
      </c>
      <c r="I41">
        <v>2.0</v>
      </c>
      <c r="J41">
        <v>3.0</v>
      </c>
      <c r="K41">
        <v>2.0</v>
      </c>
      <c r="L41" t="s">
        <v>2385</v>
      </c>
      <c r="M41">
        <v>90.0</v>
      </c>
      <c r="N41">
        <v>0.0</v>
      </c>
      <c r="O41" t="s">
        <v>2386</v>
      </c>
      <c r="P41">
        <v>3.0</v>
      </c>
      <c r="Q41" t="s">
        <v>2387</v>
      </c>
      <c r="R41">
        <v>75.0</v>
      </c>
      <c r="S41">
        <v>1.0</v>
      </c>
      <c r="T41" t="s">
        <v>2388</v>
      </c>
      <c r="U41">
        <v>0.0</v>
      </c>
      <c r="V41">
        <v>0.0</v>
      </c>
      <c r="W41">
        <v>0.0</v>
      </c>
      <c r="X41">
        <v>0.0</v>
      </c>
      <c r="Y41">
        <v>1.0</v>
      </c>
      <c r="Z41">
        <v>0.0</v>
      </c>
      <c r="AA41">
        <v>0.0</v>
      </c>
      <c r="AB41">
        <v>0.0</v>
      </c>
      <c r="AC41">
        <v>0.0</v>
      </c>
      <c r="AD41">
        <v>0.0</v>
      </c>
      <c r="AE41" t="s">
        <v>2389</v>
      </c>
      <c r="AF41" t="s">
        <v>2475</v>
      </c>
    </row>
    <row r="42" ht="15.75" customHeight="1">
      <c r="A42" t="s">
        <v>2542</v>
      </c>
      <c r="B42" t="s">
        <v>2543</v>
      </c>
      <c r="C42" t="s">
        <v>572</v>
      </c>
      <c r="D42" t="s">
        <v>2015</v>
      </c>
      <c r="E42" t="s">
        <v>2349</v>
      </c>
      <c r="F42" t="s">
        <v>2384</v>
      </c>
      <c r="G42" t="s">
        <v>2175</v>
      </c>
      <c r="H42" t="s">
        <v>98</v>
      </c>
      <c r="I42">
        <v>3.0</v>
      </c>
      <c r="J42">
        <v>4.0</v>
      </c>
      <c r="K42">
        <v>2.0</v>
      </c>
      <c r="L42" t="s">
        <v>2385</v>
      </c>
      <c r="M42">
        <v>90.0</v>
      </c>
      <c r="N42">
        <v>0.0</v>
      </c>
      <c r="O42" t="s">
        <v>2386</v>
      </c>
      <c r="P42">
        <v>3.0</v>
      </c>
      <c r="Q42" t="s">
        <v>2387</v>
      </c>
      <c r="R42">
        <v>75.0</v>
      </c>
      <c r="S42">
        <v>1.0</v>
      </c>
      <c r="T42" t="s">
        <v>2388</v>
      </c>
      <c r="U42">
        <v>0.0</v>
      </c>
      <c r="V42">
        <v>0.0</v>
      </c>
      <c r="W42">
        <v>0.0</v>
      </c>
      <c r="X42">
        <v>0.0</v>
      </c>
      <c r="Y42">
        <v>1.0</v>
      </c>
      <c r="Z42">
        <v>1.0</v>
      </c>
      <c r="AA42">
        <v>0.0</v>
      </c>
      <c r="AB42">
        <v>0.0</v>
      </c>
      <c r="AC42">
        <v>0.0</v>
      </c>
      <c r="AD42">
        <v>0.0</v>
      </c>
      <c r="AE42" t="s">
        <v>2389</v>
      </c>
      <c r="AF42" t="s">
        <v>2475</v>
      </c>
    </row>
    <row r="43" ht="15.75" customHeight="1">
      <c r="A43" t="s">
        <v>2544</v>
      </c>
      <c r="B43" t="s">
        <v>2545</v>
      </c>
      <c r="C43" t="s">
        <v>575</v>
      </c>
      <c r="D43" t="s">
        <v>2015</v>
      </c>
      <c r="E43" t="s">
        <v>2349</v>
      </c>
      <c r="F43" t="s">
        <v>2384</v>
      </c>
      <c r="G43" t="s">
        <v>2175</v>
      </c>
      <c r="H43" t="s">
        <v>98</v>
      </c>
      <c r="I43">
        <v>3.0</v>
      </c>
      <c r="J43">
        <v>5.0</v>
      </c>
      <c r="K43">
        <v>2.0</v>
      </c>
      <c r="L43" t="s">
        <v>2385</v>
      </c>
      <c r="M43">
        <v>90.0</v>
      </c>
      <c r="N43">
        <v>0.0</v>
      </c>
      <c r="O43" t="s">
        <v>2386</v>
      </c>
      <c r="P43">
        <v>3.0</v>
      </c>
      <c r="Q43" t="s">
        <v>2387</v>
      </c>
      <c r="R43">
        <v>75.0</v>
      </c>
      <c r="S43">
        <v>1.0</v>
      </c>
      <c r="T43" t="s">
        <v>2388</v>
      </c>
      <c r="U43">
        <v>0.0</v>
      </c>
      <c r="V43">
        <v>0.0</v>
      </c>
      <c r="W43">
        <v>0.0</v>
      </c>
      <c r="X43">
        <v>0.0</v>
      </c>
      <c r="Y43">
        <v>2.0</v>
      </c>
      <c r="Z43">
        <v>1.0</v>
      </c>
      <c r="AA43">
        <v>0.0</v>
      </c>
      <c r="AB43">
        <v>0.0</v>
      </c>
      <c r="AC43">
        <v>0.0</v>
      </c>
      <c r="AD43">
        <v>0.0</v>
      </c>
      <c r="AE43" t="s">
        <v>2389</v>
      </c>
      <c r="AF43" t="s">
        <v>2475</v>
      </c>
    </row>
    <row r="44" ht="15.75" customHeight="1">
      <c r="A44" t="s">
        <v>2546</v>
      </c>
      <c r="B44" t="s">
        <v>2547</v>
      </c>
      <c r="C44" t="s">
        <v>578</v>
      </c>
      <c r="D44" t="s">
        <v>2015</v>
      </c>
      <c r="E44" t="s">
        <v>2349</v>
      </c>
      <c r="F44" t="s">
        <v>2384</v>
      </c>
      <c r="G44" t="s">
        <v>2175</v>
      </c>
      <c r="H44" t="s">
        <v>98</v>
      </c>
      <c r="I44">
        <v>4.0</v>
      </c>
      <c r="J44">
        <v>6.0</v>
      </c>
      <c r="K44">
        <v>2.0</v>
      </c>
      <c r="L44" t="s">
        <v>2385</v>
      </c>
      <c r="M44">
        <v>90.0</v>
      </c>
      <c r="N44">
        <v>0.0</v>
      </c>
      <c r="O44" t="s">
        <v>2386</v>
      </c>
      <c r="P44">
        <v>3.0</v>
      </c>
      <c r="Q44" t="s">
        <v>2387</v>
      </c>
      <c r="R44">
        <v>75.0</v>
      </c>
      <c r="S44">
        <v>1.0</v>
      </c>
      <c r="T44" t="s">
        <v>2388</v>
      </c>
      <c r="U44">
        <v>1.0</v>
      </c>
      <c r="V44">
        <v>0.0</v>
      </c>
      <c r="W44">
        <v>0.0</v>
      </c>
      <c r="X44">
        <v>0.0</v>
      </c>
      <c r="Y44">
        <v>3.0</v>
      </c>
      <c r="Z44">
        <v>1.0</v>
      </c>
      <c r="AA44">
        <v>0.0</v>
      </c>
      <c r="AB44">
        <v>0.0</v>
      </c>
      <c r="AC44">
        <v>0.0</v>
      </c>
      <c r="AD44">
        <v>1.0</v>
      </c>
      <c r="AE44" t="s">
        <v>2389</v>
      </c>
      <c r="AF44" t="s">
        <v>2475</v>
      </c>
    </row>
    <row r="45" ht="15.75" customHeight="1">
      <c r="A45" t="s">
        <v>2548</v>
      </c>
      <c r="B45" t="s">
        <v>2549</v>
      </c>
      <c r="C45" t="s">
        <v>581</v>
      </c>
      <c r="D45" t="s">
        <v>2015</v>
      </c>
      <c r="E45" t="s">
        <v>2349</v>
      </c>
      <c r="F45" t="s">
        <v>2384</v>
      </c>
      <c r="G45" t="s">
        <v>2175</v>
      </c>
      <c r="H45" t="s">
        <v>98</v>
      </c>
      <c r="I45">
        <v>5.0</v>
      </c>
      <c r="J45">
        <v>7.0</v>
      </c>
      <c r="K45">
        <v>2.0</v>
      </c>
      <c r="L45" t="s">
        <v>2385</v>
      </c>
      <c r="M45">
        <v>90.0</v>
      </c>
      <c r="N45">
        <v>0.0</v>
      </c>
      <c r="O45" t="s">
        <v>2386</v>
      </c>
      <c r="P45">
        <v>3.0</v>
      </c>
      <c r="Q45" t="s">
        <v>2387</v>
      </c>
      <c r="R45">
        <v>75.0</v>
      </c>
      <c r="S45">
        <v>1.0</v>
      </c>
      <c r="T45" t="s">
        <v>2388</v>
      </c>
      <c r="U45">
        <v>1.0</v>
      </c>
      <c r="V45">
        <v>0.0</v>
      </c>
      <c r="W45">
        <v>0.0</v>
      </c>
      <c r="X45">
        <v>0.0</v>
      </c>
      <c r="Y45">
        <v>4.0</v>
      </c>
      <c r="Z45">
        <v>2.0</v>
      </c>
      <c r="AA45">
        <v>0.0</v>
      </c>
      <c r="AB45">
        <v>0.0</v>
      </c>
      <c r="AC45">
        <v>0.0</v>
      </c>
      <c r="AD45">
        <v>2.0</v>
      </c>
      <c r="AE45" t="s">
        <v>2389</v>
      </c>
      <c r="AF45" t="s">
        <v>2475</v>
      </c>
    </row>
    <row r="46" ht="15.75" customHeight="1">
      <c r="A46" t="s">
        <v>2550</v>
      </c>
      <c r="B46" t="s">
        <v>2551</v>
      </c>
      <c r="C46" t="s">
        <v>584</v>
      </c>
      <c r="D46" t="s">
        <v>2015</v>
      </c>
      <c r="E46" t="s">
        <v>2349</v>
      </c>
      <c r="F46" t="s">
        <v>2384</v>
      </c>
      <c r="G46" t="s">
        <v>2175</v>
      </c>
      <c r="H46" t="s">
        <v>98</v>
      </c>
      <c r="I46">
        <v>6.0</v>
      </c>
      <c r="J46">
        <v>8.0</v>
      </c>
      <c r="K46">
        <v>2.0</v>
      </c>
      <c r="L46" t="s">
        <v>2385</v>
      </c>
      <c r="M46">
        <v>90.0</v>
      </c>
      <c r="N46">
        <v>0.0</v>
      </c>
      <c r="O46" t="s">
        <v>2386</v>
      </c>
      <c r="P46">
        <v>3.0</v>
      </c>
      <c r="Q46" t="s">
        <v>2387</v>
      </c>
      <c r="R46">
        <v>75.0</v>
      </c>
      <c r="S46">
        <v>1.0</v>
      </c>
      <c r="T46" t="s">
        <v>2388</v>
      </c>
      <c r="U46">
        <v>2.0</v>
      </c>
      <c r="V46">
        <v>0.0</v>
      </c>
      <c r="W46">
        <v>0.0</v>
      </c>
      <c r="X46">
        <v>0.0</v>
      </c>
      <c r="Y46">
        <v>5.0</v>
      </c>
      <c r="Z46">
        <v>2.0</v>
      </c>
      <c r="AA46">
        <v>0.0</v>
      </c>
      <c r="AB46">
        <v>0.0</v>
      </c>
      <c r="AC46">
        <v>0.0</v>
      </c>
      <c r="AD46">
        <v>3.0</v>
      </c>
      <c r="AE46" t="s">
        <v>2389</v>
      </c>
      <c r="AF46" t="s">
        <v>2475</v>
      </c>
    </row>
    <row r="47" ht="15.75" customHeight="1">
      <c r="A47" t="s">
        <v>2552</v>
      </c>
      <c r="B47" t="s">
        <v>1817</v>
      </c>
      <c r="C47" t="s">
        <v>569</v>
      </c>
      <c r="D47" t="s">
        <v>1817</v>
      </c>
      <c r="E47" t="s">
        <v>2349</v>
      </c>
      <c r="F47" t="s">
        <v>2378</v>
      </c>
      <c r="G47" t="s">
        <v>2175</v>
      </c>
      <c r="H47" t="s">
        <v>98</v>
      </c>
      <c r="I47">
        <v>1.0</v>
      </c>
      <c r="J47">
        <v>3.0</v>
      </c>
      <c r="K47">
        <v>2.0</v>
      </c>
      <c r="L47" t="s">
        <v>2390</v>
      </c>
      <c r="M47">
        <v>80.0</v>
      </c>
      <c r="N47">
        <v>0.0</v>
      </c>
      <c r="O47" t="s">
        <v>2391</v>
      </c>
      <c r="P47">
        <v>3.0</v>
      </c>
      <c r="Q47" t="s">
        <v>2392</v>
      </c>
      <c r="R47">
        <v>0.0</v>
      </c>
      <c r="S47">
        <v>2.0</v>
      </c>
      <c r="T47" t="s">
        <v>2393</v>
      </c>
      <c r="U47">
        <v>0.0</v>
      </c>
      <c r="V47">
        <v>0.0</v>
      </c>
      <c r="W47">
        <v>0.0</v>
      </c>
      <c r="X47">
        <v>0.0</v>
      </c>
      <c r="Y47">
        <v>1.0</v>
      </c>
      <c r="Z47">
        <v>0.0</v>
      </c>
      <c r="AA47">
        <v>0.0</v>
      </c>
      <c r="AB47">
        <v>0.0</v>
      </c>
      <c r="AC47">
        <v>0.0</v>
      </c>
      <c r="AD47">
        <v>0.0</v>
      </c>
      <c r="AE47" t="s">
        <v>2394</v>
      </c>
      <c r="AF47" t="s">
        <v>2475</v>
      </c>
    </row>
    <row r="48" ht="15.75" customHeight="1">
      <c r="A48" t="s">
        <v>2553</v>
      </c>
      <c r="B48" t="s">
        <v>2554</v>
      </c>
      <c r="C48" t="s">
        <v>572</v>
      </c>
      <c r="D48" t="s">
        <v>1817</v>
      </c>
      <c r="E48" t="s">
        <v>2349</v>
      </c>
      <c r="F48" t="s">
        <v>2378</v>
      </c>
      <c r="G48" t="s">
        <v>2175</v>
      </c>
      <c r="H48" t="s">
        <v>98</v>
      </c>
      <c r="I48">
        <v>1.0</v>
      </c>
      <c r="J48">
        <v>4.0</v>
      </c>
      <c r="K48">
        <v>2.0</v>
      </c>
      <c r="L48" t="s">
        <v>2390</v>
      </c>
      <c r="M48">
        <v>80.0</v>
      </c>
      <c r="N48">
        <v>0.0</v>
      </c>
      <c r="O48" t="s">
        <v>2391</v>
      </c>
      <c r="P48">
        <v>3.0</v>
      </c>
      <c r="Q48" t="s">
        <v>2392</v>
      </c>
      <c r="R48">
        <v>0.0</v>
      </c>
      <c r="S48">
        <v>2.0</v>
      </c>
      <c r="T48" t="s">
        <v>2393</v>
      </c>
      <c r="U48">
        <v>0.0</v>
      </c>
      <c r="V48">
        <v>0.0</v>
      </c>
      <c r="W48">
        <v>0.0</v>
      </c>
      <c r="X48">
        <v>0.0</v>
      </c>
      <c r="Y48">
        <v>1.0</v>
      </c>
      <c r="Z48">
        <v>1.0</v>
      </c>
      <c r="AA48">
        <v>0.0</v>
      </c>
      <c r="AB48">
        <v>0.0</v>
      </c>
      <c r="AC48">
        <v>0.0</v>
      </c>
      <c r="AD48">
        <v>0.0</v>
      </c>
      <c r="AE48" t="s">
        <v>2394</v>
      </c>
      <c r="AF48" t="s">
        <v>2475</v>
      </c>
    </row>
    <row r="49" ht="15.75" customHeight="1">
      <c r="A49" t="s">
        <v>2555</v>
      </c>
      <c r="B49" t="s">
        <v>2556</v>
      </c>
      <c r="C49" t="s">
        <v>575</v>
      </c>
      <c r="D49" t="s">
        <v>1817</v>
      </c>
      <c r="E49" t="s">
        <v>2349</v>
      </c>
      <c r="F49" t="s">
        <v>2378</v>
      </c>
      <c r="G49" t="s">
        <v>2175</v>
      </c>
      <c r="H49" t="s">
        <v>98</v>
      </c>
      <c r="I49">
        <v>2.0</v>
      </c>
      <c r="J49">
        <v>5.0</v>
      </c>
      <c r="K49">
        <v>2.0</v>
      </c>
      <c r="L49" t="s">
        <v>2390</v>
      </c>
      <c r="M49">
        <v>80.0</v>
      </c>
      <c r="N49">
        <v>0.0</v>
      </c>
      <c r="O49" t="s">
        <v>2391</v>
      </c>
      <c r="P49">
        <v>3.0</v>
      </c>
      <c r="Q49" t="s">
        <v>2392</v>
      </c>
      <c r="R49">
        <v>0.0</v>
      </c>
      <c r="S49">
        <v>2.0</v>
      </c>
      <c r="T49" t="s">
        <v>2393</v>
      </c>
      <c r="U49">
        <v>0.0</v>
      </c>
      <c r="V49">
        <v>0.0</v>
      </c>
      <c r="W49">
        <v>0.0</v>
      </c>
      <c r="X49">
        <v>0.0</v>
      </c>
      <c r="Y49">
        <v>2.0</v>
      </c>
      <c r="Z49">
        <v>1.0</v>
      </c>
      <c r="AA49">
        <v>0.0</v>
      </c>
      <c r="AB49">
        <v>0.0</v>
      </c>
      <c r="AC49">
        <v>0.0</v>
      </c>
      <c r="AD49">
        <v>0.0</v>
      </c>
      <c r="AE49" t="s">
        <v>2394</v>
      </c>
      <c r="AF49" t="s">
        <v>2475</v>
      </c>
    </row>
    <row r="50" ht="15.75" customHeight="1">
      <c r="A50" t="s">
        <v>2557</v>
      </c>
      <c r="B50" t="s">
        <v>2558</v>
      </c>
      <c r="C50" t="s">
        <v>578</v>
      </c>
      <c r="D50" t="s">
        <v>1817</v>
      </c>
      <c r="E50" t="s">
        <v>2349</v>
      </c>
      <c r="F50" t="s">
        <v>2378</v>
      </c>
      <c r="G50" t="s">
        <v>2175</v>
      </c>
      <c r="H50" t="s">
        <v>98</v>
      </c>
      <c r="I50">
        <v>2.0</v>
      </c>
      <c r="J50">
        <v>6.0</v>
      </c>
      <c r="K50">
        <v>2.0</v>
      </c>
      <c r="L50" t="s">
        <v>2390</v>
      </c>
      <c r="M50">
        <v>80.0</v>
      </c>
      <c r="N50">
        <v>0.0</v>
      </c>
      <c r="O50" t="s">
        <v>2391</v>
      </c>
      <c r="P50">
        <v>3.0</v>
      </c>
      <c r="Q50" t="s">
        <v>2392</v>
      </c>
      <c r="R50">
        <v>0.0</v>
      </c>
      <c r="S50">
        <v>2.0</v>
      </c>
      <c r="T50" t="s">
        <v>2393</v>
      </c>
      <c r="U50">
        <v>0.0</v>
      </c>
      <c r="V50">
        <v>0.0</v>
      </c>
      <c r="W50">
        <v>0.0</v>
      </c>
      <c r="X50">
        <v>0.0</v>
      </c>
      <c r="Y50">
        <v>3.0</v>
      </c>
      <c r="Z50">
        <v>1.0</v>
      </c>
      <c r="AA50">
        <v>1.0</v>
      </c>
      <c r="AB50">
        <v>0.0</v>
      </c>
      <c r="AC50">
        <v>0.0</v>
      </c>
      <c r="AD50">
        <v>1.0</v>
      </c>
      <c r="AE50" t="s">
        <v>2394</v>
      </c>
      <c r="AF50" t="s">
        <v>2475</v>
      </c>
    </row>
    <row r="51" ht="15.75" customHeight="1">
      <c r="A51" t="s">
        <v>2559</v>
      </c>
      <c r="B51" t="s">
        <v>2560</v>
      </c>
      <c r="C51" t="s">
        <v>581</v>
      </c>
      <c r="D51" t="s">
        <v>1817</v>
      </c>
      <c r="E51" t="s">
        <v>2349</v>
      </c>
      <c r="F51" t="s">
        <v>2378</v>
      </c>
      <c r="G51" t="s">
        <v>2175</v>
      </c>
      <c r="H51" t="s">
        <v>98</v>
      </c>
      <c r="I51">
        <v>2.0</v>
      </c>
      <c r="J51">
        <v>7.0</v>
      </c>
      <c r="K51">
        <v>2.0</v>
      </c>
      <c r="L51" t="s">
        <v>2390</v>
      </c>
      <c r="M51">
        <v>80.0</v>
      </c>
      <c r="N51">
        <v>0.0</v>
      </c>
      <c r="O51" t="s">
        <v>2391</v>
      </c>
      <c r="P51">
        <v>3.0</v>
      </c>
      <c r="Q51" t="s">
        <v>2392</v>
      </c>
      <c r="R51">
        <v>0.0</v>
      </c>
      <c r="S51">
        <v>2.0</v>
      </c>
      <c r="T51" t="s">
        <v>2393</v>
      </c>
      <c r="U51">
        <v>0.0</v>
      </c>
      <c r="V51">
        <v>0.0</v>
      </c>
      <c r="W51">
        <v>0.0</v>
      </c>
      <c r="X51">
        <v>0.0</v>
      </c>
      <c r="Y51">
        <v>4.0</v>
      </c>
      <c r="Z51">
        <v>2.0</v>
      </c>
      <c r="AA51">
        <v>1.0</v>
      </c>
      <c r="AB51">
        <v>0.0</v>
      </c>
      <c r="AC51">
        <v>0.0</v>
      </c>
      <c r="AD51">
        <v>2.0</v>
      </c>
      <c r="AE51" t="s">
        <v>2394</v>
      </c>
      <c r="AF51" t="s">
        <v>2475</v>
      </c>
    </row>
    <row r="52" ht="15.75" customHeight="1">
      <c r="A52" t="s">
        <v>2561</v>
      </c>
      <c r="B52" t="s">
        <v>2562</v>
      </c>
      <c r="C52" t="s">
        <v>584</v>
      </c>
      <c r="D52" t="s">
        <v>1817</v>
      </c>
      <c r="E52" t="s">
        <v>2349</v>
      </c>
      <c r="F52" t="s">
        <v>2378</v>
      </c>
      <c r="G52" t="s">
        <v>2175</v>
      </c>
      <c r="H52" t="s">
        <v>98</v>
      </c>
      <c r="I52">
        <v>3.0</v>
      </c>
      <c r="J52">
        <v>8.0</v>
      </c>
      <c r="K52">
        <v>2.0</v>
      </c>
      <c r="L52" t="s">
        <v>2390</v>
      </c>
      <c r="M52">
        <v>80.0</v>
      </c>
      <c r="N52">
        <v>0.0</v>
      </c>
      <c r="O52" t="s">
        <v>2391</v>
      </c>
      <c r="P52">
        <v>3.0</v>
      </c>
      <c r="Q52" t="s">
        <v>2392</v>
      </c>
      <c r="R52">
        <v>0.0</v>
      </c>
      <c r="S52">
        <v>2.0</v>
      </c>
      <c r="T52" t="s">
        <v>2393</v>
      </c>
      <c r="U52">
        <v>0.0</v>
      </c>
      <c r="V52">
        <v>0.0</v>
      </c>
      <c r="W52">
        <v>0.0</v>
      </c>
      <c r="X52">
        <v>0.0</v>
      </c>
      <c r="Y52">
        <v>5.0</v>
      </c>
      <c r="Z52">
        <v>2.0</v>
      </c>
      <c r="AA52">
        <v>2.0</v>
      </c>
      <c r="AB52">
        <v>0.0</v>
      </c>
      <c r="AC52">
        <v>0.0</v>
      </c>
      <c r="AD52">
        <v>3.0</v>
      </c>
      <c r="AE52" t="s">
        <v>2394</v>
      </c>
      <c r="AF52" t="s">
        <v>2475</v>
      </c>
    </row>
    <row r="53" ht="15.75" customHeight="1">
      <c r="A53" t="s">
        <v>2563</v>
      </c>
      <c r="B53" t="s">
        <v>2022</v>
      </c>
      <c r="C53" t="s">
        <v>569</v>
      </c>
      <c r="D53" t="s">
        <v>2022</v>
      </c>
      <c r="E53" t="s">
        <v>2349</v>
      </c>
      <c r="F53" t="s">
        <v>2395</v>
      </c>
      <c r="G53" t="s">
        <v>2175</v>
      </c>
      <c r="H53" t="s">
        <v>98</v>
      </c>
      <c r="I53">
        <v>3.0</v>
      </c>
      <c r="J53">
        <v>4.0</v>
      </c>
      <c r="K53">
        <v>2.0</v>
      </c>
      <c r="L53" t="s">
        <v>2396</v>
      </c>
      <c r="M53">
        <v>110.0</v>
      </c>
      <c r="N53">
        <v>0.0</v>
      </c>
      <c r="O53" t="s">
        <v>2380</v>
      </c>
      <c r="P53">
        <v>3.0</v>
      </c>
      <c r="Q53" t="s">
        <v>2397</v>
      </c>
      <c r="R53">
        <v>0.0</v>
      </c>
      <c r="S53">
        <v>1.0</v>
      </c>
      <c r="T53" t="s">
        <v>2398</v>
      </c>
      <c r="U53">
        <v>0.0</v>
      </c>
      <c r="V53">
        <v>0.0</v>
      </c>
      <c r="W53">
        <v>0.0</v>
      </c>
      <c r="X53">
        <v>0.0</v>
      </c>
      <c r="Y53">
        <v>1.0</v>
      </c>
      <c r="Z53">
        <v>0.0</v>
      </c>
      <c r="AA53">
        <v>0.0</v>
      </c>
      <c r="AB53">
        <v>0.0</v>
      </c>
      <c r="AC53">
        <v>0.0</v>
      </c>
      <c r="AD53">
        <v>0.0</v>
      </c>
      <c r="AE53" t="s">
        <v>2399</v>
      </c>
      <c r="AF53" t="s">
        <v>2475</v>
      </c>
    </row>
    <row r="54" ht="15.75" customHeight="1">
      <c r="A54" t="s">
        <v>2564</v>
      </c>
      <c r="B54" t="s">
        <v>2565</v>
      </c>
      <c r="C54" t="s">
        <v>572</v>
      </c>
      <c r="D54" t="s">
        <v>2022</v>
      </c>
      <c r="E54" t="s">
        <v>2349</v>
      </c>
      <c r="F54" t="s">
        <v>2395</v>
      </c>
      <c r="G54" t="s">
        <v>2175</v>
      </c>
      <c r="H54" t="s">
        <v>98</v>
      </c>
      <c r="I54">
        <v>4.0</v>
      </c>
      <c r="J54">
        <v>5.0</v>
      </c>
      <c r="K54">
        <v>2.0</v>
      </c>
      <c r="L54" t="s">
        <v>2396</v>
      </c>
      <c r="M54">
        <v>110.0</v>
      </c>
      <c r="N54">
        <v>0.0</v>
      </c>
      <c r="O54" t="s">
        <v>2380</v>
      </c>
      <c r="P54">
        <v>3.0</v>
      </c>
      <c r="Q54" t="s">
        <v>2397</v>
      </c>
      <c r="R54">
        <v>0.0</v>
      </c>
      <c r="S54">
        <v>1.0</v>
      </c>
      <c r="T54" t="s">
        <v>2398</v>
      </c>
      <c r="U54">
        <v>0.0</v>
      </c>
      <c r="V54">
        <v>0.0</v>
      </c>
      <c r="W54">
        <v>0.0</v>
      </c>
      <c r="X54">
        <v>0.0</v>
      </c>
      <c r="Y54">
        <v>1.0</v>
      </c>
      <c r="Z54">
        <v>1.0</v>
      </c>
      <c r="AA54">
        <v>0.0</v>
      </c>
      <c r="AB54">
        <v>0.0</v>
      </c>
      <c r="AC54">
        <v>0.0</v>
      </c>
      <c r="AD54">
        <v>0.0</v>
      </c>
      <c r="AE54" t="s">
        <v>2399</v>
      </c>
      <c r="AF54" t="s">
        <v>2475</v>
      </c>
    </row>
    <row r="55" ht="15.75" customHeight="1">
      <c r="A55" t="s">
        <v>2566</v>
      </c>
      <c r="B55" t="s">
        <v>2567</v>
      </c>
      <c r="C55" t="s">
        <v>575</v>
      </c>
      <c r="D55" t="s">
        <v>2022</v>
      </c>
      <c r="E55" t="s">
        <v>2349</v>
      </c>
      <c r="F55" t="s">
        <v>2395</v>
      </c>
      <c r="G55" t="s">
        <v>2175</v>
      </c>
      <c r="H55" t="s">
        <v>98</v>
      </c>
      <c r="I55">
        <v>5.0</v>
      </c>
      <c r="J55">
        <v>6.0</v>
      </c>
      <c r="K55">
        <v>2.0</v>
      </c>
      <c r="L55" t="s">
        <v>2396</v>
      </c>
      <c r="M55">
        <v>110.0</v>
      </c>
      <c r="N55">
        <v>0.0</v>
      </c>
      <c r="O55" t="s">
        <v>2380</v>
      </c>
      <c r="P55">
        <v>3.0</v>
      </c>
      <c r="Q55" t="s">
        <v>2397</v>
      </c>
      <c r="R55">
        <v>0.0</v>
      </c>
      <c r="S55">
        <v>1.0</v>
      </c>
      <c r="T55" t="s">
        <v>2398</v>
      </c>
      <c r="U55">
        <v>0.0</v>
      </c>
      <c r="V55">
        <v>0.0</v>
      </c>
      <c r="W55">
        <v>0.0</v>
      </c>
      <c r="X55">
        <v>0.0</v>
      </c>
      <c r="Y55">
        <v>2.0</v>
      </c>
      <c r="Z55">
        <v>1.0</v>
      </c>
      <c r="AA55">
        <v>0.0</v>
      </c>
      <c r="AB55">
        <v>0.0</v>
      </c>
      <c r="AC55">
        <v>0.0</v>
      </c>
      <c r="AD55">
        <v>0.0</v>
      </c>
      <c r="AE55" t="s">
        <v>2399</v>
      </c>
      <c r="AF55" t="s">
        <v>2475</v>
      </c>
    </row>
    <row r="56" ht="15.75" customHeight="1">
      <c r="A56" t="s">
        <v>2568</v>
      </c>
      <c r="B56" t="s">
        <v>2569</v>
      </c>
      <c r="C56" t="s">
        <v>578</v>
      </c>
      <c r="D56" t="s">
        <v>2022</v>
      </c>
      <c r="E56" t="s">
        <v>2349</v>
      </c>
      <c r="F56" t="s">
        <v>2395</v>
      </c>
      <c r="G56" t="s">
        <v>2175</v>
      </c>
      <c r="H56" t="s">
        <v>98</v>
      </c>
      <c r="I56">
        <v>6.0</v>
      </c>
      <c r="J56">
        <v>8.0</v>
      </c>
      <c r="K56">
        <v>2.0</v>
      </c>
      <c r="L56" t="s">
        <v>2396</v>
      </c>
      <c r="M56">
        <v>110.0</v>
      </c>
      <c r="N56">
        <v>0.0</v>
      </c>
      <c r="O56" t="s">
        <v>2380</v>
      </c>
      <c r="P56">
        <v>3.0</v>
      </c>
      <c r="Q56" t="s">
        <v>2397</v>
      </c>
      <c r="R56">
        <v>0.0</v>
      </c>
      <c r="S56">
        <v>1.0</v>
      </c>
      <c r="T56" t="s">
        <v>2398</v>
      </c>
      <c r="U56">
        <v>1.0</v>
      </c>
      <c r="V56">
        <v>0.0</v>
      </c>
      <c r="W56">
        <v>0.0</v>
      </c>
      <c r="X56">
        <v>0.0</v>
      </c>
      <c r="Y56">
        <v>3.0</v>
      </c>
      <c r="Z56">
        <v>1.0</v>
      </c>
      <c r="AA56">
        <v>0.0</v>
      </c>
      <c r="AB56">
        <v>0.0</v>
      </c>
      <c r="AC56">
        <v>0.0</v>
      </c>
      <c r="AD56">
        <v>1.0</v>
      </c>
      <c r="AE56" t="s">
        <v>2399</v>
      </c>
      <c r="AF56" t="s">
        <v>2475</v>
      </c>
    </row>
    <row r="57" ht="15.75" customHeight="1">
      <c r="A57" t="s">
        <v>2570</v>
      </c>
      <c r="B57" t="s">
        <v>2571</v>
      </c>
      <c r="C57" t="s">
        <v>581</v>
      </c>
      <c r="D57" t="s">
        <v>2022</v>
      </c>
      <c r="E57" t="s">
        <v>2349</v>
      </c>
      <c r="F57" t="s">
        <v>2395</v>
      </c>
      <c r="G57" t="s">
        <v>2175</v>
      </c>
      <c r="H57" t="s">
        <v>98</v>
      </c>
      <c r="I57">
        <v>7.0</v>
      </c>
      <c r="J57">
        <v>9.0</v>
      </c>
      <c r="K57">
        <v>2.0</v>
      </c>
      <c r="L57" t="s">
        <v>2396</v>
      </c>
      <c r="M57">
        <v>110.0</v>
      </c>
      <c r="N57">
        <v>0.0</v>
      </c>
      <c r="O57" t="s">
        <v>2380</v>
      </c>
      <c r="P57">
        <v>3.0</v>
      </c>
      <c r="Q57" t="s">
        <v>2397</v>
      </c>
      <c r="R57">
        <v>0.0</v>
      </c>
      <c r="S57">
        <v>1.0</v>
      </c>
      <c r="T57" t="s">
        <v>2398</v>
      </c>
      <c r="U57">
        <v>1.0</v>
      </c>
      <c r="V57">
        <v>0.0</v>
      </c>
      <c r="W57">
        <v>0.0</v>
      </c>
      <c r="X57">
        <v>0.0</v>
      </c>
      <c r="Y57">
        <v>4.0</v>
      </c>
      <c r="Z57">
        <v>2.0</v>
      </c>
      <c r="AA57">
        <v>0.0</v>
      </c>
      <c r="AB57">
        <v>0.0</v>
      </c>
      <c r="AC57">
        <v>0.0</v>
      </c>
      <c r="AD57">
        <v>2.0</v>
      </c>
      <c r="AE57" t="s">
        <v>2399</v>
      </c>
      <c r="AF57" t="s">
        <v>2475</v>
      </c>
    </row>
    <row r="58" ht="15.75" customHeight="1">
      <c r="A58" t="s">
        <v>2572</v>
      </c>
      <c r="B58" t="s">
        <v>2573</v>
      </c>
      <c r="C58" t="s">
        <v>584</v>
      </c>
      <c r="D58" t="s">
        <v>2022</v>
      </c>
      <c r="E58" t="s">
        <v>2349</v>
      </c>
      <c r="F58" t="s">
        <v>2395</v>
      </c>
      <c r="G58" t="s">
        <v>2175</v>
      </c>
      <c r="H58" t="s">
        <v>98</v>
      </c>
      <c r="I58">
        <v>8.0</v>
      </c>
      <c r="J58">
        <v>11.0</v>
      </c>
      <c r="K58">
        <v>2.0</v>
      </c>
      <c r="L58" t="s">
        <v>2396</v>
      </c>
      <c r="M58">
        <v>110.0</v>
      </c>
      <c r="N58">
        <v>0.0</v>
      </c>
      <c r="O58" t="s">
        <v>2380</v>
      </c>
      <c r="P58">
        <v>3.0</v>
      </c>
      <c r="Q58" t="s">
        <v>2397</v>
      </c>
      <c r="R58">
        <v>0.0</v>
      </c>
      <c r="S58">
        <v>1.0</v>
      </c>
      <c r="T58" t="s">
        <v>2398</v>
      </c>
      <c r="U58">
        <v>2.0</v>
      </c>
      <c r="V58">
        <v>0.0</v>
      </c>
      <c r="W58">
        <v>0.0</v>
      </c>
      <c r="X58">
        <v>0.0</v>
      </c>
      <c r="Y58">
        <v>5.0</v>
      </c>
      <c r="Z58">
        <v>2.0</v>
      </c>
      <c r="AA58">
        <v>0.0</v>
      </c>
      <c r="AB58">
        <v>0.0</v>
      </c>
      <c r="AC58">
        <v>0.0</v>
      </c>
      <c r="AD58">
        <v>3.0</v>
      </c>
      <c r="AE58" t="s">
        <v>2399</v>
      </c>
      <c r="AF58" t="s">
        <v>2475</v>
      </c>
    </row>
    <row r="59" ht="15.75" customHeight="1">
      <c r="A59" t="s">
        <v>2574</v>
      </c>
      <c r="B59" t="s">
        <v>1862</v>
      </c>
      <c r="C59" t="s">
        <v>569</v>
      </c>
      <c r="D59" t="s">
        <v>1862</v>
      </c>
      <c r="E59" t="s">
        <v>2400</v>
      </c>
      <c r="F59" t="s">
        <v>2367</v>
      </c>
      <c r="G59" t="s">
        <v>573</v>
      </c>
      <c r="H59" t="s">
        <v>94</v>
      </c>
      <c r="I59">
        <v>4.0</v>
      </c>
      <c r="J59">
        <v>6.0</v>
      </c>
      <c r="K59">
        <v>2.0</v>
      </c>
      <c r="L59" t="s">
        <v>2401</v>
      </c>
      <c r="M59">
        <v>115.0</v>
      </c>
      <c r="N59">
        <v>0.0</v>
      </c>
      <c r="O59" t="s">
        <v>2402</v>
      </c>
      <c r="P59">
        <v>3.0</v>
      </c>
      <c r="Q59" t="s">
        <v>2403</v>
      </c>
      <c r="R59">
        <v>95.0</v>
      </c>
      <c r="S59">
        <v>1.0</v>
      </c>
      <c r="T59" t="s">
        <v>2404</v>
      </c>
      <c r="U59">
        <v>0.0</v>
      </c>
      <c r="V59">
        <v>0.0</v>
      </c>
      <c r="W59">
        <v>1.0</v>
      </c>
      <c r="X59">
        <v>0.0</v>
      </c>
      <c r="Y59">
        <v>0.0</v>
      </c>
      <c r="Z59">
        <v>0.0</v>
      </c>
      <c r="AA59">
        <v>0.0</v>
      </c>
      <c r="AB59">
        <v>0.0</v>
      </c>
      <c r="AC59">
        <v>0.0</v>
      </c>
      <c r="AD59">
        <v>0.0</v>
      </c>
      <c r="AE59" t="s">
        <v>2405</v>
      </c>
      <c r="AF59" t="s">
        <v>2475</v>
      </c>
    </row>
    <row r="60" ht="15.75" customHeight="1">
      <c r="A60" t="s">
        <v>2575</v>
      </c>
      <c r="B60" t="s">
        <v>2576</v>
      </c>
      <c r="C60" t="s">
        <v>572</v>
      </c>
      <c r="D60" t="s">
        <v>1862</v>
      </c>
      <c r="E60" t="s">
        <v>2400</v>
      </c>
      <c r="F60" t="s">
        <v>2367</v>
      </c>
      <c r="G60" t="s">
        <v>573</v>
      </c>
      <c r="H60" t="s">
        <v>94</v>
      </c>
      <c r="I60">
        <v>5.0</v>
      </c>
      <c r="J60">
        <v>8.0</v>
      </c>
      <c r="K60">
        <v>2.0</v>
      </c>
      <c r="L60" t="s">
        <v>2401</v>
      </c>
      <c r="M60">
        <v>115.0</v>
      </c>
      <c r="N60">
        <v>0.0</v>
      </c>
      <c r="O60" t="s">
        <v>2402</v>
      </c>
      <c r="P60">
        <v>3.0</v>
      </c>
      <c r="Q60" t="s">
        <v>2403</v>
      </c>
      <c r="R60">
        <v>95.0</v>
      </c>
      <c r="S60">
        <v>1.0</v>
      </c>
      <c r="T60" t="s">
        <v>2404</v>
      </c>
      <c r="U60">
        <v>0.0</v>
      </c>
      <c r="V60">
        <v>0.0</v>
      </c>
      <c r="W60">
        <v>1.0</v>
      </c>
      <c r="X60">
        <v>0.0</v>
      </c>
      <c r="Y60">
        <v>0.0</v>
      </c>
      <c r="Z60">
        <v>0.0</v>
      </c>
      <c r="AA60">
        <v>1.0</v>
      </c>
      <c r="AB60">
        <v>0.0</v>
      </c>
      <c r="AC60">
        <v>0.0</v>
      </c>
      <c r="AD60">
        <v>0.0</v>
      </c>
      <c r="AE60" t="s">
        <v>2405</v>
      </c>
      <c r="AF60" t="s">
        <v>2475</v>
      </c>
    </row>
    <row r="61" ht="15.75" customHeight="1">
      <c r="A61" t="s">
        <v>2577</v>
      </c>
      <c r="B61" t="s">
        <v>2578</v>
      </c>
      <c r="C61" t="s">
        <v>575</v>
      </c>
      <c r="D61" t="s">
        <v>1862</v>
      </c>
      <c r="E61" t="s">
        <v>2400</v>
      </c>
      <c r="F61" t="s">
        <v>2367</v>
      </c>
      <c r="G61" t="s">
        <v>573</v>
      </c>
      <c r="H61" t="s">
        <v>94</v>
      </c>
      <c r="I61">
        <v>6.0</v>
      </c>
      <c r="J61">
        <v>9.0</v>
      </c>
      <c r="K61">
        <v>2.0</v>
      </c>
      <c r="L61" t="s">
        <v>2401</v>
      </c>
      <c r="M61">
        <v>115.0</v>
      </c>
      <c r="N61">
        <v>0.0</v>
      </c>
      <c r="O61" t="s">
        <v>2402</v>
      </c>
      <c r="P61">
        <v>3.0</v>
      </c>
      <c r="Q61" t="s">
        <v>2403</v>
      </c>
      <c r="R61">
        <v>95.0</v>
      </c>
      <c r="S61">
        <v>1.0</v>
      </c>
      <c r="T61" t="s">
        <v>2404</v>
      </c>
      <c r="U61">
        <v>0.0</v>
      </c>
      <c r="V61">
        <v>0.0</v>
      </c>
      <c r="W61">
        <v>2.0</v>
      </c>
      <c r="X61">
        <v>0.0</v>
      </c>
      <c r="Y61">
        <v>0.0</v>
      </c>
      <c r="Z61">
        <v>0.0</v>
      </c>
      <c r="AA61">
        <v>1.0</v>
      </c>
      <c r="AB61">
        <v>1.0</v>
      </c>
      <c r="AC61">
        <v>0.0</v>
      </c>
      <c r="AD61">
        <v>0.0</v>
      </c>
      <c r="AE61" t="s">
        <v>2405</v>
      </c>
      <c r="AF61" t="s">
        <v>2475</v>
      </c>
    </row>
    <row r="62" ht="15.75" customHeight="1">
      <c r="A62" t="s">
        <v>2579</v>
      </c>
      <c r="B62" t="s">
        <v>2580</v>
      </c>
      <c r="C62" t="s">
        <v>578</v>
      </c>
      <c r="D62" t="s">
        <v>1862</v>
      </c>
      <c r="E62" t="s">
        <v>2400</v>
      </c>
      <c r="F62" t="s">
        <v>2367</v>
      </c>
      <c r="G62" t="s">
        <v>573</v>
      </c>
      <c r="H62" t="s">
        <v>94</v>
      </c>
      <c r="I62">
        <v>8.0</v>
      </c>
      <c r="J62">
        <v>11.0</v>
      </c>
      <c r="K62">
        <v>2.0</v>
      </c>
      <c r="L62" t="s">
        <v>2401</v>
      </c>
      <c r="M62">
        <v>115.0</v>
      </c>
      <c r="N62">
        <v>0.0</v>
      </c>
      <c r="O62" t="s">
        <v>2402</v>
      </c>
      <c r="P62">
        <v>3.0</v>
      </c>
      <c r="Q62" t="s">
        <v>2403</v>
      </c>
      <c r="R62">
        <v>95.0</v>
      </c>
      <c r="S62">
        <v>1.0</v>
      </c>
      <c r="T62" t="s">
        <v>2404</v>
      </c>
      <c r="U62">
        <v>1.0</v>
      </c>
      <c r="V62">
        <v>0.0</v>
      </c>
      <c r="W62">
        <v>3.0</v>
      </c>
      <c r="X62">
        <v>0.0</v>
      </c>
      <c r="Y62">
        <v>0.0</v>
      </c>
      <c r="Z62">
        <v>0.0</v>
      </c>
      <c r="AA62">
        <v>1.0</v>
      </c>
      <c r="AB62">
        <v>2.0</v>
      </c>
      <c r="AC62">
        <v>0.0</v>
      </c>
      <c r="AD62">
        <v>0.0</v>
      </c>
      <c r="AE62" t="s">
        <v>2405</v>
      </c>
      <c r="AF62" t="s">
        <v>2475</v>
      </c>
    </row>
    <row r="63" ht="15.75" customHeight="1">
      <c r="A63" t="s">
        <v>2581</v>
      </c>
      <c r="B63" t="s">
        <v>2582</v>
      </c>
      <c r="C63" t="s">
        <v>581</v>
      </c>
      <c r="D63" t="s">
        <v>1862</v>
      </c>
      <c r="E63" t="s">
        <v>2400</v>
      </c>
      <c r="F63" t="s">
        <v>2367</v>
      </c>
      <c r="G63" t="s">
        <v>573</v>
      </c>
      <c r="H63" t="s">
        <v>94</v>
      </c>
      <c r="I63">
        <v>9.0</v>
      </c>
      <c r="J63">
        <v>14.0</v>
      </c>
      <c r="K63">
        <v>2.0</v>
      </c>
      <c r="L63" t="s">
        <v>2401</v>
      </c>
      <c r="M63">
        <v>115.0</v>
      </c>
      <c r="N63">
        <v>0.0</v>
      </c>
      <c r="O63" t="s">
        <v>2402</v>
      </c>
      <c r="P63">
        <v>3.0</v>
      </c>
      <c r="Q63" t="s">
        <v>2403</v>
      </c>
      <c r="R63">
        <v>95.0</v>
      </c>
      <c r="S63">
        <v>1.0</v>
      </c>
      <c r="T63" t="s">
        <v>2404</v>
      </c>
      <c r="U63">
        <v>1.0</v>
      </c>
      <c r="V63">
        <v>0.0</v>
      </c>
      <c r="W63">
        <v>4.0</v>
      </c>
      <c r="X63">
        <v>0.0</v>
      </c>
      <c r="Y63">
        <v>0.0</v>
      </c>
      <c r="Z63">
        <v>0.0</v>
      </c>
      <c r="AA63">
        <v>2.0</v>
      </c>
      <c r="AB63">
        <v>3.0</v>
      </c>
      <c r="AC63">
        <v>0.0</v>
      </c>
      <c r="AD63">
        <v>0.0</v>
      </c>
      <c r="AE63" t="s">
        <v>2405</v>
      </c>
      <c r="AF63" t="s">
        <v>2475</v>
      </c>
    </row>
    <row r="64" ht="15.75" customHeight="1">
      <c r="A64" t="s">
        <v>2583</v>
      </c>
      <c r="B64" t="s">
        <v>2584</v>
      </c>
      <c r="C64" t="s">
        <v>584</v>
      </c>
      <c r="D64" t="s">
        <v>1862</v>
      </c>
      <c r="E64" t="s">
        <v>2400</v>
      </c>
      <c r="F64" t="s">
        <v>2367</v>
      </c>
      <c r="G64" t="s">
        <v>573</v>
      </c>
      <c r="H64" t="s">
        <v>94</v>
      </c>
      <c r="I64">
        <v>11.0</v>
      </c>
      <c r="J64">
        <v>17.0</v>
      </c>
      <c r="K64">
        <v>2.0</v>
      </c>
      <c r="L64" t="s">
        <v>2401</v>
      </c>
      <c r="M64">
        <v>115.0</v>
      </c>
      <c r="N64">
        <v>0.0</v>
      </c>
      <c r="O64" t="s">
        <v>2402</v>
      </c>
      <c r="P64">
        <v>3.0</v>
      </c>
      <c r="Q64" t="s">
        <v>2403</v>
      </c>
      <c r="R64">
        <v>95.0</v>
      </c>
      <c r="S64">
        <v>1.0</v>
      </c>
      <c r="T64" t="s">
        <v>2404</v>
      </c>
      <c r="U64">
        <v>2.0</v>
      </c>
      <c r="V64">
        <v>0.0</v>
      </c>
      <c r="W64">
        <v>5.0</v>
      </c>
      <c r="X64">
        <v>0.0</v>
      </c>
      <c r="Y64">
        <v>0.0</v>
      </c>
      <c r="Z64">
        <v>0.0</v>
      </c>
      <c r="AA64">
        <v>2.0</v>
      </c>
      <c r="AB64">
        <v>4.0</v>
      </c>
      <c r="AC64">
        <v>0.0</v>
      </c>
      <c r="AD64">
        <v>0.0</v>
      </c>
      <c r="AE64" t="s">
        <v>2405</v>
      </c>
      <c r="AF64" t="s">
        <v>2475</v>
      </c>
    </row>
    <row r="65" ht="15.75" customHeight="1">
      <c r="A65" t="s">
        <v>2585</v>
      </c>
      <c r="B65" t="s">
        <v>1998</v>
      </c>
      <c r="C65" t="s">
        <v>569</v>
      </c>
      <c r="D65" t="s">
        <v>1998</v>
      </c>
      <c r="E65" t="s">
        <v>2400</v>
      </c>
      <c r="F65" t="s">
        <v>2406</v>
      </c>
      <c r="G65" t="s">
        <v>570</v>
      </c>
      <c r="H65" t="s">
        <v>89</v>
      </c>
      <c r="I65">
        <v>5.0</v>
      </c>
      <c r="J65">
        <v>7.0</v>
      </c>
      <c r="K65">
        <v>2.0</v>
      </c>
      <c r="L65" t="s">
        <v>2407</v>
      </c>
      <c r="M65">
        <v>120.0</v>
      </c>
      <c r="N65">
        <v>0.0</v>
      </c>
      <c r="O65" t="s">
        <v>2408</v>
      </c>
      <c r="P65">
        <v>3.0</v>
      </c>
      <c r="Q65" t="s">
        <v>2409</v>
      </c>
      <c r="R65">
        <v>135.0</v>
      </c>
      <c r="S65">
        <v>1.0</v>
      </c>
      <c r="T65" t="s">
        <v>2410</v>
      </c>
      <c r="U65">
        <v>0.0</v>
      </c>
      <c r="V65">
        <v>1.0</v>
      </c>
      <c r="W65">
        <v>0.0</v>
      </c>
      <c r="X65">
        <v>0.0</v>
      </c>
      <c r="Y65">
        <v>0.0</v>
      </c>
      <c r="Z65">
        <v>0.0</v>
      </c>
      <c r="AA65">
        <v>0.0</v>
      </c>
      <c r="AB65">
        <v>0.0</v>
      </c>
      <c r="AC65">
        <v>0.0</v>
      </c>
      <c r="AD65">
        <v>0.0</v>
      </c>
      <c r="AE65" t="s">
        <v>2411</v>
      </c>
      <c r="AF65" t="s">
        <v>2475</v>
      </c>
    </row>
    <row r="66" ht="15.75" customHeight="1">
      <c r="A66" t="s">
        <v>2586</v>
      </c>
      <c r="B66" t="s">
        <v>2587</v>
      </c>
      <c r="C66" t="s">
        <v>572</v>
      </c>
      <c r="D66" t="s">
        <v>1998</v>
      </c>
      <c r="E66" t="s">
        <v>2400</v>
      </c>
      <c r="F66" t="s">
        <v>2406</v>
      </c>
      <c r="G66" t="s">
        <v>570</v>
      </c>
      <c r="H66" t="s">
        <v>89</v>
      </c>
      <c r="I66">
        <v>6.0</v>
      </c>
      <c r="J66">
        <v>9.0</v>
      </c>
      <c r="K66">
        <v>2.0</v>
      </c>
      <c r="L66" t="s">
        <v>2407</v>
      </c>
      <c r="M66">
        <v>120.0</v>
      </c>
      <c r="N66">
        <v>0.0</v>
      </c>
      <c r="O66" t="s">
        <v>2408</v>
      </c>
      <c r="P66">
        <v>3.0</v>
      </c>
      <c r="Q66" t="s">
        <v>2409</v>
      </c>
      <c r="R66">
        <v>135.0</v>
      </c>
      <c r="S66">
        <v>1.0</v>
      </c>
      <c r="T66" t="s">
        <v>2410</v>
      </c>
      <c r="U66">
        <v>0.0</v>
      </c>
      <c r="V66">
        <v>1.0</v>
      </c>
      <c r="W66">
        <v>0.0</v>
      </c>
      <c r="X66">
        <v>1.0</v>
      </c>
      <c r="Y66">
        <v>0.0</v>
      </c>
      <c r="Z66">
        <v>0.0</v>
      </c>
      <c r="AA66">
        <v>0.0</v>
      </c>
      <c r="AB66">
        <v>0.0</v>
      </c>
      <c r="AC66">
        <v>0.0</v>
      </c>
      <c r="AD66">
        <v>0.0</v>
      </c>
      <c r="AE66" t="s">
        <v>2411</v>
      </c>
      <c r="AF66" t="s">
        <v>2475</v>
      </c>
    </row>
    <row r="67" ht="15.75" customHeight="1">
      <c r="A67" t="s">
        <v>2588</v>
      </c>
      <c r="B67" t="s">
        <v>2589</v>
      </c>
      <c r="C67" t="s">
        <v>575</v>
      </c>
      <c r="D67" t="s">
        <v>1998</v>
      </c>
      <c r="E67" t="s">
        <v>2400</v>
      </c>
      <c r="F67" t="s">
        <v>2406</v>
      </c>
      <c r="G67" t="s">
        <v>570</v>
      </c>
      <c r="H67" t="s">
        <v>89</v>
      </c>
      <c r="I67">
        <v>8.0</v>
      </c>
      <c r="J67">
        <v>11.0</v>
      </c>
      <c r="K67">
        <v>2.0</v>
      </c>
      <c r="L67" t="s">
        <v>2407</v>
      </c>
      <c r="M67">
        <v>120.0</v>
      </c>
      <c r="N67">
        <v>0.0</v>
      </c>
      <c r="O67" t="s">
        <v>2408</v>
      </c>
      <c r="P67">
        <v>3.0</v>
      </c>
      <c r="Q67" t="s">
        <v>2409</v>
      </c>
      <c r="R67">
        <v>135.0</v>
      </c>
      <c r="S67">
        <v>1.0</v>
      </c>
      <c r="T67" t="s">
        <v>2410</v>
      </c>
      <c r="U67">
        <v>0.0</v>
      </c>
      <c r="V67">
        <v>2.0</v>
      </c>
      <c r="W67">
        <v>0.0</v>
      </c>
      <c r="X67">
        <v>1.0</v>
      </c>
      <c r="Y67">
        <v>0.0</v>
      </c>
      <c r="Z67">
        <v>0.0</v>
      </c>
      <c r="AA67">
        <v>0.0</v>
      </c>
      <c r="AB67">
        <v>0.0</v>
      </c>
      <c r="AC67">
        <v>0.0</v>
      </c>
      <c r="AD67">
        <v>0.0</v>
      </c>
      <c r="AE67" t="s">
        <v>2411</v>
      </c>
      <c r="AF67" t="s">
        <v>2475</v>
      </c>
    </row>
    <row r="68" ht="15.75" customHeight="1">
      <c r="A68" t="s">
        <v>2590</v>
      </c>
      <c r="B68" t="s">
        <v>2591</v>
      </c>
      <c r="C68" t="s">
        <v>578</v>
      </c>
      <c r="D68" t="s">
        <v>1998</v>
      </c>
      <c r="E68" t="s">
        <v>2400</v>
      </c>
      <c r="F68" t="s">
        <v>2406</v>
      </c>
      <c r="G68" t="s">
        <v>570</v>
      </c>
      <c r="H68" t="s">
        <v>89</v>
      </c>
      <c r="I68">
        <v>10.0</v>
      </c>
      <c r="J68">
        <v>13.0</v>
      </c>
      <c r="K68">
        <v>2.0</v>
      </c>
      <c r="L68" t="s">
        <v>2407</v>
      </c>
      <c r="M68">
        <v>120.0</v>
      </c>
      <c r="N68">
        <v>0.0</v>
      </c>
      <c r="O68" t="s">
        <v>2408</v>
      </c>
      <c r="P68">
        <v>3.0</v>
      </c>
      <c r="Q68" t="s">
        <v>2409</v>
      </c>
      <c r="R68">
        <v>135.0</v>
      </c>
      <c r="S68">
        <v>1.0</v>
      </c>
      <c r="T68" t="s">
        <v>2410</v>
      </c>
      <c r="U68">
        <v>1.0</v>
      </c>
      <c r="V68">
        <v>3.0</v>
      </c>
      <c r="W68">
        <v>0.0</v>
      </c>
      <c r="X68">
        <v>1.0</v>
      </c>
      <c r="Y68">
        <v>0.0</v>
      </c>
      <c r="Z68">
        <v>0.0</v>
      </c>
      <c r="AA68">
        <v>0.0</v>
      </c>
      <c r="AB68">
        <v>0.0</v>
      </c>
      <c r="AC68">
        <v>1.0</v>
      </c>
      <c r="AD68">
        <v>0.0</v>
      </c>
      <c r="AE68" t="s">
        <v>2411</v>
      </c>
      <c r="AF68" t="s">
        <v>2475</v>
      </c>
    </row>
    <row r="69" ht="15.75" customHeight="1">
      <c r="A69" t="s">
        <v>2592</v>
      </c>
      <c r="B69" t="s">
        <v>2593</v>
      </c>
      <c r="C69" t="s">
        <v>581</v>
      </c>
      <c r="D69" t="s">
        <v>1998</v>
      </c>
      <c r="E69" t="s">
        <v>2400</v>
      </c>
      <c r="F69" t="s">
        <v>2406</v>
      </c>
      <c r="G69" t="s">
        <v>570</v>
      </c>
      <c r="H69" t="s">
        <v>89</v>
      </c>
      <c r="I69">
        <v>12.0</v>
      </c>
      <c r="J69">
        <v>16.0</v>
      </c>
      <c r="K69">
        <v>2.0</v>
      </c>
      <c r="L69" t="s">
        <v>2407</v>
      </c>
      <c r="M69">
        <v>120.0</v>
      </c>
      <c r="N69">
        <v>0.0</v>
      </c>
      <c r="O69" t="s">
        <v>2408</v>
      </c>
      <c r="P69">
        <v>3.0</v>
      </c>
      <c r="Q69" t="s">
        <v>2409</v>
      </c>
      <c r="R69">
        <v>135.0</v>
      </c>
      <c r="S69">
        <v>1.0</v>
      </c>
      <c r="T69" t="s">
        <v>2410</v>
      </c>
      <c r="U69">
        <v>1.0</v>
      </c>
      <c r="V69">
        <v>4.0</v>
      </c>
      <c r="W69">
        <v>0.0</v>
      </c>
      <c r="X69">
        <v>2.0</v>
      </c>
      <c r="Y69">
        <v>0.0</v>
      </c>
      <c r="Z69">
        <v>0.0</v>
      </c>
      <c r="AA69">
        <v>0.0</v>
      </c>
      <c r="AB69">
        <v>0.0</v>
      </c>
      <c r="AC69">
        <v>2.0</v>
      </c>
      <c r="AD69">
        <v>0.0</v>
      </c>
      <c r="AE69" t="s">
        <v>2411</v>
      </c>
      <c r="AF69" t="s">
        <v>2475</v>
      </c>
    </row>
    <row r="70" ht="15.75" customHeight="1">
      <c r="A70" t="s">
        <v>2594</v>
      </c>
      <c r="B70" t="s">
        <v>2595</v>
      </c>
      <c r="C70" t="s">
        <v>584</v>
      </c>
      <c r="D70" t="s">
        <v>1998</v>
      </c>
      <c r="E70" t="s">
        <v>2400</v>
      </c>
      <c r="F70" t="s">
        <v>2406</v>
      </c>
      <c r="G70" t="s">
        <v>570</v>
      </c>
      <c r="H70" t="s">
        <v>89</v>
      </c>
      <c r="I70">
        <v>14.0</v>
      </c>
      <c r="J70">
        <v>19.0</v>
      </c>
      <c r="K70">
        <v>2.0</v>
      </c>
      <c r="L70" t="s">
        <v>2407</v>
      </c>
      <c r="M70">
        <v>120.0</v>
      </c>
      <c r="N70">
        <v>0.0</v>
      </c>
      <c r="O70" t="s">
        <v>2408</v>
      </c>
      <c r="P70">
        <v>3.0</v>
      </c>
      <c r="Q70" t="s">
        <v>2409</v>
      </c>
      <c r="R70">
        <v>135.0</v>
      </c>
      <c r="S70">
        <v>1.0</v>
      </c>
      <c r="T70" t="s">
        <v>2410</v>
      </c>
      <c r="U70">
        <v>2.0</v>
      </c>
      <c r="V70">
        <v>5.0</v>
      </c>
      <c r="W70">
        <v>0.0</v>
      </c>
      <c r="X70">
        <v>2.0</v>
      </c>
      <c r="Y70">
        <v>0.0</v>
      </c>
      <c r="Z70">
        <v>0.0</v>
      </c>
      <c r="AA70">
        <v>0.0</v>
      </c>
      <c r="AB70">
        <v>0.0</v>
      </c>
      <c r="AC70">
        <v>3.0</v>
      </c>
      <c r="AD70">
        <v>0.0</v>
      </c>
      <c r="AE70" t="s">
        <v>2411</v>
      </c>
      <c r="AF70" t="s">
        <v>2475</v>
      </c>
    </row>
    <row r="71" ht="15.75" customHeight="1">
      <c r="A71" t="s">
        <v>2596</v>
      </c>
      <c r="B71" t="s">
        <v>2023</v>
      </c>
      <c r="C71" t="s">
        <v>569</v>
      </c>
      <c r="D71" t="s">
        <v>2023</v>
      </c>
      <c r="E71" t="s">
        <v>2400</v>
      </c>
      <c r="F71" t="s">
        <v>2412</v>
      </c>
      <c r="G71" t="s">
        <v>2175</v>
      </c>
      <c r="H71" t="s">
        <v>98</v>
      </c>
      <c r="I71">
        <v>4.0</v>
      </c>
      <c r="J71">
        <v>6.0</v>
      </c>
      <c r="K71">
        <v>2.0</v>
      </c>
      <c r="L71" t="s">
        <v>2413</v>
      </c>
      <c r="M71">
        <v>110.0</v>
      </c>
      <c r="N71">
        <v>0.0</v>
      </c>
      <c r="O71" t="s">
        <v>2380</v>
      </c>
      <c r="P71">
        <v>3.0</v>
      </c>
      <c r="Q71" t="s">
        <v>2414</v>
      </c>
      <c r="R71">
        <v>0.0</v>
      </c>
      <c r="S71">
        <v>2.0</v>
      </c>
      <c r="T71" t="s">
        <v>2415</v>
      </c>
      <c r="U71">
        <v>0.0</v>
      </c>
      <c r="V71">
        <v>0.0</v>
      </c>
      <c r="W71">
        <v>0.0</v>
      </c>
      <c r="X71">
        <v>0.0</v>
      </c>
      <c r="Y71">
        <v>1.0</v>
      </c>
      <c r="Z71">
        <v>0.0</v>
      </c>
      <c r="AA71">
        <v>0.0</v>
      </c>
      <c r="AB71">
        <v>0.0</v>
      </c>
      <c r="AC71">
        <v>0.0</v>
      </c>
      <c r="AD71">
        <v>0.0</v>
      </c>
      <c r="AE71" t="s">
        <v>2416</v>
      </c>
      <c r="AF71" t="s">
        <v>2475</v>
      </c>
    </row>
    <row r="72" ht="15.75" customHeight="1">
      <c r="A72" t="s">
        <v>2597</v>
      </c>
      <c r="B72" t="s">
        <v>2598</v>
      </c>
      <c r="C72" t="s">
        <v>572</v>
      </c>
      <c r="D72" t="s">
        <v>2023</v>
      </c>
      <c r="E72" t="s">
        <v>2400</v>
      </c>
      <c r="F72" t="s">
        <v>2412</v>
      </c>
      <c r="G72" t="s">
        <v>2175</v>
      </c>
      <c r="H72" t="s">
        <v>98</v>
      </c>
      <c r="I72">
        <v>5.0</v>
      </c>
      <c r="J72">
        <v>8.0</v>
      </c>
      <c r="K72">
        <v>2.0</v>
      </c>
      <c r="L72" t="s">
        <v>2413</v>
      </c>
      <c r="M72">
        <v>110.0</v>
      </c>
      <c r="N72">
        <v>0.0</v>
      </c>
      <c r="O72" t="s">
        <v>2380</v>
      </c>
      <c r="P72">
        <v>3.0</v>
      </c>
      <c r="Q72" t="s">
        <v>2414</v>
      </c>
      <c r="R72">
        <v>0.0</v>
      </c>
      <c r="S72">
        <v>2.0</v>
      </c>
      <c r="T72" t="s">
        <v>2415</v>
      </c>
      <c r="U72">
        <v>0.0</v>
      </c>
      <c r="V72">
        <v>0.0</v>
      </c>
      <c r="W72">
        <v>0.0</v>
      </c>
      <c r="X72">
        <v>0.0</v>
      </c>
      <c r="Y72">
        <v>1.0</v>
      </c>
      <c r="Z72">
        <v>1.0</v>
      </c>
      <c r="AA72">
        <v>0.0</v>
      </c>
      <c r="AB72">
        <v>0.0</v>
      </c>
      <c r="AC72">
        <v>0.0</v>
      </c>
      <c r="AD72">
        <v>0.0</v>
      </c>
      <c r="AE72" t="s">
        <v>2416</v>
      </c>
      <c r="AF72" t="s">
        <v>2475</v>
      </c>
    </row>
    <row r="73" ht="15.75" customHeight="1">
      <c r="A73" t="s">
        <v>2599</v>
      </c>
      <c r="B73" t="s">
        <v>2600</v>
      </c>
      <c r="C73" t="s">
        <v>575</v>
      </c>
      <c r="D73" t="s">
        <v>2023</v>
      </c>
      <c r="E73" t="s">
        <v>2400</v>
      </c>
      <c r="F73" t="s">
        <v>2412</v>
      </c>
      <c r="G73" t="s">
        <v>2175</v>
      </c>
      <c r="H73" t="s">
        <v>98</v>
      </c>
      <c r="I73">
        <v>6.0</v>
      </c>
      <c r="J73">
        <v>9.0</v>
      </c>
      <c r="K73">
        <v>2.0</v>
      </c>
      <c r="L73" t="s">
        <v>2413</v>
      </c>
      <c r="M73">
        <v>110.0</v>
      </c>
      <c r="N73">
        <v>0.0</v>
      </c>
      <c r="O73" t="s">
        <v>2380</v>
      </c>
      <c r="P73">
        <v>3.0</v>
      </c>
      <c r="Q73" t="s">
        <v>2414</v>
      </c>
      <c r="R73">
        <v>0.0</v>
      </c>
      <c r="S73">
        <v>2.0</v>
      </c>
      <c r="T73" t="s">
        <v>2415</v>
      </c>
      <c r="U73">
        <v>0.0</v>
      </c>
      <c r="V73">
        <v>0.0</v>
      </c>
      <c r="W73">
        <v>0.0</v>
      </c>
      <c r="X73">
        <v>0.0</v>
      </c>
      <c r="Y73">
        <v>2.0</v>
      </c>
      <c r="Z73">
        <v>1.0</v>
      </c>
      <c r="AA73">
        <v>0.0</v>
      </c>
      <c r="AB73">
        <v>0.0</v>
      </c>
      <c r="AC73">
        <v>0.0</v>
      </c>
      <c r="AD73">
        <v>0.0</v>
      </c>
      <c r="AE73" t="s">
        <v>2416</v>
      </c>
      <c r="AF73" t="s">
        <v>2475</v>
      </c>
    </row>
    <row r="74" ht="15.75" customHeight="1">
      <c r="A74" t="s">
        <v>2601</v>
      </c>
      <c r="B74" t="s">
        <v>2602</v>
      </c>
      <c r="C74" t="s">
        <v>578</v>
      </c>
      <c r="D74" t="s">
        <v>2023</v>
      </c>
      <c r="E74" t="s">
        <v>2400</v>
      </c>
      <c r="F74" t="s">
        <v>2412</v>
      </c>
      <c r="G74" t="s">
        <v>2175</v>
      </c>
      <c r="H74" t="s">
        <v>98</v>
      </c>
      <c r="I74">
        <v>8.0</v>
      </c>
      <c r="J74">
        <v>11.0</v>
      </c>
      <c r="K74">
        <v>2.0</v>
      </c>
      <c r="L74" t="s">
        <v>2413</v>
      </c>
      <c r="M74">
        <v>110.0</v>
      </c>
      <c r="N74">
        <v>0.0</v>
      </c>
      <c r="O74" t="s">
        <v>2380</v>
      </c>
      <c r="P74">
        <v>3.0</v>
      </c>
      <c r="Q74" t="s">
        <v>2414</v>
      </c>
      <c r="R74">
        <v>0.0</v>
      </c>
      <c r="S74">
        <v>2.0</v>
      </c>
      <c r="T74" t="s">
        <v>2415</v>
      </c>
      <c r="U74">
        <v>1.0</v>
      </c>
      <c r="V74">
        <v>0.0</v>
      </c>
      <c r="W74">
        <v>0.0</v>
      </c>
      <c r="X74">
        <v>0.0</v>
      </c>
      <c r="Y74">
        <v>3.0</v>
      </c>
      <c r="Z74">
        <v>1.0</v>
      </c>
      <c r="AA74">
        <v>0.0</v>
      </c>
      <c r="AB74">
        <v>0.0</v>
      </c>
      <c r="AC74">
        <v>0.0</v>
      </c>
      <c r="AD74">
        <v>1.0</v>
      </c>
      <c r="AE74" t="s">
        <v>2416</v>
      </c>
      <c r="AF74" t="s">
        <v>2475</v>
      </c>
    </row>
    <row r="75" ht="15.75" customHeight="1">
      <c r="A75" t="s">
        <v>2603</v>
      </c>
      <c r="B75" t="s">
        <v>2604</v>
      </c>
      <c r="C75" t="s">
        <v>581</v>
      </c>
      <c r="D75" t="s">
        <v>2023</v>
      </c>
      <c r="E75" t="s">
        <v>2400</v>
      </c>
      <c r="F75" t="s">
        <v>2412</v>
      </c>
      <c r="G75" t="s">
        <v>2175</v>
      </c>
      <c r="H75" t="s">
        <v>98</v>
      </c>
      <c r="I75">
        <v>9.0</v>
      </c>
      <c r="J75">
        <v>14.0</v>
      </c>
      <c r="K75">
        <v>2.0</v>
      </c>
      <c r="L75" t="s">
        <v>2413</v>
      </c>
      <c r="M75">
        <v>110.0</v>
      </c>
      <c r="N75">
        <v>0.0</v>
      </c>
      <c r="O75" t="s">
        <v>2380</v>
      </c>
      <c r="P75">
        <v>3.0</v>
      </c>
      <c r="Q75" t="s">
        <v>2414</v>
      </c>
      <c r="R75">
        <v>0.0</v>
      </c>
      <c r="S75">
        <v>2.0</v>
      </c>
      <c r="T75" t="s">
        <v>2415</v>
      </c>
      <c r="U75">
        <v>1.0</v>
      </c>
      <c r="V75">
        <v>0.0</v>
      </c>
      <c r="W75">
        <v>0.0</v>
      </c>
      <c r="X75">
        <v>0.0</v>
      </c>
      <c r="Y75">
        <v>4.0</v>
      </c>
      <c r="Z75">
        <v>2.0</v>
      </c>
      <c r="AA75">
        <v>0.0</v>
      </c>
      <c r="AB75">
        <v>0.0</v>
      </c>
      <c r="AC75">
        <v>0.0</v>
      </c>
      <c r="AD75">
        <v>2.0</v>
      </c>
      <c r="AE75" t="s">
        <v>2416</v>
      </c>
      <c r="AF75" t="s">
        <v>2475</v>
      </c>
    </row>
    <row r="76" ht="15.75" customHeight="1">
      <c r="A76" t="s">
        <v>2605</v>
      </c>
      <c r="B76" t="s">
        <v>2606</v>
      </c>
      <c r="C76" t="s">
        <v>584</v>
      </c>
      <c r="D76" t="s">
        <v>2023</v>
      </c>
      <c r="E76" t="s">
        <v>2400</v>
      </c>
      <c r="F76" t="s">
        <v>2412</v>
      </c>
      <c r="G76" t="s">
        <v>2175</v>
      </c>
      <c r="H76" t="s">
        <v>98</v>
      </c>
      <c r="I76">
        <v>11.0</v>
      </c>
      <c r="J76">
        <v>17.0</v>
      </c>
      <c r="K76">
        <v>2.0</v>
      </c>
      <c r="L76" t="s">
        <v>2413</v>
      </c>
      <c r="M76">
        <v>110.0</v>
      </c>
      <c r="N76">
        <v>0.0</v>
      </c>
      <c r="O76" t="s">
        <v>2380</v>
      </c>
      <c r="P76">
        <v>3.0</v>
      </c>
      <c r="Q76" t="s">
        <v>2414</v>
      </c>
      <c r="R76">
        <v>0.0</v>
      </c>
      <c r="S76">
        <v>2.0</v>
      </c>
      <c r="T76" t="s">
        <v>2415</v>
      </c>
      <c r="U76">
        <v>2.0</v>
      </c>
      <c r="V76">
        <v>0.0</v>
      </c>
      <c r="W76">
        <v>0.0</v>
      </c>
      <c r="X76">
        <v>0.0</v>
      </c>
      <c r="Y76">
        <v>5.0</v>
      </c>
      <c r="Z76">
        <v>2.0</v>
      </c>
      <c r="AA76">
        <v>0.0</v>
      </c>
      <c r="AB76">
        <v>0.0</v>
      </c>
      <c r="AC76">
        <v>0.0</v>
      </c>
      <c r="AD76">
        <v>3.0</v>
      </c>
      <c r="AE76" t="s">
        <v>2416</v>
      </c>
      <c r="AF76" t="s">
        <v>2475</v>
      </c>
    </row>
    <row r="77" ht="15.75" customHeight="1">
      <c r="A77" t="s">
        <v>2607</v>
      </c>
      <c r="B77" t="s">
        <v>2002</v>
      </c>
      <c r="C77" t="s">
        <v>569</v>
      </c>
      <c r="D77" t="s">
        <v>2002</v>
      </c>
      <c r="E77" t="s">
        <v>2400</v>
      </c>
      <c r="F77" t="s">
        <v>2406</v>
      </c>
      <c r="G77" t="s">
        <v>570</v>
      </c>
      <c r="H77" t="s">
        <v>89</v>
      </c>
      <c r="I77">
        <v>6.0</v>
      </c>
      <c r="J77">
        <v>8.0</v>
      </c>
      <c r="K77">
        <v>2.0</v>
      </c>
      <c r="L77" t="s">
        <v>2417</v>
      </c>
      <c r="M77">
        <v>120.0</v>
      </c>
      <c r="N77">
        <v>0.0</v>
      </c>
      <c r="O77" t="s">
        <v>2408</v>
      </c>
      <c r="P77">
        <v>3.0</v>
      </c>
      <c r="Q77" t="s">
        <v>2418</v>
      </c>
      <c r="R77">
        <v>125.0</v>
      </c>
      <c r="S77">
        <v>1.0</v>
      </c>
      <c r="T77" t="s">
        <v>2419</v>
      </c>
      <c r="U77">
        <v>0.0</v>
      </c>
      <c r="V77">
        <v>1.0</v>
      </c>
      <c r="W77">
        <v>0.0</v>
      </c>
      <c r="X77">
        <v>0.0</v>
      </c>
      <c r="Y77">
        <v>0.0</v>
      </c>
      <c r="Z77">
        <v>0.0</v>
      </c>
      <c r="AA77">
        <v>0.0</v>
      </c>
      <c r="AB77">
        <v>0.0</v>
      </c>
      <c r="AC77">
        <v>0.0</v>
      </c>
      <c r="AD77">
        <v>0.0</v>
      </c>
      <c r="AE77" t="s">
        <v>2420</v>
      </c>
      <c r="AF77" t="s">
        <v>2475</v>
      </c>
    </row>
    <row r="78" ht="15.75" customHeight="1">
      <c r="A78" t="s">
        <v>2608</v>
      </c>
      <c r="B78" t="s">
        <v>2609</v>
      </c>
      <c r="C78" t="s">
        <v>572</v>
      </c>
      <c r="D78" t="s">
        <v>2002</v>
      </c>
      <c r="E78" t="s">
        <v>2400</v>
      </c>
      <c r="F78" t="s">
        <v>2406</v>
      </c>
      <c r="G78" t="s">
        <v>570</v>
      </c>
      <c r="H78" t="s">
        <v>89</v>
      </c>
      <c r="I78">
        <v>8.0</v>
      </c>
      <c r="J78">
        <v>10.0</v>
      </c>
      <c r="K78">
        <v>2.0</v>
      </c>
      <c r="L78" t="s">
        <v>2417</v>
      </c>
      <c r="M78">
        <v>120.0</v>
      </c>
      <c r="N78">
        <v>0.0</v>
      </c>
      <c r="O78" t="s">
        <v>2408</v>
      </c>
      <c r="P78">
        <v>3.0</v>
      </c>
      <c r="Q78" t="s">
        <v>2418</v>
      </c>
      <c r="R78">
        <v>125.0</v>
      </c>
      <c r="S78">
        <v>1.0</v>
      </c>
      <c r="T78" t="s">
        <v>2419</v>
      </c>
      <c r="U78">
        <v>0.0</v>
      </c>
      <c r="V78">
        <v>1.0</v>
      </c>
      <c r="W78">
        <v>0.0</v>
      </c>
      <c r="X78">
        <v>1.0</v>
      </c>
      <c r="Y78">
        <v>0.0</v>
      </c>
      <c r="Z78">
        <v>0.0</v>
      </c>
      <c r="AA78">
        <v>0.0</v>
      </c>
      <c r="AB78">
        <v>0.0</v>
      </c>
      <c r="AC78">
        <v>0.0</v>
      </c>
      <c r="AD78">
        <v>0.0</v>
      </c>
      <c r="AE78" t="s">
        <v>2420</v>
      </c>
      <c r="AF78" t="s">
        <v>2475</v>
      </c>
    </row>
    <row r="79" ht="15.75" customHeight="1">
      <c r="A79" t="s">
        <v>2610</v>
      </c>
      <c r="B79" t="s">
        <v>2611</v>
      </c>
      <c r="C79" t="s">
        <v>575</v>
      </c>
      <c r="D79" t="s">
        <v>2002</v>
      </c>
      <c r="E79" t="s">
        <v>2400</v>
      </c>
      <c r="F79" t="s">
        <v>2406</v>
      </c>
      <c r="G79" t="s">
        <v>570</v>
      </c>
      <c r="H79" t="s">
        <v>89</v>
      </c>
      <c r="I79">
        <v>9.0</v>
      </c>
      <c r="J79">
        <v>12.0</v>
      </c>
      <c r="K79">
        <v>2.0</v>
      </c>
      <c r="L79" t="s">
        <v>2417</v>
      </c>
      <c r="M79">
        <v>120.0</v>
      </c>
      <c r="N79">
        <v>0.0</v>
      </c>
      <c r="O79" t="s">
        <v>2408</v>
      </c>
      <c r="P79">
        <v>3.0</v>
      </c>
      <c r="Q79" t="s">
        <v>2418</v>
      </c>
      <c r="R79">
        <v>125.0</v>
      </c>
      <c r="S79">
        <v>1.0</v>
      </c>
      <c r="T79" t="s">
        <v>2419</v>
      </c>
      <c r="U79">
        <v>0.0</v>
      </c>
      <c r="V79">
        <v>2.0</v>
      </c>
      <c r="W79">
        <v>0.0</v>
      </c>
      <c r="X79">
        <v>1.0</v>
      </c>
      <c r="Y79">
        <v>0.0</v>
      </c>
      <c r="Z79">
        <v>0.0</v>
      </c>
      <c r="AA79">
        <v>0.0</v>
      </c>
      <c r="AB79">
        <v>0.0</v>
      </c>
      <c r="AC79">
        <v>0.0</v>
      </c>
      <c r="AD79">
        <v>0.0</v>
      </c>
      <c r="AE79" t="s">
        <v>2420</v>
      </c>
      <c r="AF79" t="s">
        <v>2475</v>
      </c>
    </row>
    <row r="80" ht="15.75" customHeight="1">
      <c r="A80" t="s">
        <v>2612</v>
      </c>
      <c r="B80" t="s">
        <v>2613</v>
      </c>
      <c r="C80" t="s">
        <v>578</v>
      </c>
      <c r="D80" t="s">
        <v>2002</v>
      </c>
      <c r="E80" t="s">
        <v>2400</v>
      </c>
      <c r="F80" t="s">
        <v>2406</v>
      </c>
      <c r="G80" t="s">
        <v>570</v>
      </c>
      <c r="H80" t="s">
        <v>89</v>
      </c>
      <c r="I80">
        <v>11.0</v>
      </c>
      <c r="J80">
        <v>15.0</v>
      </c>
      <c r="K80">
        <v>2.0</v>
      </c>
      <c r="L80" t="s">
        <v>2417</v>
      </c>
      <c r="M80">
        <v>120.0</v>
      </c>
      <c r="N80">
        <v>0.0</v>
      </c>
      <c r="O80" t="s">
        <v>2408</v>
      </c>
      <c r="P80">
        <v>3.0</v>
      </c>
      <c r="Q80" t="s">
        <v>2418</v>
      </c>
      <c r="R80">
        <v>125.0</v>
      </c>
      <c r="S80">
        <v>1.0</v>
      </c>
      <c r="T80" t="s">
        <v>2419</v>
      </c>
      <c r="U80">
        <v>1.0</v>
      </c>
      <c r="V80">
        <v>3.0</v>
      </c>
      <c r="W80">
        <v>0.0</v>
      </c>
      <c r="X80">
        <v>1.0</v>
      </c>
      <c r="Y80">
        <v>0.0</v>
      </c>
      <c r="Z80">
        <v>0.0</v>
      </c>
      <c r="AA80">
        <v>0.0</v>
      </c>
      <c r="AB80">
        <v>0.0</v>
      </c>
      <c r="AC80">
        <v>1.0</v>
      </c>
      <c r="AD80">
        <v>0.0</v>
      </c>
      <c r="AE80" t="s">
        <v>2420</v>
      </c>
      <c r="AF80" t="s">
        <v>2475</v>
      </c>
    </row>
    <row r="81" ht="15.75" customHeight="1">
      <c r="A81" t="s">
        <v>2614</v>
      </c>
      <c r="B81" t="s">
        <v>2615</v>
      </c>
      <c r="C81" t="s">
        <v>581</v>
      </c>
      <c r="D81" t="s">
        <v>2002</v>
      </c>
      <c r="E81" t="s">
        <v>2400</v>
      </c>
      <c r="F81" t="s">
        <v>2406</v>
      </c>
      <c r="G81" t="s">
        <v>570</v>
      </c>
      <c r="H81" t="s">
        <v>89</v>
      </c>
      <c r="I81">
        <v>14.0</v>
      </c>
      <c r="J81">
        <v>18.0</v>
      </c>
      <c r="K81">
        <v>2.0</v>
      </c>
      <c r="L81" t="s">
        <v>2417</v>
      </c>
      <c r="M81">
        <v>120.0</v>
      </c>
      <c r="N81">
        <v>0.0</v>
      </c>
      <c r="O81" t="s">
        <v>2408</v>
      </c>
      <c r="P81">
        <v>3.0</v>
      </c>
      <c r="Q81" t="s">
        <v>2418</v>
      </c>
      <c r="R81">
        <v>125.0</v>
      </c>
      <c r="S81">
        <v>1.0</v>
      </c>
      <c r="T81" t="s">
        <v>2419</v>
      </c>
      <c r="U81">
        <v>1.0</v>
      </c>
      <c r="V81">
        <v>4.0</v>
      </c>
      <c r="W81">
        <v>0.0</v>
      </c>
      <c r="X81">
        <v>2.0</v>
      </c>
      <c r="Y81">
        <v>0.0</v>
      </c>
      <c r="Z81">
        <v>0.0</v>
      </c>
      <c r="AA81">
        <v>0.0</v>
      </c>
      <c r="AB81">
        <v>0.0</v>
      </c>
      <c r="AC81">
        <v>2.0</v>
      </c>
      <c r="AD81">
        <v>0.0</v>
      </c>
      <c r="AE81" t="s">
        <v>2420</v>
      </c>
      <c r="AF81" t="s">
        <v>2475</v>
      </c>
    </row>
    <row r="82" ht="15.75" customHeight="1">
      <c r="A82" t="s">
        <v>2616</v>
      </c>
      <c r="B82" t="s">
        <v>2617</v>
      </c>
      <c r="C82" t="s">
        <v>584</v>
      </c>
      <c r="D82" t="s">
        <v>2002</v>
      </c>
      <c r="E82" t="s">
        <v>2400</v>
      </c>
      <c r="F82" t="s">
        <v>2406</v>
      </c>
      <c r="G82" t="s">
        <v>570</v>
      </c>
      <c r="H82" t="s">
        <v>89</v>
      </c>
      <c r="I82">
        <v>17.0</v>
      </c>
      <c r="J82">
        <v>22.0</v>
      </c>
      <c r="K82">
        <v>2.0</v>
      </c>
      <c r="L82" t="s">
        <v>2417</v>
      </c>
      <c r="M82">
        <v>120.0</v>
      </c>
      <c r="N82">
        <v>0.0</v>
      </c>
      <c r="O82" t="s">
        <v>2408</v>
      </c>
      <c r="P82">
        <v>3.0</v>
      </c>
      <c r="Q82" t="s">
        <v>2418</v>
      </c>
      <c r="R82">
        <v>125.0</v>
      </c>
      <c r="S82">
        <v>1.0</v>
      </c>
      <c r="T82" t="s">
        <v>2419</v>
      </c>
      <c r="U82">
        <v>2.0</v>
      </c>
      <c r="V82">
        <v>5.0</v>
      </c>
      <c r="W82">
        <v>0.0</v>
      </c>
      <c r="X82">
        <v>2.0</v>
      </c>
      <c r="Y82">
        <v>0.0</v>
      </c>
      <c r="Z82">
        <v>0.0</v>
      </c>
      <c r="AA82">
        <v>0.0</v>
      </c>
      <c r="AB82">
        <v>0.0</v>
      </c>
      <c r="AC82">
        <v>3.0</v>
      </c>
      <c r="AD82">
        <v>0.0</v>
      </c>
      <c r="AE82" t="s">
        <v>2420</v>
      </c>
      <c r="AF82" t="s">
        <v>2475</v>
      </c>
    </row>
    <row r="83" ht="15.75" customHeight="1">
      <c r="A83" t="s">
        <v>2618</v>
      </c>
      <c r="B83" t="s">
        <v>1875</v>
      </c>
      <c r="C83" t="s">
        <v>569</v>
      </c>
      <c r="D83" t="s">
        <v>1875</v>
      </c>
      <c r="E83" t="s">
        <v>2400</v>
      </c>
      <c r="F83" t="s">
        <v>2421</v>
      </c>
      <c r="G83" t="s">
        <v>573</v>
      </c>
      <c r="H83" t="s">
        <v>94</v>
      </c>
      <c r="I83">
        <v>5.0</v>
      </c>
      <c r="J83">
        <v>8.0</v>
      </c>
      <c r="K83">
        <v>2.0</v>
      </c>
      <c r="L83" t="s">
        <v>2422</v>
      </c>
      <c r="M83">
        <v>120.0</v>
      </c>
      <c r="N83">
        <v>0.0</v>
      </c>
      <c r="O83" t="s">
        <v>2423</v>
      </c>
      <c r="P83">
        <v>3.0</v>
      </c>
      <c r="Q83" t="s">
        <v>2424</v>
      </c>
      <c r="R83">
        <v>140.0</v>
      </c>
      <c r="S83">
        <v>1.0</v>
      </c>
      <c r="T83" t="s">
        <v>2425</v>
      </c>
      <c r="U83">
        <v>0.0</v>
      </c>
      <c r="V83">
        <v>0.0</v>
      </c>
      <c r="W83">
        <v>1.0</v>
      </c>
      <c r="X83">
        <v>0.0</v>
      </c>
      <c r="Y83">
        <v>0.0</v>
      </c>
      <c r="Z83">
        <v>0.0</v>
      </c>
      <c r="AA83">
        <v>0.0</v>
      </c>
      <c r="AB83">
        <v>0.0</v>
      </c>
      <c r="AC83">
        <v>0.0</v>
      </c>
      <c r="AD83">
        <v>0.0</v>
      </c>
      <c r="AE83" t="s">
        <v>2426</v>
      </c>
      <c r="AF83" t="s">
        <v>2475</v>
      </c>
    </row>
    <row r="84" ht="15.75" customHeight="1">
      <c r="A84" t="s">
        <v>2619</v>
      </c>
      <c r="B84" t="s">
        <v>2620</v>
      </c>
      <c r="C84" t="s">
        <v>572</v>
      </c>
      <c r="D84" t="s">
        <v>1875</v>
      </c>
      <c r="E84" t="s">
        <v>2400</v>
      </c>
      <c r="F84" t="s">
        <v>2421</v>
      </c>
      <c r="G84" t="s">
        <v>573</v>
      </c>
      <c r="H84" t="s">
        <v>94</v>
      </c>
      <c r="I84">
        <v>6.0</v>
      </c>
      <c r="J84">
        <v>10.0</v>
      </c>
      <c r="K84">
        <v>2.0</v>
      </c>
      <c r="L84" t="s">
        <v>2422</v>
      </c>
      <c r="M84">
        <v>120.0</v>
      </c>
      <c r="N84">
        <v>0.0</v>
      </c>
      <c r="O84" t="s">
        <v>2423</v>
      </c>
      <c r="P84">
        <v>3.0</v>
      </c>
      <c r="Q84" t="s">
        <v>2424</v>
      </c>
      <c r="R84">
        <v>140.0</v>
      </c>
      <c r="S84">
        <v>1.0</v>
      </c>
      <c r="T84" t="s">
        <v>2425</v>
      </c>
      <c r="U84">
        <v>0.0</v>
      </c>
      <c r="V84">
        <v>0.0</v>
      </c>
      <c r="W84">
        <v>1.0</v>
      </c>
      <c r="X84">
        <v>0.0</v>
      </c>
      <c r="Y84">
        <v>0.0</v>
      </c>
      <c r="Z84">
        <v>0.0</v>
      </c>
      <c r="AA84">
        <v>1.0</v>
      </c>
      <c r="AB84">
        <v>0.0</v>
      </c>
      <c r="AC84">
        <v>0.0</v>
      </c>
      <c r="AD84">
        <v>0.0</v>
      </c>
      <c r="AE84" t="s">
        <v>2426</v>
      </c>
      <c r="AF84" t="s">
        <v>2475</v>
      </c>
    </row>
    <row r="85" ht="15.75" customHeight="1">
      <c r="A85" t="s">
        <v>2621</v>
      </c>
      <c r="B85" t="s">
        <v>2622</v>
      </c>
      <c r="C85" t="s">
        <v>575</v>
      </c>
      <c r="D85" t="s">
        <v>1875</v>
      </c>
      <c r="E85" t="s">
        <v>2400</v>
      </c>
      <c r="F85" t="s">
        <v>2421</v>
      </c>
      <c r="G85" t="s">
        <v>573</v>
      </c>
      <c r="H85" t="s">
        <v>94</v>
      </c>
      <c r="I85">
        <v>8.0</v>
      </c>
      <c r="J85">
        <v>12.0</v>
      </c>
      <c r="K85">
        <v>2.0</v>
      </c>
      <c r="L85" t="s">
        <v>2422</v>
      </c>
      <c r="M85">
        <v>120.0</v>
      </c>
      <c r="N85">
        <v>0.0</v>
      </c>
      <c r="O85" t="s">
        <v>2423</v>
      </c>
      <c r="P85">
        <v>3.0</v>
      </c>
      <c r="Q85" t="s">
        <v>2424</v>
      </c>
      <c r="R85">
        <v>140.0</v>
      </c>
      <c r="S85">
        <v>1.0</v>
      </c>
      <c r="T85" t="s">
        <v>2425</v>
      </c>
      <c r="U85">
        <v>0.0</v>
      </c>
      <c r="V85">
        <v>0.0</v>
      </c>
      <c r="W85">
        <v>2.0</v>
      </c>
      <c r="X85">
        <v>0.0</v>
      </c>
      <c r="Y85">
        <v>0.0</v>
      </c>
      <c r="Z85">
        <v>0.0</v>
      </c>
      <c r="AA85">
        <v>1.0</v>
      </c>
      <c r="AB85">
        <v>1.0</v>
      </c>
      <c r="AC85">
        <v>0.0</v>
      </c>
      <c r="AD85">
        <v>0.0</v>
      </c>
      <c r="AE85" t="s">
        <v>2426</v>
      </c>
      <c r="AF85" t="s">
        <v>2475</v>
      </c>
    </row>
    <row r="86" ht="15.75" customHeight="1">
      <c r="A86" t="s">
        <v>2623</v>
      </c>
      <c r="B86" t="s">
        <v>2624</v>
      </c>
      <c r="C86" t="s">
        <v>578</v>
      </c>
      <c r="D86" t="s">
        <v>1875</v>
      </c>
      <c r="E86" t="s">
        <v>2400</v>
      </c>
      <c r="F86" t="s">
        <v>2421</v>
      </c>
      <c r="G86" t="s">
        <v>573</v>
      </c>
      <c r="H86" t="s">
        <v>94</v>
      </c>
      <c r="I86">
        <v>10.0</v>
      </c>
      <c r="J86">
        <v>15.0</v>
      </c>
      <c r="K86">
        <v>2.0</v>
      </c>
      <c r="L86" t="s">
        <v>2422</v>
      </c>
      <c r="M86">
        <v>120.0</v>
      </c>
      <c r="N86">
        <v>0.0</v>
      </c>
      <c r="O86" t="s">
        <v>2423</v>
      </c>
      <c r="P86">
        <v>3.0</v>
      </c>
      <c r="Q86" t="s">
        <v>2424</v>
      </c>
      <c r="R86">
        <v>140.0</v>
      </c>
      <c r="S86">
        <v>1.0</v>
      </c>
      <c r="T86" t="s">
        <v>2425</v>
      </c>
      <c r="U86">
        <v>1.0</v>
      </c>
      <c r="V86">
        <v>0.0</v>
      </c>
      <c r="W86">
        <v>3.0</v>
      </c>
      <c r="X86">
        <v>0.0</v>
      </c>
      <c r="Y86">
        <v>0.0</v>
      </c>
      <c r="Z86">
        <v>0.0</v>
      </c>
      <c r="AA86">
        <v>1.0</v>
      </c>
      <c r="AB86">
        <v>2.0</v>
      </c>
      <c r="AC86">
        <v>0.0</v>
      </c>
      <c r="AD86">
        <v>0.0</v>
      </c>
      <c r="AE86" t="s">
        <v>2426</v>
      </c>
      <c r="AF86" t="s">
        <v>2475</v>
      </c>
    </row>
    <row r="87" ht="15.75" customHeight="1">
      <c r="A87" t="s">
        <v>2625</v>
      </c>
      <c r="B87" t="s">
        <v>2626</v>
      </c>
      <c r="C87" t="s">
        <v>581</v>
      </c>
      <c r="D87" t="s">
        <v>1875</v>
      </c>
      <c r="E87" t="s">
        <v>2400</v>
      </c>
      <c r="F87" t="s">
        <v>2421</v>
      </c>
      <c r="G87" t="s">
        <v>573</v>
      </c>
      <c r="H87" t="s">
        <v>94</v>
      </c>
      <c r="I87">
        <v>12.0</v>
      </c>
      <c r="J87">
        <v>18.0</v>
      </c>
      <c r="K87">
        <v>2.0</v>
      </c>
      <c r="L87" t="s">
        <v>2422</v>
      </c>
      <c r="M87">
        <v>120.0</v>
      </c>
      <c r="N87">
        <v>0.0</v>
      </c>
      <c r="O87" t="s">
        <v>2423</v>
      </c>
      <c r="P87">
        <v>3.0</v>
      </c>
      <c r="Q87" t="s">
        <v>2424</v>
      </c>
      <c r="R87">
        <v>140.0</v>
      </c>
      <c r="S87">
        <v>1.0</v>
      </c>
      <c r="T87" t="s">
        <v>2425</v>
      </c>
      <c r="U87">
        <v>1.0</v>
      </c>
      <c r="V87">
        <v>0.0</v>
      </c>
      <c r="W87">
        <v>4.0</v>
      </c>
      <c r="X87">
        <v>0.0</v>
      </c>
      <c r="Y87">
        <v>0.0</v>
      </c>
      <c r="Z87">
        <v>0.0</v>
      </c>
      <c r="AA87">
        <v>2.0</v>
      </c>
      <c r="AB87">
        <v>3.0</v>
      </c>
      <c r="AC87">
        <v>0.0</v>
      </c>
      <c r="AD87">
        <v>0.0</v>
      </c>
      <c r="AE87" t="s">
        <v>2426</v>
      </c>
      <c r="AF87" t="s">
        <v>2475</v>
      </c>
    </row>
    <row r="88" ht="15.75" customHeight="1">
      <c r="A88" t="s">
        <v>2627</v>
      </c>
      <c r="B88" t="s">
        <v>2628</v>
      </c>
      <c r="C88" t="s">
        <v>584</v>
      </c>
      <c r="D88" t="s">
        <v>1875</v>
      </c>
      <c r="E88" t="s">
        <v>2400</v>
      </c>
      <c r="F88" t="s">
        <v>2421</v>
      </c>
      <c r="G88" t="s">
        <v>573</v>
      </c>
      <c r="H88" t="s">
        <v>94</v>
      </c>
      <c r="I88">
        <v>14.0</v>
      </c>
      <c r="J88">
        <v>22.0</v>
      </c>
      <c r="K88">
        <v>2.0</v>
      </c>
      <c r="L88" t="s">
        <v>2422</v>
      </c>
      <c r="M88">
        <v>120.0</v>
      </c>
      <c r="N88">
        <v>0.0</v>
      </c>
      <c r="O88" t="s">
        <v>2423</v>
      </c>
      <c r="P88">
        <v>3.0</v>
      </c>
      <c r="Q88" t="s">
        <v>2424</v>
      </c>
      <c r="R88">
        <v>140.0</v>
      </c>
      <c r="S88">
        <v>1.0</v>
      </c>
      <c r="T88" t="s">
        <v>2425</v>
      </c>
      <c r="U88">
        <v>2.0</v>
      </c>
      <c r="V88">
        <v>0.0</v>
      </c>
      <c r="W88">
        <v>5.0</v>
      </c>
      <c r="X88">
        <v>0.0</v>
      </c>
      <c r="Y88">
        <v>0.0</v>
      </c>
      <c r="Z88">
        <v>0.0</v>
      </c>
      <c r="AA88">
        <v>2.0</v>
      </c>
      <c r="AB88">
        <v>4.0</v>
      </c>
      <c r="AC88">
        <v>0.0</v>
      </c>
      <c r="AD88">
        <v>0.0</v>
      </c>
      <c r="AE88" t="s">
        <v>2426</v>
      </c>
      <c r="AF88" t="s">
        <v>2475</v>
      </c>
    </row>
    <row r="89" ht="15.75" customHeight="1">
      <c r="A89" t="s">
        <v>2629</v>
      </c>
      <c r="B89" t="s">
        <v>2008</v>
      </c>
      <c r="C89" t="s">
        <v>569</v>
      </c>
      <c r="D89" t="s">
        <v>2008</v>
      </c>
      <c r="E89" t="s">
        <v>2400</v>
      </c>
      <c r="F89" t="s">
        <v>2427</v>
      </c>
      <c r="G89" t="s">
        <v>570</v>
      </c>
      <c r="H89" t="s">
        <v>89</v>
      </c>
      <c r="I89">
        <v>5.0</v>
      </c>
      <c r="J89">
        <v>7.0</v>
      </c>
      <c r="K89">
        <v>2.0</v>
      </c>
      <c r="L89" t="s">
        <v>2428</v>
      </c>
      <c r="M89">
        <v>100.0</v>
      </c>
      <c r="N89">
        <v>0.0</v>
      </c>
      <c r="O89" t="s">
        <v>2429</v>
      </c>
      <c r="P89">
        <v>3.0</v>
      </c>
      <c r="Q89" t="s">
        <v>2430</v>
      </c>
      <c r="R89">
        <v>125.0</v>
      </c>
      <c r="S89">
        <v>1.0</v>
      </c>
      <c r="T89" t="s">
        <v>2431</v>
      </c>
      <c r="U89">
        <v>0.0</v>
      </c>
      <c r="V89">
        <v>1.0</v>
      </c>
      <c r="W89">
        <v>0.0</v>
      </c>
      <c r="X89">
        <v>0.0</v>
      </c>
      <c r="Y89">
        <v>0.0</v>
      </c>
      <c r="Z89">
        <v>0.0</v>
      </c>
      <c r="AA89">
        <v>0.0</v>
      </c>
      <c r="AB89">
        <v>0.0</v>
      </c>
      <c r="AC89">
        <v>0.0</v>
      </c>
      <c r="AD89">
        <v>0.0</v>
      </c>
      <c r="AE89" t="s">
        <v>2432</v>
      </c>
      <c r="AF89" t="s">
        <v>2475</v>
      </c>
    </row>
    <row r="90" ht="15.75" customHeight="1">
      <c r="A90" t="s">
        <v>2630</v>
      </c>
      <c r="B90" t="s">
        <v>2631</v>
      </c>
      <c r="C90" t="s">
        <v>572</v>
      </c>
      <c r="D90" t="s">
        <v>2008</v>
      </c>
      <c r="E90" t="s">
        <v>2400</v>
      </c>
      <c r="F90" t="s">
        <v>2427</v>
      </c>
      <c r="G90" t="s">
        <v>570</v>
      </c>
      <c r="H90" t="s">
        <v>89</v>
      </c>
      <c r="I90">
        <v>6.0</v>
      </c>
      <c r="J90">
        <v>9.0</v>
      </c>
      <c r="K90">
        <v>2.0</v>
      </c>
      <c r="L90" t="s">
        <v>2428</v>
      </c>
      <c r="M90">
        <v>100.0</v>
      </c>
      <c r="N90">
        <v>0.0</v>
      </c>
      <c r="O90" t="s">
        <v>2429</v>
      </c>
      <c r="P90">
        <v>3.0</v>
      </c>
      <c r="Q90" t="s">
        <v>2430</v>
      </c>
      <c r="R90">
        <v>125.0</v>
      </c>
      <c r="S90">
        <v>1.0</v>
      </c>
      <c r="T90" t="s">
        <v>2431</v>
      </c>
      <c r="U90">
        <v>1.0</v>
      </c>
      <c r="V90">
        <v>1.0</v>
      </c>
      <c r="W90">
        <v>0.0</v>
      </c>
      <c r="X90">
        <v>0.0</v>
      </c>
      <c r="Y90">
        <v>0.0</v>
      </c>
      <c r="Z90">
        <v>0.0</v>
      </c>
      <c r="AA90">
        <v>0.0</v>
      </c>
      <c r="AB90">
        <v>0.0</v>
      </c>
      <c r="AC90">
        <v>0.0</v>
      </c>
      <c r="AD90">
        <v>0.0</v>
      </c>
      <c r="AE90" t="s">
        <v>2432</v>
      </c>
      <c r="AF90" t="s">
        <v>2475</v>
      </c>
    </row>
    <row r="91" ht="15.75" customHeight="1">
      <c r="A91" t="s">
        <v>2632</v>
      </c>
      <c r="B91" t="s">
        <v>2633</v>
      </c>
      <c r="C91" t="s">
        <v>575</v>
      </c>
      <c r="D91" t="s">
        <v>2008</v>
      </c>
      <c r="E91" t="s">
        <v>2400</v>
      </c>
      <c r="F91" t="s">
        <v>2427</v>
      </c>
      <c r="G91" t="s">
        <v>570</v>
      </c>
      <c r="H91" t="s">
        <v>89</v>
      </c>
      <c r="I91">
        <v>8.0</v>
      </c>
      <c r="J91">
        <v>11.0</v>
      </c>
      <c r="K91">
        <v>2.0</v>
      </c>
      <c r="L91" t="s">
        <v>2428</v>
      </c>
      <c r="M91">
        <v>100.0</v>
      </c>
      <c r="N91">
        <v>0.0</v>
      </c>
      <c r="O91" t="s">
        <v>2429</v>
      </c>
      <c r="P91">
        <v>3.0</v>
      </c>
      <c r="Q91" t="s">
        <v>2430</v>
      </c>
      <c r="R91">
        <v>125.0</v>
      </c>
      <c r="S91">
        <v>1.0</v>
      </c>
      <c r="T91" t="s">
        <v>2431</v>
      </c>
      <c r="U91">
        <v>1.0</v>
      </c>
      <c r="V91">
        <v>2.0</v>
      </c>
      <c r="W91">
        <v>0.0</v>
      </c>
      <c r="X91">
        <v>0.0</v>
      </c>
      <c r="Y91">
        <v>0.0</v>
      </c>
      <c r="Z91">
        <v>0.0</v>
      </c>
      <c r="AA91">
        <v>0.0</v>
      </c>
      <c r="AB91">
        <v>0.0</v>
      </c>
      <c r="AC91">
        <v>0.0</v>
      </c>
      <c r="AD91">
        <v>0.0</v>
      </c>
      <c r="AE91" t="s">
        <v>2432</v>
      </c>
      <c r="AF91" t="s">
        <v>2475</v>
      </c>
    </row>
    <row r="92" ht="15.75" customHeight="1">
      <c r="A92" t="s">
        <v>2634</v>
      </c>
      <c r="B92" t="s">
        <v>2635</v>
      </c>
      <c r="C92" t="s">
        <v>578</v>
      </c>
      <c r="D92" t="s">
        <v>2008</v>
      </c>
      <c r="E92" t="s">
        <v>2400</v>
      </c>
      <c r="F92" t="s">
        <v>2427</v>
      </c>
      <c r="G92" t="s">
        <v>570</v>
      </c>
      <c r="H92" t="s">
        <v>89</v>
      </c>
      <c r="I92">
        <v>10.0</v>
      </c>
      <c r="J92">
        <v>13.0</v>
      </c>
      <c r="K92">
        <v>2.0</v>
      </c>
      <c r="L92" t="s">
        <v>2428</v>
      </c>
      <c r="M92">
        <v>100.0</v>
      </c>
      <c r="N92">
        <v>0.0</v>
      </c>
      <c r="O92" t="s">
        <v>2429</v>
      </c>
      <c r="P92">
        <v>3.0</v>
      </c>
      <c r="Q92" t="s">
        <v>2430</v>
      </c>
      <c r="R92">
        <v>125.0</v>
      </c>
      <c r="S92">
        <v>1.0</v>
      </c>
      <c r="T92" t="s">
        <v>2431</v>
      </c>
      <c r="U92">
        <v>1.0</v>
      </c>
      <c r="V92">
        <v>3.0</v>
      </c>
      <c r="W92">
        <v>0.0</v>
      </c>
      <c r="X92">
        <v>1.0</v>
      </c>
      <c r="Y92">
        <v>0.0</v>
      </c>
      <c r="Z92">
        <v>0.0</v>
      </c>
      <c r="AA92">
        <v>0.0</v>
      </c>
      <c r="AB92">
        <v>0.0</v>
      </c>
      <c r="AC92">
        <v>1.0</v>
      </c>
      <c r="AD92">
        <v>0.0</v>
      </c>
      <c r="AE92" t="s">
        <v>2432</v>
      </c>
      <c r="AF92" t="s">
        <v>2475</v>
      </c>
    </row>
    <row r="93" ht="15.75" customHeight="1">
      <c r="A93" t="s">
        <v>2636</v>
      </c>
      <c r="B93" t="s">
        <v>2637</v>
      </c>
      <c r="C93" t="s">
        <v>581</v>
      </c>
      <c r="D93" t="s">
        <v>2008</v>
      </c>
      <c r="E93" t="s">
        <v>2400</v>
      </c>
      <c r="F93" t="s">
        <v>2427</v>
      </c>
      <c r="G93" t="s">
        <v>570</v>
      </c>
      <c r="H93" t="s">
        <v>89</v>
      </c>
      <c r="I93">
        <v>12.0</v>
      </c>
      <c r="J93">
        <v>16.0</v>
      </c>
      <c r="K93">
        <v>2.0</v>
      </c>
      <c r="L93" t="s">
        <v>2428</v>
      </c>
      <c r="M93">
        <v>100.0</v>
      </c>
      <c r="N93">
        <v>0.0</v>
      </c>
      <c r="O93" t="s">
        <v>2429</v>
      </c>
      <c r="P93">
        <v>3.0</v>
      </c>
      <c r="Q93" t="s">
        <v>2430</v>
      </c>
      <c r="R93">
        <v>125.0</v>
      </c>
      <c r="S93">
        <v>1.0</v>
      </c>
      <c r="T93" t="s">
        <v>2431</v>
      </c>
      <c r="U93">
        <v>2.0</v>
      </c>
      <c r="V93">
        <v>4.0</v>
      </c>
      <c r="W93">
        <v>0.0</v>
      </c>
      <c r="X93">
        <v>1.0</v>
      </c>
      <c r="Y93">
        <v>0.0</v>
      </c>
      <c r="Z93">
        <v>0.0</v>
      </c>
      <c r="AA93">
        <v>0.0</v>
      </c>
      <c r="AB93">
        <v>0.0</v>
      </c>
      <c r="AC93">
        <v>2.0</v>
      </c>
      <c r="AD93">
        <v>0.0</v>
      </c>
      <c r="AE93" t="s">
        <v>2432</v>
      </c>
      <c r="AF93" t="s">
        <v>2475</v>
      </c>
    </row>
    <row r="94" ht="15.75" customHeight="1">
      <c r="A94" t="s">
        <v>2638</v>
      </c>
      <c r="B94" t="s">
        <v>2639</v>
      </c>
      <c r="C94" t="s">
        <v>584</v>
      </c>
      <c r="D94" t="s">
        <v>2008</v>
      </c>
      <c r="E94" t="s">
        <v>2400</v>
      </c>
      <c r="F94" t="s">
        <v>2427</v>
      </c>
      <c r="G94" t="s">
        <v>570</v>
      </c>
      <c r="H94" t="s">
        <v>89</v>
      </c>
      <c r="I94">
        <v>14.0</v>
      </c>
      <c r="J94">
        <v>19.0</v>
      </c>
      <c r="K94">
        <v>2.0</v>
      </c>
      <c r="L94" t="s">
        <v>2428</v>
      </c>
      <c r="M94">
        <v>100.0</v>
      </c>
      <c r="N94">
        <v>0.0</v>
      </c>
      <c r="O94" t="s">
        <v>2429</v>
      </c>
      <c r="P94">
        <v>3.0</v>
      </c>
      <c r="Q94" t="s">
        <v>2430</v>
      </c>
      <c r="R94">
        <v>125.0</v>
      </c>
      <c r="S94">
        <v>1.0</v>
      </c>
      <c r="T94" t="s">
        <v>2431</v>
      </c>
      <c r="U94">
        <v>2.0</v>
      </c>
      <c r="V94">
        <v>5.0</v>
      </c>
      <c r="W94">
        <v>0.0</v>
      </c>
      <c r="X94">
        <v>2.0</v>
      </c>
      <c r="Y94">
        <v>0.0</v>
      </c>
      <c r="Z94">
        <v>0.0</v>
      </c>
      <c r="AA94">
        <v>0.0</v>
      </c>
      <c r="AB94">
        <v>0.0</v>
      </c>
      <c r="AC94">
        <v>3.0</v>
      </c>
      <c r="AD94">
        <v>0.0</v>
      </c>
      <c r="AE94" t="s">
        <v>2432</v>
      </c>
      <c r="AF94" t="s">
        <v>2475</v>
      </c>
    </row>
    <row r="95" ht="15.75" customHeight="1">
      <c r="A95" t="s">
        <v>2640</v>
      </c>
      <c r="B95" t="s">
        <v>2024</v>
      </c>
      <c r="C95" t="s">
        <v>569</v>
      </c>
      <c r="D95" t="s">
        <v>2024</v>
      </c>
      <c r="E95" t="s">
        <v>2400</v>
      </c>
      <c r="F95" t="s">
        <v>2384</v>
      </c>
      <c r="G95" t="s">
        <v>2175</v>
      </c>
      <c r="H95" t="s">
        <v>98</v>
      </c>
      <c r="I95">
        <v>3.0</v>
      </c>
      <c r="J95">
        <v>5.0</v>
      </c>
      <c r="K95">
        <v>2.0</v>
      </c>
      <c r="L95" t="s">
        <v>2433</v>
      </c>
      <c r="M95">
        <v>100.0</v>
      </c>
      <c r="N95">
        <v>0.0</v>
      </c>
      <c r="O95" t="s">
        <v>2434</v>
      </c>
      <c r="P95">
        <v>3.0</v>
      </c>
      <c r="Q95" t="s">
        <v>2435</v>
      </c>
      <c r="R95">
        <v>0.0</v>
      </c>
      <c r="S95">
        <v>3.0</v>
      </c>
      <c r="T95" t="s">
        <v>2436</v>
      </c>
      <c r="U95">
        <v>0.0</v>
      </c>
      <c r="V95">
        <v>0.0</v>
      </c>
      <c r="W95">
        <v>0.0</v>
      </c>
      <c r="X95">
        <v>0.0</v>
      </c>
      <c r="Y95">
        <v>1.0</v>
      </c>
      <c r="Z95">
        <v>0.0</v>
      </c>
      <c r="AA95">
        <v>0.0</v>
      </c>
      <c r="AB95">
        <v>0.0</v>
      </c>
      <c r="AC95">
        <v>0.0</v>
      </c>
      <c r="AD95">
        <v>0.0</v>
      </c>
      <c r="AE95" t="s">
        <v>2437</v>
      </c>
      <c r="AF95" t="s">
        <v>2475</v>
      </c>
    </row>
    <row r="96" ht="15.75" customHeight="1">
      <c r="A96" t="s">
        <v>2641</v>
      </c>
      <c r="B96" t="s">
        <v>2642</v>
      </c>
      <c r="C96" t="s">
        <v>572</v>
      </c>
      <c r="D96" t="s">
        <v>2024</v>
      </c>
      <c r="E96" t="s">
        <v>2400</v>
      </c>
      <c r="F96" t="s">
        <v>2384</v>
      </c>
      <c r="G96" t="s">
        <v>2175</v>
      </c>
      <c r="H96" t="s">
        <v>98</v>
      </c>
      <c r="I96">
        <v>4.0</v>
      </c>
      <c r="J96">
        <v>6.0</v>
      </c>
      <c r="K96">
        <v>2.0</v>
      </c>
      <c r="L96" t="s">
        <v>2433</v>
      </c>
      <c r="M96">
        <v>100.0</v>
      </c>
      <c r="N96">
        <v>0.0</v>
      </c>
      <c r="O96" t="s">
        <v>2434</v>
      </c>
      <c r="P96">
        <v>3.0</v>
      </c>
      <c r="Q96" t="s">
        <v>2435</v>
      </c>
      <c r="R96">
        <v>0.0</v>
      </c>
      <c r="S96">
        <v>3.0</v>
      </c>
      <c r="T96" t="s">
        <v>2436</v>
      </c>
      <c r="U96">
        <v>0.0</v>
      </c>
      <c r="V96">
        <v>0.0</v>
      </c>
      <c r="W96">
        <v>0.0</v>
      </c>
      <c r="X96">
        <v>0.0</v>
      </c>
      <c r="Y96">
        <v>1.0</v>
      </c>
      <c r="Z96">
        <v>1.0</v>
      </c>
      <c r="AA96">
        <v>0.0</v>
      </c>
      <c r="AB96">
        <v>0.0</v>
      </c>
      <c r="AC96">
        <v>0.0</v>
      </c>
      <c r="AD96">
        <v>0.0</v>
      </c>
      <c r="AE96" t="s">
        <v>2437</v>
      </c>
      <c r="AF96" t="s">
        <v>2475</v>
      </c>
    </row>
    <row r="97" ht="15.75" customHeight="1">
      <c r="A97" t="s">
        <v>2643</v>
      </c>
      <c r="B97" t="s">
        <v>2644</v>
      </c>
      <c r="C97" t="s">
        <v>575</v>
      </c>
      <c r="D97" t="s">
        <v>2024</v>
      </c>
      <c r="E97" t="s">
        <v>2400</v>
      </c>
      <c r="F97" t="s">
        <v>2384</v>
      </c>
      <c r="G97" t="s">
        <v>2175</v>
      </c>
      <c r="H97" t="s">
        <v>98</v>
      </c>
      <c r="I97">
        <v>5.0</v>
      </c>
      <c r="J97">
        <v>8.0</v>
      </c>
      <c r="K97">
        <v>2.0</v>
      </c>
      <c r="L97" t="s">
        <v>2433</v>
      </c>
      <c r="M97">
        <v>100.0</v>
      </c>
      <c r="N97">
        <v>0.0</v>
      </c>
      <c r="O97" t="s">
        <v>2434</v>
      </c>
      <c r="P97">
        <v>3.0</v>
      </c>
      <c r="Q97" t="s">
        <v>2435</v>
      </c>
      <c r="R97">
        <v>0.0</v>
      </c>
      <c r="S97">
        <v>3.0</v>
      </c>
      <c r="T97" t="s">
        <v>2436</v>
      </c>
      <c r="U97">
        <v>0.0</v>
      </c>
      <c r="V97">
        <v>0.0</v>
      </c>
      <c r="W97">
        <v>0.0</v>
      </c>
      <c r="X97">
        <v>0.0</v>
      </c>
      <c r="Y97">
        <v>2.0</v>
      </c>
      <c r="Z97">
        <v>1.0</v>
      </c>
      <c r="AA97">
        <v>0.0</v>
      </c>
      <c r="AB97">
        <v>0.0</v>
      </c>
      <c r="AC97">
        <v>0.0</v>
      </c>
      <c r="AD97">
        <v>0.0</v>
      </c>
      <c r="AE97" t="s">
        <v>2437</v>
      </c>
      <c r="AF97" t="s">
        <v>2475</v>
      </c>
    </row>
    <row r="98" ht="15.75" customHeight="1">
      <c r="A98" t="s">
        <v>2645</v>
      </c>
      <c r="B98" t="s">
        <v>2646</v>
      </c>
      <c r="C98" t="s">
        <v>578</v>
      </c>
      <c r="D98" t="s">
        <v>2024</v>
      </c>
      <c r="E98" t="s">
        <v>2400</v>
      </c>
      <c r="F98" t="s">
        <v>2384</v>
      </c>
      <c r="G98" t="s">
        <v>2175</v>
      </c>
      <c r="H98" t="s">
        <v>98</v>
      </c>
      <c r="I98">
        <v>6.0</v>
      </c>
      <c r="J98">
        <v>10.0</v>
      </c>
      <c r="K98">
        <v>2.0</v>
      </c>
      <c r="L98" t="s">
        <v>2433</v>
      </c>
      <c r="M98">
        <v>100.0</v>
      </c>
      <c r="N98">
        <v>0.0</v>
      </c>
      <c r="O98" t="s">
        <v>2434</v>
      </c>
      <c r="P98">
        <v>3.0</v>
      </c>
      <c r="Q98" t="s">
        <v>2435</v>
      </c>
      <c r="R98">
        <v>0.0</v>
      </c>
      <c r="S98">
        <v>3.0</v>
      </c>
      <c r="T98" t="s">
        <v>2436</v>
      </c>
      <c r="U98">
        <v>1.0</v>
      </c>
      <c r="V98">
        <v>0.0</v>
      </c>
      <c r="W98">
        <v>0.0</v>
      </c>
      <c r="X98">
        <v>0.0</v>
      </c>
      <c r="Y98">
        <v>3.0</v>
      </c>
      <c r="Z98">
        <v>1.0</v>
      </c>
      <c r="AA98">
        <v>0.0</v>
      </c>
      <c r="AB98">
        <v>0.0</v>
      </c>
      <c r="AC98">
        <v>0.0</v>
      </c>
      <c r="AD98">
        <v>1.0</v>
      </c>
      <c r="AE98" t="s">
        <v>2437</v>
      </c>
      <c r="AF98" t="s">
        <v>2475</v>
      </c>
    </row>
    <row r="99" ht="15.75" customHeight="1">
      <c r="A99" t="s">
        <v>2647</v>
      </c>
      <c r="B99" t="s">
        <v>2648</v>
      </c>
      <c r="C99" t="s">
        <v>581</v>
      </c>
      <c r="D99" t="s">
        <v>2024</v>
      </c>
      <c r="E99" t="s">
        <v>2400</v>
      </c>
      <c r="F99" t="s">
        <v>2384</v>
      </c>
      <c r="G99" t="s">
        <v>2175</v>
      </c>
      <c r="H99" t="s">
        <v>98</v>
      </c>
      <c r="I99">
        <v>7.0</v>
      </c>
      <c r="J99">
        <v>12.0</v>
      </c>
      <c r="K99">
        <v>2.0</v>
      </c>
      <c r="L99" t="s">
        <v>2433</v>
      </c>
      <c r="M99">
        <v>100.0</v>
      </c>
      <c r="N99">
        <v>0.0</v>
      </c>
      <c r="O99" t="s">
        <v>2434</v>
      </c>
      <c r="P99">
        <v>3.0</v>
      </c>
      <c r="Q99" t="s">
        <v>2435</v>
      </c>
      <c r="R99">
        <v>0.0</v>
      </c>
      <c r="S99">
        <v>3.0</v>
      </c>
      <c r="T99" t="s">
        <v>2436</v>
      </c>
      <c r="U99">
        <v>1.0</v>
      </c>
      <c r="V99">
        <v>0.0</v>
      </c>
      <c r="W99">
        <v>0.0</v>
      </c>
      <c r="X99">
        <v>0.0</v>
      </c>
      <c r="Y99">
        <v>4.0</v>
      </c>
      <c r="Z99">
        <v>2.0</v>
      </c>
      <c r="AA99">
        <v>0.0</v>
      </c>
      <c r="AB99">
        <v>0.0</v>
      </c>
      <c r="AC99">
        <v>0.0</v>
      </c>
      <c r="AD99">
        <v>2.0</v>
      </c>
      <c r="AE99" t="s">
        <v>2437</v>
      </c>
      <c r="AF99" t="s">
        <v>2475</v>
      </c>
    </row>
    <row r="100" ht="15.75" customHeight="1">
      <c r="A100" t="s">
        <v>2649</v>
      </c>
      <c r="B100" t="s">
        <v>2650</v>
      </c>
      <c r="C100" t="s">
        <v>584</v>
      </c>
      <c r="D100" t="s">
        <v>2024</v>
      </c>
      <c r="E100" t="s">
        <v>2400</v>
      </c>
      <c r="F100" t="s">
        <v>2384</v>
      </c>
      <c r="G100" t="s">
        <v>2175</v>
      </c>
      <c r="H100" t="s">
        <v>98</v>
      </c>
      <c r="I100">
        <v>8.0</v>
      </c>
      <c r="J100">
        <v>14.0</v>
      </c>
      <c r="K100">
        <v>2.0</v>
      </c>
      <c r="L100" t="s">
        <v>2433</v>
      </c>
      <c r="M100">
        <v>100.0</v>
      </c>
      <c r="N100">
        <v>0.0</v>
      </c>
      <c r="O100" t="s">
        <v>2434</v>
      </c>
      <c r="P100">
        <v>3.0</v>
      </c>
      <c r="Q100" t="s">
        <v>2435</v>
      </c>
      <c r="R100">
        <v>0.0</v>
      </c>
      <c r="S100">
        <v>3.0</v>
      </c>
      <c r="T100" t="s">
        <v>2436</v>
      </c>
      <c r="U100">
        <v>2.0</v>
      </c>
      <c r="V100">
        <v>0.0</v>
      </c>
      <c r="W100">
        <v>0.0</v>
      </c>
      <c r="X100">
        <v>0.0</v>
      </c>
      <c r="Y100">
        <v>5.0</v>
      </c>
      <c r="Z100">
        <v>2.0</v>
      </c>
      <c r="AA100">
        <v>0.0</v>
      </c>
      <c r="AB100">
        <v>0.0</v>
      </c>
      <c r="AC100">
        <v>0.0</v>
      </c>
      <c r="AD100">
        <v>3.0</v>
      </c>
      <c r="AE100" t="s">
        <v>2437</v>
      </c>
      <c r="AF100" t="s">
        <v>2475</v>
      </c>
    </row>
    <row r="101" ht="15.75" customHeight="1">
      <c r="A101" t="s">
        <v>2651</v>
      </c>
      <c r="B101" t="s">
        <v>2025</v>
      </c>
      <c r="C101" t="s">
        <v>569</v>
      </c>
      <c r="D101" t="s">
        <v>2025</v>
      </c>
      <c r="E101" t="s">
        <v>2400</v>
      </c>
      <c r="F101" t="s">
        <v>2438</v>
      </c>
      <c r="G101" t="s">
        <v>2175</v>
      </c>
      <c r="H101" t="s">
        <v>98</v>
      </c>
      <c r="I101">
        <v>2.0</v>
      </c>
      <c r="J101">
        <v>4.0</v>
      </c>
      <c r="K101">
        <v>2.0</v>
      </c>
      <c r="L101" t="s">
        <v>2439</v>
      </c>
      <c r="M101">
        <v>70.0</v>
      </c>
      <c r="N101">
        <v>0.0</v>
      </c>
      <c r="O101" t="s">
        <v>2440</v>
      </c>
      <c r="P101">
        <v>3.0</v>
      </c>
      <c r="Q101" t="s">
        <v>2441</v>
      </c>
      <c r="R101">
        <v>90.0</v>
      </c>
      <c r="S101">
        <v>1.0</v>
      </c>
      <c r="T101" t="s">
        <v>2442</v>
      </c>
      <c r="U101">
        <v>0.0</v>
      </c>
      <c r="V101">
        <v>0.0</v>
      </c>
      <c r="W101">
        <v>0.0</v>
      </c>
      <c r="X101">
        <v>0.0</v>
      </c>
      <c r="Y101">
        <v>1.0</v>
      </c>
      <c r="Z101">
        <v>0.0</v>
      </c>
      <c r="AA101">
        <v>0.0</v>
      </c>
      <c r="AB101">
        <v>0.0</v>
      </c>
      <c r="AC101">
        <v>0.0</v>
      </c>
      <c r="AD101">
        <v>0.0</v>
      </c>
      <c r="AE101" t="s">
        <v>2443</v>
      </c>
      <c r="AF101" t="s">
        <v>2475</v>
      </c>
    </row>
    <row r="102" ht="15.75" customHeight="1">
      <c r="A102" t="s">
        <v>2652</v>
      </c>
      <c r="B102" t="s">
        <v>2653</v>
      </c>
      <c r="C102" t="s">
        <v>572</v>
      </c>
      <c r="D102" t="s">
        <v>2025</v>
      </c>
      <c r="E102" t="s">
        <v>2400</v>
      </c>
      <c r="F102" t="s">
        <v>2438</v>
      </c>
      <c r="G102" t="s">
        <v>2175</v>
      </c>
      <c r="H102" t="s">
        <v>98</v>
      </c>
      <c r="I102">
        <v>3.0</v>
      </c>
      <c r="J102">
        <v>5.0</v>
      </c>
      <c r="K102">
        <v>2.0</v>
      </c>
      <c r="L102" t="s">
        <v>2439</v>
      </c>
      <c r="M102">
        <v>70.0</v>
      </c>
      <c r="N102">
        <v>0.0</v>
      </c>
      <c r="O102" t="s">
        <v>2440</v>
      </c>
      <c r="P102">
        <v>3.0</v>
      </c>
      <c r="Q102" t="s">
        <v>2441</v>
      </c>
      <c r="R102">
        <v>90.0</v>
      </c>
      <c r="S102">
        <v>1.0</v>
      </c>
      <c r="T102" t="s">
        <v>2442</v>
      </c>
      <c r="U102">
        <v>0.0</v>
      </c>
      <c r="V102">
        <v>0.0</v>
      </c>
      <c r="W102">
        <v>1.0</v>
      </c>
      <c r="X102">
        <v>0.0</v>
      </c>
      <c r="Y102">
        <v>1.0</v>
      </c>
      <c r="Z102">
        <v>0.0</v>
      </c>
      <c r="AA102">
        <v>0.0</v>
      </c>
      <c r="AB102">
        <v>0.0</v>
      </c>
      <c r="AC102">
        <v>0.0</v>
      </c>
      <c r="AD102">
        <v>0.0</v>
      </c>
      <c r="AE102" t="s">
        <v>2443</v>
      </c>
      <c r="AF102" t="s">
        <v>2475</v>
      </c>
    </row>
    <row r="103" ht="15.75" customHeight="1">
      <c r="A103" t="s">
        <v>2654</v>
      </c>
      <c r="B103" t="s">
        <v>2655</v>
      </c>
      <c r="C103" t="s">
        <v>575</v>
      </c>
      <c r="D103" t="s">
        <v>2025</v>
      </c>
      <c r="E103" t="s">
        <v>2400</v>
      </c>
      <c r="F103" t="s">
        <v>2438</v>
      </c>
      <c r="G103" t="s">
        <v>2175</v>
      </c>
      <c r="H103" t="s">
        <v>98</v>
      </c>
      <c r="I103">
        <v>3.0</v>
      </c>
      <c r="J103">
        <v>6.0</v>
      </c>
      <c r="K103">
        <v>2.0</v>
      </c>
      <c r="L103" t="s">
        <v>2439</v>
      </c>
      <c r="M103">
        <v>70.0</v>
      </c>
      <c r="N103">
        <v>0.0</v>
      </c>
      <c r="O103" t="s">
        <v>2440</v>
      </c>
      <c r="P103">
        <v>3.0</v>
      </c>
      <c r="Q103" t="s">
        <v>2441</v>
      </c>
      <c r="R103">
        <v>90.0</v>
      </c>
      <c r="S103">
        <v>1.0</v>
      </c>
      <c r="T103" t="s">
        <v>2442</v>
      </c>
      <c r="U103">
        <v>0.0</v>
      </c>
      <c r="V103">
        <v>0.0</v>
      </c>
      <c r="W103">
        <v>1.0</v>
      </c>
      <c r="X103">
        <v>0.0</v>
      </c>
      <c r="Y103">
        <v>2.0</v>
      </c>
      <c r="Z103">
        <v>0.0</v>
      </c>
      <c r="AA103">
        <v>0.0</v>
      </c>
      <c r="AB103">
        <v>0.0</v>
      </c>
      <c r="AC103">
        <v>0.0</v>
      </c>
      <c r="AD103">
        <v>0.0</v>
      </c>
      <c r="AE103" t="s">
        <v>2443</v>
      </c>
      <c r="AF103" t="s">
        <v>2475</v>
      </c>
    </row>
    <row r="104" ht="15.75" customHeight="1">
      <c r="A104" t="s">
        <v>2656</v>
      </c>
      <c r="B104" t="s">
        <v>2657</v>
      </c>
      <c r="C104" t="s">
        <v>578</v>
      </c>
      <c r="D104" t="s">
        <v>2025</v>
      </c>
      <c r="E104" t="s">
        <v>2400</v>
      </c>
      <c r="F104" t="s">
        <v>2438</v>
      </c>
      <c r="G104" t="s">
        <v>2175</v>
      </c>
      <c r="H104" t="s">
        <v>98</v>
      </c>
      <c r="I104">
        <v>4.0</v>
      </c>
      <c r="J104">
        <v>8.0</v>
      </c>
      <c r="K104">
        <v>2.0</v>
      </c>
      <c r="L104" t="s">
        <v>2439</v>
      </c>
      <c r="M104">
        <v>70.0</v>
      </c>
      <c r="N104">
        <v>0.0</v>
      </c>
      <c r="O104" t="s">
        <v>2440</v>
      </c>
      <c r="P104">
        <v>3.0</v>
      </c>
      <c r="Q104" t="s">
        <v>2441</v>
      </c>
      <c r="R104">
        <v>90.0</v>
      </c>
      <c r="S104">
        <v>1.0</v>
      </c>
      <c r="T104" t="s">
        <v>2442</v>
      </c>
      <c r="U104">
        <v>0.0</v>
      </c>
      <c r="V104">
        <v>0.0</v>
      </c>
      <c r="W104">
        <v>1.0</v>
      </c>
      <c r="X104">
        <v>0.0</v>
      </c>
      <c r="Y104">
        <v>3.0</v>
      </c>
      <c r="Z104">
        <v>1.0</v>
      </c>
      <c r="AA104">
        <v>0.0</v>
      </c>
      <c r="AB104">
        <v>0.0</v>
      </c>
      <c r="AC104">
        <v>0.0</v>
      </c>
      <c r="AD104">
        <v>1.0</v>
      </c>
      <c r="AE104" t="s">
        <v>2443</v>
      </c>
      <c r="AF104" t="s">
        <v>2475</v>
      </c>
    </row>
    <row r="105" ht="15.75" customHeight="1">
      <c r="A105" t="s">
        <v>2658</v>
      </c>
      <c r="B105" t="s">
        <v>2659</v>
      </c>
      <c r="C105" t="s">
        <v>581</v>
      </c>
      <c r="D105" t="s">
        <v>2025</v>
      </c>
      <c r="E105" t="s">
        <v>2400</v>
      </c>
      <c r="F105" t="s">
        <v>2438</v>
      </c>
      <c r="G105" t="s">
        <v>2175</v>
      </c>
      <c r="H105" t="s">
        <v>98</v>
      </c>
      <c r="I105">
        <v>5.0</v>
      </c>
      <c r="J105">
        <v>9.0</v>
      </c>
      <c r="K105">
        <v>2.0</v>
      </c>
      <c r="L105" t="s">
        <v>2439</v>
      </c>
      <c r="M105">
        <v>70.0</v>
      </c>
      <c r="N105">
        <v>0.0</v>
      </c>
      <c r="O105" t="s">
        <v>2440</v>
      </c>
      <c r="P105">
        <v>3.0</v>
      </c>
      <c r="Q105" t="s">
        <v>2441</v>
      </c>
      <c r="R105">
        <v>90.0</v>
      </c>
      <c r="S105">
        <v>1.0</v>
      </c>
      <c r="T105" t="s">
        <v>2442</v>
      </c>
      <c r="U105">
        <v>0.0</v>
      </c>
      <c r="V105">
        <v>0.0</v>
      </c>
      <c r="W105">
        <v>2.0</v>
      </c>
      <c r="X105">
        <v>0.0</v>
      </c>
      <c r="Y105">
        <v>4.0</v>
      </c>
      <c r="Z105">
        <v>1.0</v>
      </c>
      <c r="AA105">
        <v>0.0</v>
      </c>
      <c r="AB105">
        <v>0.0</v>
      </c>
      <c r="AC105">
        <v>0.0</v>
      </c>
      <c r="AD105">
        <v>2.0</v>
      </c>
      <c r="AE105" t="s">
        <v>2443</v>
      </c>
      <c r="AF105" t="s">
        <v>2475</v>
      </c>
    </row>
    <row r="106" ht="15.75" customHeight="1">
      <c r="A106" t="s">
        <v>2660</v>
      </c>
      <c r="B106" t="s">
        <v>2661</v>
      </c>
      <c r="C106" t="s">
        <v>584</v>
      </c>
      <c r="D106" t="s">
        <v>2025</v>
      </c>
      <c r="E106" t="s">
        <v>2400</v>
      </c>
      <c r="F106" t="s">
        <v>2438</v>
      </c>
      <c r="G106" t="s">
        <v>2175</v>
      </c>
      <c r="H106" t="s">
        <v>98</v>
      </c>
      <c r="I106">
        <v>6.0</v>
      </c>
      <c r="J106">
        <v>11.0</v>
      </c>
      <c r="K106">
        <v>2.0</v>
      </c>
      <c r="L106" t="s">
        <v>2439</v>
      </c>
      <c r="M106">
        <v>70.0</v>
      </c>
      <c r="N106">
        <v>0.0</v>
      </c>
      <c r="O106" t="s">
        <v>2440</v>
      </c>
      <c r="P106">
        <v>3.0</v>
      </c>
      <c r="Q106" t="s">
        <v>2441</v>
      </c>
      <c r="R106">
        <v>90.0</v>
      </c>
      <c r="S106">
        <v>1.0</v>
      </c>
      <c r="T106" t="s">
        <v>2442</v>
      </c>
      <c r="U106">
        <v>0.0</v>
      </c>
      <c r="V106">
        <v>0.0</v>
      </c>
      <c r="W106">
        <v>2.0</v>
      </c>
      <c r="X106">
        <v>0.0</v>
      </c>
      <c r="Y106">
        <v>5.0</v>
      </c>
      <c r="Z106">
        <v>2.0</v>
      </c>
      <c r="AA106">
        <v>0.0</v>
      </c>
      <c r="AB106">
        <v>0.0</v>
      </c>
      <c r="AC106">
        <v>0.0</v>
      </c>
      <c r="AD106">
        <v>3.0</v>
      </c>
      <c r="AE106" t="s">
        <v>2443</v>
      </c>
      <c r="AF106" t="s">
        <v>2475</v>
      </c>
    </row>
    <row r="107" ht="15.75" customHeight="1">
      <c r="A107" t="s">
        <v>2662</v>
      </c>
      <c r="B107" t="s">
        <v>2026</v>
      </c>
      <c r="C107" t="s">
        <v>569</v>
      </c>
      <c r="D107" t="s">
        <v>2026</v>
      </c>
      <c r="E107" t="s">
        <v>2400</v>
      </c>
      <c r="F107" t="s">
        <v>2444</v>
      </c>
      <c r="G107" t="s">
        <v>2175</v>
      </c>
      <c r="H107" t="s">
        <v>98</v>
      </c>
      <c r="I107">
        <v>2.0</v>
      </c>
      <c r="J107">
        <v>4.0</v>
      </c>
      <c r="K107">
        <v>2.0</v>
      </c>
      <c r="L107" t="s">
        <v>2445</v>
      </c>
      <c r="M107">
        <v>85.0</v>
      </c>
      <c r="N107">
        <v>0.0</v>
      </c>
      <c r="O107" t="s">
        <v>2446</v>
      </c>
      <c r="P107">
        <v>3.0</v>
      </c>
      <c r="Q107" t="s">
        <v>2447</v>
      </c>
      <c r="R107">
        <v>100.0</v>
      </c>
      <c r="S107">
        <v>1.0</v>
      </c>
      <c r="T107" t="s">
        <v>2448</v>
      </c>
      <c r="U107">
        <v>0.0</v>
      </c>
      <c r="V107">
        <v>0.0</v>
      </c>
      <c r="W107">
        <v>0.0</v>
      </c>
      <c r="X107">
        <v>0.0</v>
      </c>
      <c r="Y107">
        <v>1.0</v>
      </c>
      <c r="Z107">
        <v>0.0</v>
      </c>
      <c r="AA107">
        <v>0.0</v>
      </c>
      <c r="AB107">
        <v>0.0</v>
      </c>
      <c r="AC107">
        <v>0.0</v>
      </c>
      <c r="AD107">
        <v>0.0</v>
      </c>
      <c r="AE107" t="s">
        <v>2449</v>
      </c>
      <c r="AF107" t="s">
        <v>2475</v>
      </c>
    </row>
    <row r="108" ht="15.75" customHeight="1">
      <c r="A108" t="s">
        <v>2663</v>
      </c>
      <c r="B108" t="s">
        <v>2664</v>
      </c>
      <c r="C108" t="s">
        <v>572</v>
      </c>
      <c r="D108" t="s">
        <v>2026</v>
      </c>
      <c r="E108" t="s">
        <v>2400</v>
      </c>
      <c r="F108" t="s">
        <v>2444</v>
      </c>
      <c r="G108" t="s">
        <v>2175</v>
      </c>
      <c r="H108" t="s">
        <v>98</v>
      </c>
      <c r="I108">
        <v>3.0</v>
      </c>
      <c r="J108">
        <v>5.0</v>
      </c>
      <c r="K108">
        <v>2.0</v>
      </c>
      <c r="L108" t="s">
        <v>2445</v>
      </c>
      <c r="M108">
        <v>85.0</v>
      </c>
      <c r="N108">
        <v>0.0</v>
      </c>
      <c r="O108" t="s">
        <v>2446</v>
      </c>
      <c r="P108">
        <v>3.0</v>
      </c>
      <c r="Q108" t="s">
        <v>2447</v>
      </c>
      <c r="R108">
        <v>100.0</v>
      </c>
      <c r="S108">
        <v>1.0</v>
      </c>
      <c r="T108" t="s">
        <v>2448</v>
      </c>
      <c r="U108">
        <v>0.0</v>
      </c>
      <c r="V108">
        <v>0.0</v>
      </c>
      <c r="W108">
        <v>0.0</v>
      </c>
      <c r="X108">
        <v>0.0</v>
      </c>
      <c r="Y108">
        <v>1.0</v>
      </c>
      <c r="Z108">
        <v>1.0</v>
      </c>
      <c r="AA108">
        <v>0.0</v>
      </c>
      <c r="AB108">
        <v>0.0</v>
      </c>
      <c r="AC108">
        <v>0.0</v>
      </c>
      <c r="AD108">
        <v>0.0</v>
      </c>
      <c r="AE108" t="s">
        <v>2449</v>
      </c>
      <c r="AF108" t="s">
        <v>2475</v>
      </c>
    </row>
    <row r="109" ht="15.75" customHeight="1">
      <c r="A109" t="s">
        <v>2665</v>
      </c>
      <c r="B109" t="s">
        <v>2666</v>
      </c>
      <c r="C109" t="s">
        <v>575</v>
      </c>
      <c r="D109" t="s">
        <v>2026</v>
      </c>
      <c r="E109" t="s">
        <v>2400</v>
      </c>
      <c r="F109" t="s">
        <v>2444</v>
      </c>
      <c r="G109" t="s">
        <v>2175</v>
      </c>
      <c r="H109" t="s">
        <v>98</v>
      </c>
      <c r="I109">
        <v>3.0</v>
      </c>
      <c r="J109">
        <v>6.0</v>
      </c>
      <c r="K109">
        <v>2.0</v>
      </c>
      <c r="L109" t="s">
        <v>2445</v>
      </c>
      <c r="M109">
        <v>85.0</v>
      </c>
      <c r="N109">
        <v>0.0</v>
      </c>
      <c r="O109" t="s">
        <v>2446</v>
      </c>
      <c r="P109">
        <v>3.0</v>
      </c>
      <c r="Q109" t="s">
        <v>2447</v>
      </c>
      <c r="R109">
        <v>100.0</v>
      </c>
      <c r="S109">
        <v>1.0</v>
      </c>
      <c r="T109" t="s">
        <v>2448</v>
      </c>
      <c r="U109">
        <v>0.0</v>
      </c>
      <c r="V109">
        <v>0.0</v>
      </c>
      <c r="W109">
        <v>0.0</v>
      </c>
      <c r="X109">
        <v>0.0</v>
      </c>
      <c r="Y109">
        <v>2.0</v>
      </c>
      <c r="Z109">
        <v>1.0</v>
      </c>
      <c r="AA109">
        <v>0.0</v>
      </c>
      <c r="AB109">
        <v>0.0</v>
      </c>
      <c r="AC109">
        <v>0.0</v>
      </c>
      <c r="AD109">
        <v>0.0</v>
      </c>
      <c r="AE109" t="s">
        <v>2449</v>
      </c>
      <c r="AF109" t="s">
        <v>2475</v>
      </c>
    </row>
    <row r="110" ht="15.75" customHeight="1">
      <c r="A110" t="s">
        <v>2667</v>
      </c>
      <c r="B110" t="s">
        <v>2668</v>
      </c>
      <c r="C110" t="s">
        <v>578</v>
      </c>
      <c r="D110" t="s">
        <v>2026</v>
      </c>
      <c r="E110" t="s">
        <v>2400</v>
      </c>
      <c r="F110" t="s">
        <v>2444</v>
      </c>
      <c r="G110" t="s">
        <v>2175</v>
      </c>
      <c r="H110" t="s">
        <v>98</v>
      </c>
      <c r="I110">
        <v>4.0</v>
      </c>
      <c r="J110">
        <v>8.0</v>
      </c>
      <c r="K110">
        <v>2.0</v>
      </c>
      <c r="L110" t="s">
        <v>2445</v>
      </c>
      <c r="M110">
        <v>85.0</v>
      </c>
      <c r="N110">
        <v>0.0</v>
      </c>
      <c r="O110" t="s">
        <v>2446</v>
      </c>
      <c r="P110">
        <v>3.0</v>
      </c>
      <c r="Q110" t="s">
        <v>2447</v>
      </c>
      <c r="R110">
        <v>100.0</v>
      </c>
      <c r="S110">
        <v>1.0</v>
      </c>
      <c r="T110" t="s">
        <v>2448</v>
      </c>
      <c r="U110">
        <v>0.0</v>
      </c>
      <c r="V110">
        <v>0.0</v>
      </c>
      <c r="W110">
        <v>0.0</v>
      </c>
      <c r="X110">
        <v>0.0</v>
      </c>
      <c r="Y110">
        <v>3.0</v>
      </c>
      <c r="Z110">
        <v>1.0</v>
      </c>
      <c r="AA110">
        <v>1.0</v>
      </c>
      <c r="AB110">
        <v>0.0</v>
      </c>
      <c r="AC110">
        <v>0.0</v>
      </c>
      <c r="AD110">
        <v>1.0</v>
      </c>
      <c r="AE110" t="s">
        <v>2449</v>
      </c>
      <c r="AF110" t="s">
        <v>2475</v>
      </c>
    </row>
    <row r="111" ht="15.75" customHeight="1">
      <c r="A111" t="s">
        <v>2669</v>
      </c>
      <c r="B111" t="s">
        <v>2670</v>
      </c>
      <c r="C111" t="s">
        <v>581</v>
      </c>
      <c r="D111" t="s">
        <v>2026</v>
      </c>
      <c r="E111" t="s">
        <v>2400</v>
      </c>
      <c r="F111" t="s">
        <v>2444</v>
      </c>
      <c r="G111" t="s">
        <v>2175</v>
      </c>
      <c r="H111" t="s">
        <v>98</v>
      </c>
      <c r="I111">
        <v>5.0</v>
      </c>
      <c r="J111">
        <v>9.0</v>
      </c>
      <c r="K111">
        <v>2.0</v>
      </c>
      <c r="L111" t="s">
        <v>2445</v>
      </c>
      <c r="M111">
        <v>85.0</v>
      </c>
      <c r="N111">
        <v>0.0</v>
      </c>
      <c r="O111" t="s">
        <v>2446</v>
      </c>
      <c r="P111">
        <v>3.0</v>
      </c>
      <c r="Q111" t="s">
        <v>2447</v>
      </c>
      <c r="R111">
        <v>100.0</v>
      </c>
      <c r="S111">
        <v>1.0</v>
      </c>
      <c r="T111" t="s">
        <v>2448</v>
      </c>
      <c r="U111">
        <v>0.0</v>
      </c>
      <c r="V111">
        <v>0.0</v>
      </c>
      <c r="W111">
        <v>0.0</v>
      </c>
      <c r="X111">
        <v>0.0</v>
      </c>
      <c r="Y111">
        <v>4.0</v>
      </c>
      <c r="Z111">
        <v>2.0</v>
      </c>
      <c r="AA111">
        <v>1.0</v>
      </c>
      <c r="AB111">
        <v>0.0</v>
      </c>
      <c r="AC111">
        <v>0.0</v>
      </c>
      <c r="AD111">
        <v>2.0</v>
      </c>
      <c r="AE111" t="s">
        <v>2449</v>
      </c>
      <c r="AF111" t="s">
        <v>2475</v>
      </c>
    </row>
    <row r="112" ht="15.75" customHeight="1">
      <c r="A112" t="s">
        <v>2671</v>
      </c>
      <c r="B112" t="s">
        <v>2672</v>
      </c>
      <c r="C112" t="s">
        <v>584</v>
      </c>
      <c r="D112" t="s">
        <v>2026</v>
      </c>
      <c r="E112" t="s">
        <v>2400</v>
      </c>
      <c r="F112" t="s">
        <v>2444</v>
      </c>
      <c r="G112" t="s">
        <v>2175</v>
      </c>
      <c r="H112" t="s">
        <v>98</v>
      </c>
      <c r="I112">
        <v>6.0</v>
      </c>
      <c r="J112">
        <v>11.0</v>
      </c>
      <c r="K112">
        <v>2.0</v>
      </c>
      <c r="L112" t="s">
        <v>2445</v>
      </c>
      <c r="M112">
        <v>85.0</v>
      </c>
      <c r="N112">
        <v>0.0</v>
      </c>
      <c r="O112" t="s">
        <v>2446</v>
      </c>
      <c r="P112">
        <v>3.0</v>
      </c>
      <c r="Q112" t="s">
        <v>2447</v>
      </c>
      <c r="R112">
        <v>100.0</v>
      </c>
      <c r="S112">
        <v>1.0</v>
      </c>
      <c r="T112" t="s">
        <v>2448</v>
      </c>
      <c r="U112">
        <v>0.0</v>
      </c>
      <c r="V112">
        <v>0.0</v>
      </c>
      <c r="W112">
        <v>0.0</v>
      </c>
      <c r="X112">
        <v>0.0</v>
      </c>
      <c r="Y112">
        <v>5.0</v>
      </c>
      <c r="Z112">
        <v>2.0</v>
      </c>
      <c r="AA112">
        <v>2.0</v>
      </c>
      <c r="AB112">
        <v>0.0</v>
      </c>
      <c r="AC112">
        <v>0.0</v>
      </c>
      <c r="AD112">
        <v>3.0</v>
      </c>
      <c r="AE112" t="s">
        <v>2449</v>
      </c>
      <c r="AF112" t="s">
        <v>2475</v>
      </c>
    </row>
    <row r="113" ht="15.75" customHeight="1">
      <c r="A113" s="5" t="s">
        <v>2673</v>
      </c>
      <c r="B113" s="5" t="s">
        <v>2450</v>
      </c>
      <c r="C113" s="5" t="s">
        <v>2674</v>
      </c>
      <c r="D113" s="5" t="s">
        <v>2450</v>
      </c>
      <c r="E113" s="5" t="s">
        <v>2349</v>
      </c>
      <c r="F113" s="5" t="s">
        <v>2384</v>
      </c>
      <c r="G113" s="5" t="s">
        <v>2175</v>
      </c>
      <c r="H113" s="5" t="s">
        <v>98</v>
      </c>
      <c r="I113" s="5">
        <v>1.0</v>
      </c>
      <c r="J113" s="5">
        <v>2.0</v>
      </c>
      <c r="K113" s="5">
        <v>1.0</v>
      </c>
      <c r="L113" s="5" t="s">
        <v>2132</v>
      </c>
      <c r="M113" s="5">
        <v>100.0</v>
      </c>
      <c r="N113" s="5">
        <v>0.0</v>
      </c>
      <c r="O113" s="5" t="s">
        <v>2675</v>
      </c>
      <c r="P113" s="5"/>
      <c r="Q113" s="5"/>
      <c r="R113" s="5"/>
      <c r="S113" s="5"/>
      <c r="T113" s="5" t="s">
        <v>2452</v>
      </c>
      <c r="U113" s="5">
        <v>0.0</v>
      </c>
      <c r="V113" s="5">
        <v>0.0</v>
      </c>
      <c r="W113" s="5">
        <v>0.0</v>
      </c>
      <c r="X113" s="5">
        <v>0.0</v>
      </c>
      <c r="Y113" s="5">
        <v>0.0</v>
      </c>
      <c r="Z113" s="5">
        <v>0.0</v>
      </c>
      <c r="AA113" s="5">
        <v>0.0</v>
      </c>
      <c r="AB113" s="5">
        <v>0.0</v>
      </c>
      <c r="AC113" s="5">
        <v>0.0</v>
      </c>
      <c r="AD113" s="5">
        <v>0.0</v>
      </c>
      <c r="AE113" s="5" t="s">
        <v>2453</v>
      </c>
      <c r="AF113" s="5" t="s">
        <v>2676</v>
      </c>
    </row>
    <row r="114" ht="15.75" customHeight="1">
      <c r="A114" s="5" t="s">
        <v>2677</v>
      </c>
      <c r="B114" s="5" t="s">
        <v>2455</v>
      </c>
      <c r="C114" s="5" t="s">
        <v>2674</v>
      </c>
      <c r="D114" s="5" t="s">
        <v>2455</v>
      </c>
      <c r="E114" s="5" t="s">
        <v>2456</v>
      </c>
      <c r="F114" s="5" t="s">
        <v>2406</v>
      </c>
      <c r="G114" s="5" t="s">
        <v>570</v>
      </c>
      <c r="H114" s="5" t="s">
        <v>89</v>
      </c>
      <c r="I114" s="5">
        <v>2.0</v>
      </c>
      <c r="J114" s="5">
        <v>3.0</v>
      </c>
      <c r="K114" s="5">
        <v>1.0</v>
      </c>
      <c r="L114" s="5" t="s">
        <v>2132</v>
      </c>
      <c r="M114" s="5">
        <v>100.0</v>
      </c>
      <c r="N114" s="5">
        <v>0.0</v>
      </c>
      <c r="O114" s="5" t="s">
        <v>2678</v>
      </c>
      <c r="P114" s="5"/>
      <c r="Q114" s="5"/>
      <c r="R114" s="5"/>
      <c r="S114" s="5"/>
      <c r="T114" s="5" t="s">
        <v>2452</v>
      </c>
      <c r="U114" s="5">
        <v>0.0</v>
      </c>
      <c r="V114" s="5">
        <v>0.0</v>
      </c>
      <c r="W114" s="5">
        <v>0.0</v>
      </c>
      <c r="X114" s="5">
        <v>0.0</v>
      </c>
      <c r="Y114" s="5">
        <v>0.0</v>
      </c>
      <c r="Z114" s="5">
        <v>0.0</v>
      </c>
      <c r="AA114" s="5">
        <v>0.0</v>
      </c>
      <c r="AB114" s="5">
        <v>0.0</v>
      </c>
      <c r="AC114" s="5">
        <v>0.0</v>
      </c>
      <c r="AD114" s="5">
        <v>0.0</v>
      </c>
      <c r="AE114" s="5" t="s">
        <v>2458</v>
      </c>
      <c r="AF114" s="5" t="s">
        <v>2676</v>
      </c>
    </row>
    <row r="115" ht="15.75" customHeight="1">
      <c r="A115" s="5" t="s">
        <v>2679</v>
      </c>
      <c r="B115" s="5" t="s">
        <v>2459</v>
      </c>
      <c r="C115" s="5" t="s">
        <v>2674</v>
      </c>
      <c r="D115" s="5" t="s">
        <v>2459</v>
      </c>
      <c r="E115" s="5" t="s">
        <v>2456</v>
      </c>
      <c r="F115" s="5" t="s">
        <v>2438</v>
      </c>
      <c r="G115" s="5" t="s">
        <v>2175</v>
      </c>
      <c r="H115" s="5" t="s">
        <v>98</v>
      </c>
      <c r="I115" s="5">
        <v>1.0</v>
      </c>
      <c r="J115" s="5">
        <v>2.0</v>
      </c>
      <c r="K115" s="5">
        <v>1.0</v>
      </c>
      <c r="L115" s="5" t="s">
        <v>2132</v>
      </c>
      <c r="M115" s="5">
        <v>100.0</v>
      </c>
      <c r="N115" s="5">
        <v>0.0</v>
      </c>
      <c r="O115" s="5" t="s">
        <v>2675</v>
      </c>
      <c r="P115" s="5"/>
      <c r="Q115" s="5"/>
      <c r="R115" s="5"/>
      <c r="S115" s="5"/>
      <c r="T115" s="5" t="s">
        <v>2452</v>
      </c>
      <c r="U115" s="5">
        <v>0.0</v>
      </c>
      <c r="V115" s="5">
        <v>0.0</v>
      </c>
      <c r="W115" s="5">
        <v>0.0</v>
      </c>
      <c r="X115" s="5">
        <v>0.0</v>
      </c>
      <c r="Y115" s="5">
        <v>0.0</v>
      </c>
      <c r="Z115" s="5">
        <v>0.0</v>
      </c>
      <c r="AA115" s="5">
        <v>0.0</v>
      </c>
      <c r="AB115" s="5">
        <v>0.0</v>
      </c>
      <c r="AC115" s="5">
        <v>0.0</v>
      </c>
      <c r="AD115" s="5">
        <v>0.0</v>
      </c>
      <c r="AE115" s="5" t="s">
        <v>2460</v>
      </c>
      <c r="AF115" s="5" t="s">
        <v>2676</v>
      </c>
    </row>
    <row r="116" ht="15.75" customHeight="1">
      <c r="A116" s="5" t="s">
        <v>2680</v>
      </c>
      <c r="B116" s="5" t="s">
        <v>2461</v>
      </c>
      <c r="C116" s="5" t="s">
        <v>2674</v>
      </c>
      <c r="D116" s="5" t="s">
        <v>2461</v>
      </c>
      <c r="E116" s="5" t="s">
        <v>2456</v>
      </c>
      <c r="F116" s="5" t="s">
        <v>1856</v>
      </c>
      <c r="G116" s="5" t="s">
        <v>573</v>
      </c>
      <c r="H116" s="5" t="s">
        <v>94</v>
      </c>
      <c r="I116" s="5">
        <v>1.0</v>
      </c>
      <c r="J116" s="5">
        <v>2.0</v>
      </c>
      <c r="K116" s="5">
        <v>1.0</v>
      </c>
      <c r="L116" s="5" t="s">
        <v>2132</v>
      </c>
      <c r="M116" s="5">
        <v>100.0</v>
      </c>
      <c r="N116" s="5">
        <v>0.0</v>
      </c>
      <c r="O116" s="5" t="s">
        <v>2681</v>
      </c>
      <c r="P116" s="5"/>
      <c r="Q116" s="5"/>
      <c r="R116" s="5"/>
      <c r="S116" s="5"/>
      <c r="T116" s="5" t="s">
        <v>2452</v>
      </c>
      <c r="U116" s="5">
        <v>0.0</v>
      </c>
      <c r="V116" s="5">
        <v>0.0</v>
      </c>
      <c r="W116" s="5">
        <v>0.0</v>
      </c>
      <c r="X116" s="5">
        <v>0.0</v>
      </c>
      <c r="Y116" s="5">
        <v>0.0</v>
      </c>
      <c r="Z116" s="5">
        <v>0.0</v>
      </c>
      <c r="AA116" s="5">
        <v>0.0</v>
      </c>
      <c r="AB116" s="5">
        <v>0.0</v>
      </c>
      <c r="AC116" s="5">
        <v>0.0</v>
      </c>
      <c r="AD116" s="5">
        <v>0.0</v>
      </c>
      <c r="AE116" s="5" t="s">
        <v>2463</v>
      </c>
      <c r="AF116" s="5" t="s">
        <v>2676</v>
      </c>
    </row>
    <row r="117" ht="15.75" customHeight="1">
      <c r="A117" s="5" t="s">
        <v>2682</v>
      </c>
      <c r="B117" s="5" t="s">
        <v>2464</v>
      </c>
      <c r="C117" s="5" t="s">
        <v>2674</v>
      </c>
      <c r="D117" s="5" t="s">
        <v>2464</v>
      </c>
      <c r="E117" s="5" t="s">
        <v>2456</v>
      </c>
      <c r="F117" s="5" t="s">
        <v>2465</v>
      </c>
      <c r="G117" s="5" t="s">
        <v>2175</v>
      </c>
      <c r="H117" s="5" t="s">
        <v>98</v>
      </c>
      <c r="I117" s="5">
        <v>1.0</v>
      </c>
      <c r="J117" s="5">
        <v>2.0</v>
      </c>
      <c r="K117" s="5">
        <v>1.0</v>
      </c>
      <c r="L117" s="5" t="s">
        <v>2132</v>
      </c>
      <c r="M117" s="5">
        <v>100.0</v>
      </c>
      <c r="N117" s="5">
        <v>0.0</v>
      </c>
      <c r="O117" s="5" t="s">
        <v>2675</v>
      </c>
      <c r="P117" s="5"/>
      <c r="Q117" s="5"/>
      <c r="R117" s="5"/>
      <c r="S117" s="5"/>
      <c r="T117" s="5" t="s">
        <v>2452</v>
      </c>
      <c r="U117" s="5">
        <v>0.0</v>
      </c>
      <c r="V117" s="5">
        <v>0.0</v>
      </c>
      <c r="W117" s="5">
        <v>0.0</v>
      </c>
      <c r="X117" s="5">
        <v>0.0</v>
      </c>
      <c r="Y117" s="5">
        <v>0.0</v>
      </c>
      <c r="Z117" s="5">
        <v>0.0</v>
      </c>
      <c r="AA117" s="5">
        <v>0.0</v>
      </c>
      <c r="AB117" s="5">
        <v>0.0</v>
      </c>
      <c r="AC117" s="5">
        <v>0.0</v>
      </c>
      <c r="AD117" s="5">
        <v>0.0</v>
      </c>
      <c r="AE117" s="5" t="s">
        <v>2466</v>
      </c>
      <c r="AF117" s="5" t="s">
        <v>2676</v>
      </c>
    </row>
  </sheetData>
  <mergeCells count="1">
    <mergeCell ref="A1:AF1"/>
  </mergeCell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9" width="8.71"/>
  </cols>
  <sheetData>
    <row r="1">
      <c r="A1" t="s">
        <v>2683</v>
      </c>
    </row>
    <row r="4">
      <c r="A4" t="s">
        <v>2468</v>
      </c>
      <c r="B4" t="s">
        <v>2469</v>
      </c>
      <c r="C4" t="s">
        <v>133</v>
      </c>
      <c r="D4" t="s">
        <v>2684</v>
      </c>
      <c r="E4" t="s">
        <v>2104</v>
      </c>
      <c r="F4" t="s">
        <v>2685</v>
      </c>
      <c r="G4" t="s">
        <v>2686</v>
      </c>
      <c r="H4" t="s">
        <v>1266</v>
      </c>
      <c r="I4" t="s">
        <v>1223</v>
      </c>
      <c r="J4" t="s">
        <v>82</v>
      </c>
      <c r="K4" t="s">
        <v>89</v>
      </c>
      <c r="L4" t="s">
        <v>94</v>
      </c>
      <c r="M4" t="s">
        <v>106</v>
      </c>
      <c r="N4" t="s">
        <v>98</v>
      </c>
      <c r="O4" t="s">
        <v>111</v>
      </c>
      <c r="P4" t="s">
        <v>101</v>
      </c>
      <c r="Q4" t="s">
        <v>2687</v>
      </c>
      <c r="R4" t="s">
        <v>2688</v>
      </c>
      <c r="S4" t="s">
        <v>2689</v>
      </c>
      <c r="T4" t="s">
        <v>2690</v>
      </c>
      <c r="U4" t="s">
        <v>2347</v>
      </c>
      <c r="V4" t="s">
        <v>2348</v>
      </c>
      <c r="W4" t="s">
        <v>5</v>
      </c>
      <c r="X4" t="s">
        <v>2691</v>
      </c>
      <c r="Y4" t="s">
        <v>2692</v>
      </c>
      <c r="Z4" t="s">
        <v>2310</v>
      </c>
      <c r="AA4" t="s">
        <v>2693</v>
      </c>
      <c r="AB4" t="s">
        <v>1180</v>
      </c>
      <c r="AC4" t="s">
        <v>2694</v>
      </c>
    </row>
    <row r="5">
      <c r="A5" t="s">
        <v>2695</v>
      </c>
      <c r="B5" t="s">
        <v>2696</v>
      </c>
      <c r="C5" t="s">
        <v>569</v>
      </c>
      <c r="D5" t="s">
        <v>2697</v>
      </c>
      <c r="E5" t="s">
        <v>2113</v>
      </c>
      <c r="F5" t="s">
        <v>2698</v>
      </c>
      <c r="G5" t="s">
        <v>2699</v>
      </c>
      <c r="H5">
        <v>4.0</v>
      </c>
      <c r="I5">
        <v>0.0</v>
      </c>
      <c r="J5">
        <v>0.0</v>
      </c>
      <c r="K5">
        <v>0.0</v>
      </c>
      <c r="L5">
        <v>0.0</v>
      </c>
      <c r="M5">
        <v>1.0</v>
      </c>
      <c r="N5">
        <v>0.0</v>
      </c>
      <c r="O5">
        <v>0.0</v>
      </c>
      <c r="P5">
        <v>0.0</v>
      </c>
      <c r="Q5">
        <v>-2.0</v>
      </c>
      <c r="R5" t="s">
        <v>2700</v>
      </c>
      <c r="S5" t="s">
        <v>2701</v>
      </c>
      <c r="T5" t="s">
        <v>2702</v>
      </c>
      <c r="U5" t="s">
        <v>2703</v>
      </c>
      <c r="V5" t="s">
        <v>2704</v>
      </c>
      <c r="W5" t="s">
        <v>1547</v>
      </c>
      <c r="X5" t="s">
        <v>2705</v>
      </c>
      <c r="Y5" t="s">
        <v>2706</v>
      </c>
      <c r="Z5" t="s">
        <v>1602</v>
      </c>
      <c r="AA5">
        <v>0.0</v>
      </c>
      <c r="AB5">
        <v>0.0</v>
      </c>
      <c r="AC5" t="s">
        <v>2707</v>
      </c>
    </row>
    <row r="6">
      <c r="A6" t="s">
        <v>2708</v>
      </c>
      <c r="B6" t="s">
        <v>2709</v>
      </c>
      <c r="C6" t="s">
        <v>572</v>
      </c>
      <c r="D6" t="s">
        <v>2697</v>
      </c>
      <c r="E6" t="s">
        <v>2113</v>
      </c>
      <c r="F6" t="s">
        <v>2698</v>
      </c>
      <c r="G6" t="s">
        <v>2699</v>
      </c>
      <c r="H6">
        <v>6.0</v>
      </c>
      <c r="I6">
        <v>1.0</v>
      </c>
      <c r="J6">
        <v>1.0</v>
      </c>
      <c r="K6">
        <v>0.0</v>
      </c>
      <c r="L6">
        <v>0.0</v>
      </c>
      <c r="M6">
        <v>1.0</v>
      </c>
      <c r="N6">
        <v>0.0</v>
      </c>
      <c r="O6">
        <v>0.0</v>
      </c>
      <c r="P6">
        <v>0.0</v>
      </c>
      <c r="Q6">
        <v>-2.0</v>
      </c>
      <c r="R6" t="s">
        <v>2700</v>
      </c>
      <c r="S6" t="s">
        <v>2701</v>
      </c>
      <c r="T6" t="s">
        <v>2702</v>
      </c>
      <c r="U6" t="s">
        <v>2703</v>
      </c>
      <c r="V6" t="s">
        <v>2704</v>
      </c>
      <c r="W6" t="s">
        <v>1547</v>
      </c>
      <c r="X6" t="s">
        <v>2705</v>
      </c>
      <c r="Y6" t="s">
        <v>2706</v>
      </c>
      <c r="Z6" t="s">
        <v>2705</v>
      </c>
      <c r="AA6">
        <v>2.0</v>
      </c>
      <c r="AB6">
        <v>1.0</v>
      </c>
      <c r="AC6" t="s">
        <v>1262</v>
      </c>
    </row>
    <row r="7">
      <c r="A7" t="s">
        <v>2710</v>
      </c>
      <c r="B7" t="s">
        <v>2711</v>
      </c>
      <c r="C7" t="s">
        <v>575</v>
      </c>
      <c r="D7" t="s">
        <v>2697</v>
      </c>
      <c r="E7" t="s">
        <v>2113</v>
      </c>
      <c r="F7" t="s">
        <v>2698</v>
      </c>
      <c r="G7" t="s">
        <v>2699</v>
      </c>
      <c r="H7">
        <v>9.0</v>
      </c>
      <c r="I7">
        <v>1.0</v>
      </c>
      <c r="J7">
        <v>1.0</v>
      </c>
      <c r="K7">
        <v>0.0</v>
      </c>
      <c r="L7">
        <v>0.0</v>
      </c>
      <c r="M7">
        <v>2.0</v>
      </c>
      <c r="N7">
        <v>0.0</v>
      </c>
      <c r="O7">
        <v>0.0</v>
      </c>
      <c r="P7">
        <v>0.0</v>
      </c>
      <c r="Q7">
        <v>-2.0</v>
      </c>
      <c r="R7" t="s">
        <v>2712</v>
      </c>
      <c r="S7" t="s">
        <v>2713</v>
      </c>
      <c r="T7" t="s">
        <v>2702</v>
      </c>
      <c r="U7" t="s">
        <v>2703</v>
      </c>
      <c r="V7" t="s">
        <v>2704</v>
      </c>
      <c r="W7" t="s">
        <v>1547</v>
      </c>
      <c r="X7" t="s">
        <v>2705</v>
      </c>
      <c r="Y7" t="s">
        <v>2706</v>
      </c>
      <c r="Z7" t="s">
        <v>2705</v>
      </c>
      <c r="AA7">
        <v>2.0</v>
      </c>
      <c r="AB7">
        <v>1.0</v>
      </c>
      <c r="AC7" t="s">
        <v>1262</v>
      </c>
    </row>
    <row r="8">
      <c r="A8" t="s">
        <v>2714</v>
      </c>
      <c r="B8" t="s">
        <v>2715</v>
      </c>
      <c r="C8" t="s">
        <v>578</v>
      </c>
      <c r="D8" t="s">
        <v>2697</v>
      </c>
      <c r="E8" t="s">
        <v>2113</v>
      </c>
      <c r="F8" t="s">
        <v>2698</v>
      </c>
      <c r="G8" t="s">
        <v>2699</v>
      </c>
      <c r="H8">
        <v>12.0</v>
      </c>
      <c r="I8">
        <v>1.0</v>
      </c>
      <c r="J8">
        <v>1.0</v>
      </c>
      <c r="K8">
        <v>1.0</v>
      </c>
      <c r="L8">
        <v>0.0</v>
      </c>
      <c r="M8">
        <v>3.0</v>
      </c>
      <c r="N8">
        <v>0.0</v>
      </c>
      <c r="O8">
        <v>0.0</v>
      </c>
      <c r="P8">
        <v>0.0</v>
      </c>
      <c r="Q8">
        <v>-2.0</v>
      </c>
      <c r="R8" t="s">
        <v>2712</v>
      </c>
      <c r="S8" t="s">
        <v>2713</v>
      </c>
      <c r="T8" t="s">
        <v>2702</v>
      </c>
      <c r="U8" t="s">
        <v>2703</v>
      </c>
      <c r="V8" t="s">
        <v>2704</v>
      </c>
      <c r="W8" t="s">
        <v>1547</v>
      </c>
      <c r="X8" t="s">
        <v>2705</v>
      </c>
      <c r="Y8" t="s">
        <v>2706</v>
      </c>
      <c r="Z8" t="s">
        <v>2706</v>
      </c>
      <c r="AA8">
        <v>3.0</v>
      </c>
      <c r="AB8">
        <v>2.0</v>
      </c>
      <c r="AC8" t="s">
        <v>2716</v>
      </c>
    </row>
    <row r="9">
      <c r="A9" t="s">
        <v>2717</v>
      </c>
      <c r="B9" t="s">
        <v>2718</v>
      </c>
      <c r="C9" t="s">
        <v>581</v>
      </c>
      <c r="D9" t="s">
        <v>2697</v>
      </c>
      <c r="E9" t="s">
        <v>2113</v>
      </c>
      <c r="F9" t="s">
        <v>2698</v>
      </c>
      <c r="G9" t="s">
        <v>2699</v>
      </c>
      <c r="H9">
        <v>16.0</v>
      </c>
      <c r="I9">
        <v>2.0</v>
      </c>
      <c r="J9">
        <v>2.0</v>
      </c>
      <c r="K9">
        <v>1.0</v>
      </c>
      <c r="L9">
        <v>0.0</v>
      </c>
      <c r="M9">
        <v>4.0</v>
      </c>
      <c r="N9">
        <v>0.0</v>
      </c>
      <c r="O9">
        <v>0.0</v>
      </c>
      <c r="P9">
        <v>0.0</v>
      </c>
      <c r="Q9">
        <v>-2.0</v>
      </c>
      <c r="R9" t="s">
        <v>2719</v>
      </c>
      <c r="S9" t="s">
        <v>2720</v>
      </c>
      <c r="T9" t="s">
        <v>2702</v>
      </c>
      <c r="U9" t="s">
        <v>2703</v>
      </c>
      <c r="V9" t="s">
        <v>2704</v>
      </c>
      <c r="W9" t="s">
        <v>1547</v>
      </c>
      <c r="X9" t="s">
        <v>2705</v>
      </c>
      <c r="Y9" t="s">
        <v>2706</v>
      </c>
      <c r="Z9" t="s">
        <v>2706</v>
      </c>
      <c r="AA9">
        <v>3.0</v>
      </c>
      <c r="AB9">
        <v>2.0</v>
      </c>
      <c r="AC9" t="s">
        <v>2716</v>
      </c>
    </row>
    <row r="10">
      <c r="A10" t="s">
        <v>2721</v>
      </c>
      <c r="B10" t="s">
        <v>2722</v>
      </c>
      <c r="C10" t="s">
        <v>584</v>
      </c>
      <c r="D10" t="s">
        <v>2697</v>
      </c>
      <c r="E10" t="s">
        <v>2113</v>
      </c>
      <c r="F10" t="s">
        <v>2698</v>
      </c>
      <c r="G10" t="s">
        <v>2699</v>
      </c>
      <c r="H10">
        <v>21.0</v>
      </c>
      <c r="I10">
        <v>3.0</v>
      </c>
      <c r="J10">
        <v>2.0</v>
      </c>
      <c r="K10">
        <v>2.0</v>
      </c>
      <c r="L10">
        <v>0.0</v>
      </c>
      <c r="M10">
        <v>5.0</v>
      </c>
      <c r="N10">
        <v>0.0</v>
      </c>
      <c r="O10">
        <v>0.0</v>
      </c>
      <c r="P10">
        <v>0.0</v>
      </c>
      <c r="Q10">
        <v>-2.0</v>
      </c>
      <c r="R10" t="s">
        <v>2723</v>
      </c>
      <c r="S10" t="s">
        <v>2724</v>
      </c>
      <c r="T10" t="s">
        <v>2702</v>
      </c>
      <c r="U10" t="s">
        <v>2703</v>
      </c>
      <c r="V10" t="s">
        <v>2704</v>
      </c>
      <c r="W10" t="s">
        <v>1547</v>
      </c>
      <c r="X10" t="s">
        <v>2705</v>
      </c>
      <c r="Y10" t="s">
        <v>2706</v>
      </c>
      <c r="Z10" t="s">
        <v>2706</v>
      </c>
      <c r="AA10">
        <v>3.0</v>
      </c>
      <c r="AB10">
        <v>2.0</v>
      </c>
      <c r="AC10" t="s">
        <v>2716</v>
      </c>
    </row>
    <row r="11">
      <c r="A11" t="s">
        <v>2725</v>
      </c>
      <c r="B11" t="s">
        <v>2726</v>
      </c>
      <c r="C11" t="s">
        <v>569</v>
      </c>
      <c r="D11" t="s">
        <v>2727</v>
      </c>
      <c r="E11" t="s">
        <v>2113</v>
      </c>
      <c r="F11" t="s">
        <v>956</v>
      </c>
      <c r="G11" t="s">
        <v>2728</v>
      </c>
      <c r="H11">
        <v>0.0</v>
      </c>
      <c r="I11">
        <v>4.0</v>
      </c>
      <c r="J11">
        <v>0.0</v>
      </c>
      <c r="K11">
        <v>0.0</v>
      </c>
      <c r="L11">
        <v>0.0</v>
      </c>
      <c r="M11">
        <v>0.0</v>
      </c>
      <c r="N11">
        <v>0.0</v>
      </c>
      <c r="O11">
        <v>1.0</v>
      </c>
      <c r="P11">
        <v>0.0</v>
      </c>
      <c r="Q11">
        <v>0.0</v>
      </c>
      <c r="R11" t="s">
        <v>2729</v>
      </c>
      <c r="S11" t="s">
        <v>2730</v>
      </c>
      <c r="T11" t="s">
        <v>2702</v>
      </c>
      <c r="U11" t="s">
        <v>2731</v>
      </c>
      <c r="V11" t="s">
        <v>2704</v>
      </c>
      <c r="W11" t="s">
        <v>1547</v>
      </c>
      <c r="X11" t="s">
        <v>2732</v>
      </c>
      <c r="Y11" t="s">
        <v>2733</v>
      </c>
      <c r="Z11" t="s">
        <v>1602</v>
      </c>
      <c r="AA11">
        <v>0.0</v>
      </c>
      <c r="AB11">
        <v>0.0</v>
      </c>
      <c r="AC11" t="s">
        <v>2707</v>
      </c>
    </row>
    <row r="12">
      <c r="A12" t="s">
        <v>2734</v>
      </c>
      <c r="B12" t="s">
        <v>2735</v>
      </c>
      <c r="C12" t="s">
        <v>572</v>
      </c>
      <c r="D12" t="s">
        <v>2727</v>
      </c>
      <c r="E12" t="s">
        <v>2113</v>
      </c>
      <c r="F12" t="s">
        <v>956</v>
      </c>
      <c r="G12" t="s">
        <v>2728</v>
      </c>
      <c r="H12">
        <v>0.0</v>
      </c>
      <c r="I12">
        <v>6.0</v>
      </c>
      <c r="J12">
        <v>0.0</v>
      </c>
      <c r="K12">
        <v>0.0</v>
      </c>
      <c r="L12">
        <v>0.0</v>
      </c>
      <c r="M12">
        <v>0.0</v>
      </c>
      <c r="N12">
        <v>1.0</v>
      </c>
      <c r="O12">
        <v>1.0</v>
      </c>
      <c r="P12">
        <v>0.0</v>
      </c>
      <c r="Q12">
        <v>0.0</v>
      </c>
      <c r="R12" t="s">
        <v>2729</v>
      </c>
      <c r="S12" t="s">
        <v>2730</v>
      </c>
      <c r="T12" t="s">
        <v>2702</v>
      </c>
      <c r="U12" t="s">
        <v>2731</v>
      </c>
      <c r="V12" t="s">
        <v>2704</v>
      </c>
      <c r="W12" t="s">
        <v>1547</v>
      </c>
      <c r="X12" t="s">
        <v>2732</v>
      </c>
      <c r="Y12" t="s">
        <v>2733</v>
      </c>
      <c r="Z12" t="s">
        <v>2732</v>
      </c>
      <c r="AA12">
        <v>2.0</v>
      </c>
      <c r="AB12">
        <v>1.0</v>
      </c>
      <c r="AC12" t="s">
        <v>2736</v>
      </c>
    </row>
    <row r="13">
      <c r="A13" t="s">
        <v>2737</v>
      </c>
      <c r="B13" t="s">
        <v>2738</v>
      </c>
      <c r="C13" t="s">
        <v>575</v>
      </c>
      <c r="D13" t="s">
        <v>2727</v>
      </c>
      <c r="E13" t="s">
        <v>2113</v>
      </c>
      <c r="F13" t="s">
        <v>956</v>
      </c>
      <c r="G13" t="s">
        <v>2728</v>
      </c>
      <c r="H13">
        <v>1.0</v>
      </c>
      <c r="I13">
        <v>8.0</v>
      </c>
      <c r="J13">
        <v>0.0</v>
      </c>
      <c r="K13">
        <v>0.0</v>
      </c>
      <c r="L13">
        <v>0.0</v>
      </c>
      <c r="M13">
        <v>0.0</v>
      </c>
      <c r="N13">
        <v>1.0</v>
      </c>
      <c r="O13">
        <v>2.0</v>
      </c>
      <c r="P13">
        <v>0.0</v>
      </c>
      <c r="Q13">
        <v>0.0</v>
      </c>
      <c r="R13" t="s">
        <v>2739</v>
      </c>
      <c r="S13" t="s">
        <v>2740</v>
      </c>
      <c r="T13" t="s">
        <v>2702</v>
      </c>
      <c r="U13" t="s">
        <v>2731</v>
      </c>
      <c r="V13" t="s">
        <v>2704</v>
      </c>
      <c r="W13" t="s">
        <v>1547</v>
      </c>
      <c r="X13" t="s">
        <v>2732</v>
      </c>
      <c r="Y13" t="s">
        <v>2733</v>
      </c>
      <c r="Z13" t="s">
        <v>2732</v>
      </c>
      <c r="AA13">
        <v>2.0</v>
      </c>
      <c r="AB13">
        <v>1.0</v>
      </c>
      <c r="AC13" t="s">
        <v>2736</v>
      </c>
    </row>
    <row r="14">
      <c r="A14" t="s">
        <v>2741</v>
      </c>
      <c r="B14" t="s">
        <v>2742</v>
      </c>
      <c r="C14" t="s">
        <v>578</v>
      </c>
      <c r="D14" t="s">
        <v>2727</v>
      </c>
      <c r="E14" t="s">
        <v>2113</v>
      </c>
      <c r="F14" t="s">
        <v>956</v>
      </c>
      <c r="G14" t="s">
        <v>2728</v>
      </c>
      <c r="H14">
        <v>1.0</v>
      </c>
      <c r="I14">
        <v>11.0</v>
      </c>
      <c r="J14">
        <v>1.0</v>
      </c>
      <c r="K14">
        <v>0.0</v>
      </c>
      <c r="L14">
        <v>0.0</v>
      </c>
      <c r="M14">
        <v>0.0</v>
      </c>
      <c r="N14">
        <v>1.0</v>
      </c>
      <c r="O14">
        <v>3.0</v>
      </c>
      <c r="P14">
        <v>0.0</v>
      </c>
      <c r="Q14">
        <v>0.0</v>
      </c>
      <c r="R14" t="s">
        <v>2739</v>
      </c>
      <c r="S14" t="s">
        <v>2740</v>
      </c>
      <c r="T14" t="s">
        <v>2702</v>
      </c>
      <c r="U14" t="s">
        <v>2731</v>
      </c>
      <c r="V14" t="s">
        <v>2704</v>
      </c>
      <c r="W14" t="s">
        <v>1547</v>
      </c>
      <c r="X14" t="s">
        <v>2732</v>
      </c>
      <c r="Y14" t="s">
        <v>2733</v>
      </c>
      <c r="Z14" t="s">
        <v>2733</v>
      </c>
      <c r="AA14">
        <v>3.0</v>
      </c>
      <c r="AB14">
        <v>2.0</v>
      </c>
      <c r="AC14" t="s">
        <v>2743</v>
      </c>
    </row>
    <row r="15">
      <c r="A15" t="s">
        <v>2744</v>
      </c>
      <c r="B15" t="s">
        <v>2745</v>
      </c>
      <c r="C15" t="s">
        <v>581</v>
      </c>
      <c r="D15" t="s">
        <v>2727</v>
      </c>
      <c r="E15" t="s">
        <v>2113</v>
      </c>
      <c r="F15" t="s">
        <v>956</v>
      </c>
      <c r="G15" t="s">
        <v>2728</v>
      </c>
      <c r="H15">
        <v>2.0</v>
      </c>
      <c r="I15">
        <v>14.0</v>
      </c>
      <c r="J15">
        <v>1.0</v>
      </c>
      <c r="K15">
        <v>0.0</v>
      </c>
      <c r="L15">
        <v>0.0</v>
      </c>
      <c r="M15">
        <v>0.0</v>
      </c>
      <c r="N15">
        <v>2.0</v>
      </c>
      <c r="O15">
        <v>4.0</v>
      </c>
      <c r="P15">
        <v>0.0</v>
      </c>
      <c r="Q15">
        <v>0.0</v>
      </c>
      <c r="R15" t="s">
        <v>2746</v>
      </c>
      <c r="S15" t="s">
        <v>2747</v>
      </c>
      <c r="T15" t="s">
        <v>2702</v>
      </c>
      <c r="U15" t="s">
        <v>2731</v>
      </c>
      <c r="V15" t="s">
        <v>2704</v>
      </c>
      <c r="W15" t="s">
        <v>1547</v>
      </c>
      <c r="X15" t="s">
        <v>2732</v>
      </c>
      <c r="Y15" t="s">
        <v>2733</v>
      </c>
      <c r="Z15" t="s">
        <v>2733</v>
      </c>
      <c r="AA15">
        <v>3.0</v>
      </c>
      <c r="AB15">
        <v>2.0</v>
      </c>
      <c r="AC15" t="s">
        <v>2743</v>
      </c>
    </row>
    <row r="16">
      <c r="A16" t="s">
        <v>2748</v>
      </c>
      <c r="B16" t="s">
        <v>2749</v>
      </c>
      <c r="C16" t="s">
        <v>584</v>
      </c>
      <c r="D16" t="s">
        <v>2727</v>
      </c>
      <c r="E16" t="s">
        <v>2113</v>
      </c>
      <c r="F16" t="s">
        <v>956</v>
      </c>
      <c r="G16" t="s">
        <v>2728</v>
      </c>
      <c r="H16">
        <v>3.0</v>
      </c>
      <c r="I16">
        <v>19.0</v>
      </c>
      <c r="J16">
        <v>2.0</v>
      </c>
      <c r="K16">
        <v>0.0</v>
      </c>
      <c r="L16">
        <v>0.0</v>
      </c>
      <c r="M16">
        <v>0.0</v>
      </c>
      <c r="N16">
        <v>2.0</v>
      </c>
      <c r="O16">
        <v>5.0</v>
      </c>
      <c r="P16">
        <v>0.0</v>
      </c>
      <c r="Q16">
        <v>0.0</v>
      </c>
      <c r="R16" t="s">
        <v>2750</v>
      </c>
      <c r="S16" t="s">
        <v>2751</v>
      </c>
      <c r="T16" t="s">
        <v>2702</v>
      </c>
      <c r="U16" t="s">
        <v>2731</v>
      </c>
      <c r="V16" t="s">
        <v>2704</v>
      </c>
      <c r="W16" t="s">
        <v>1547</v>
      </c>
      <c r="X16" t="s">
        <v>2732</v>
      </c>
      <c r="Y16" t="s">
        <v>2733</v>
      </c>
      <c r="Z16" t="s">
        <v>2733</v>
      </c>
      <c r="AA16">
        <v>3.0</v>
      </c>
      <c r="AB16">
        <v>2.0</v>
      </c>
      <c r="AC16" t="s">
        <v>2743</v>
      </c>
    </row>
    <row r="17">
      <c r="A17" t="s">
        <v>2752</v>
      </c>
      <c r="B17" t="s">
        <v>2753</v>
      </c>
      <c r="C17" t="s">
        <v>569</v>
      </c>
      <c r="D17" t="s">
        <v>2754</v>
      </c>
      <c r="E17" t="s">
        <v>2113</v>
      </c>
      <c r="F17" t="s">
        <v>956</v>
      </c>
      <c r="G17" t="s">
        <v>2755</v>
      </c>
      <c r="H17">
        <v>2.0</v>
      </c>
      <c r="I17">
        <v>2.0</v>
      </c>
      <c r="J17">
        <v>1.0</v>
      </c>
      <c r="K17">
        <v>0.0</v>
      </c>
      <c r="L17">
        <v>0.0</v>
      </c>
      <c r="M17">
        <v>0.0</v>
      </c>
      <c r="N17">
        <v>0.0</v>
      </c>
      <c r="O17">
        <v>0.0</v>
      </c>
      <c r="P17">
        <v>0.0</v>
      </c>
      <c r="Q17">
        <v>0.0</v>
      </c>
      <c r="R17" t="s">
        <v>2756</v>
      </c>
      <c r="S17" t="s">
        <v>2757</v>
      </c>
      <c r="T17" t="s">
        <v>2702</v>
      </c>
      <c r="U17" t="s">
        <v>2758</v>
      </c>
      <c r="V17" t="s">
        <v>2704</v>
      </c>
      <c r="W17" t="s">
        <v>1547</v>
      </c>
      <c r="X17" t="s">
        <v>2759</v>
      </c>
      <c r="Y17" t="s">
        <v>2760</v>
      </c>
      <c r="Z17" t="s">
        <v>1602</v>
      </c>
      <c r="AA17">
        <v>0.0</v>
      </c>
      <c r="AB17">
        <v>0.0</v>
      </c>
      <c r="AC17" t="s">
        <v>2707</v>
      </c>
    </row>
    <row r="18">
      <c r="A18" t="s">
        <v>2761</v>
      </c>
      <c r="B18" t="s">
        <v>2762</v>
      </c>
      <c r="C18" t="s">
        <v>572</v>
      </c>
      <c r="D18" t="s">
        <v>2754</v>
      </c>
      <c r="E18" t="s">
        <v>2113</v>
      </c>
      <c r="F18" t="s">
        <v>956</v>
      </c>
      <c r="G18" t="s">
        <v>2755</v>
      </c>
      <c r="H18">
        <v>3.0</v>
      </c>
      <c r="I18">
        <v>3.0</v>
      </c>
      <c r="J18">
        <v>1.0</v>
      </c>
      <c r="K18">
        <v>0.0</v>
      </c>
      <c r="L18">
        <v>0.0</v>
      </c>
      <c r="M18">
        <v>1.0</v>
      </c>
      <c r="N18">
        <v>0.0</v>
      </c>
      <c r="O18">
        <v>0.0</v>
      </c>
      <c r="P18">
        <v>0.0</v>
      </c>
      <c r="Q18">
        <v>0.0</v>
      </c>
      <c r="R18" t="s">
        <v>2756</v>
      </c>
      <c r="S18" t="s">
        <v>2757</v>
      </c>
      <c r="T18" t="s">
        <v>2702</v>
      </c>
      <c r="U18" t="s">
        <v>2758</v>
      </c>
      <c r="V18" t="s">
        <v>2704</v>
      </c>
      <c r="W18" t="s">
        <v>1547</v>
      </c>
      <c r="X18" t="s">
        <v>2759</v>
      </c>
      <c r="Y18" t="s">
        <v>2760</v>
      </c>
      <c r="Z18" t="s">
        <v>2759</v>
      </c>
      <c r="AA18">
        <v>2.0</v>
      </c>
      <c r="AB18">
        <v>1.0</v>
      </c>
      <c r="AC18" t="s">
        <v>2763</v>
      </c>
    </row>
    <row r="19">
      <c r="A19" t="s">
        <v>2764</v>
      </c>
      <c r="B19" t="s">
        <v>2765</v>
      </c>
      <c r="C19" t="s">
        <v>575</v>
      </c>
      <c r="D19" t="s">
        <v>2754</v>
      </c>
      <c r="E19" t="s">
        <v>2113</v>
      </c>
      <c r="F19" t="s">
        <v>956</v>
      </c>
      <c r="G19" t="s">
        <v>2755</v>
      </c>
      <c r="H19">
        <v>5.0</v>
      </c>
      <c r="I19">
        <v>4.0</v>
      </c>
      <c r="J19">
        <v>2.0</v>
      </c>
      <c r="K19">
        <v>0.0</v>
      </c>
      <c r="L19">
        <v>0.0</v>
      </c>
      <c r="M19">
        <v>1.0</v>
      </c>
      <c r="N19">
        <v>0.0</v>
      </c>
      <c r="O19">
        <v>0.0</v>
      </c>
      <c r="P19">
        <v>0.0</v>
      </c>
      <c r="Q19">
        <v>0.0</v>
      </c>
      <c r="R19" t="s">
        <v>2766</v>
      </c>
      <c r="S19" t="s">
        <v>2757</v>
      </c>
      <c r="T19" t="s">
        <v>2702</v>
      </c>
      <c r="U19" t="s">
        <v>2758</v>
      </c>
      <c r="V19" t="s">
        <v>2704</v>
      </c>
      <c r="W19" t="s">
        <v>1547</v>
      </c>
      <c r="X19" t="s">
        <v>2759</v>
      </c>
      <c r="Y19" t="s">
        <v>2760</v>
      </c>
      <c r="Z19" t="s">
        <v>2759</v>
      </c>
      <c r="AA19">
        <v>2.0</v>
      </c>
      <c r="AB19">
        <v>1.0</v>
      </c>
      <c r="AC19" t="s">
        <v>2763</v>
      </c>
    </row>
    <row r="20">
      <c r="A20" t="s">
        <v>2767</v>
      </c>
      <c r="B20" t="s">
        <v>2768</v>
      </c>
      <c r="C20" t="s">
        <v>578</v>
      </c>
      <c r="D20" t="s">
        <v>2754</v>
      </c>
      <c r="E20" t="s">
        <v>2113</v>
      </c>
      <c r="F20" t="s">
        <v>956</v>
      </c>
      <c r="G20" t="s">
        <v>2755</v>
      </c>
      <c r="H20">
        <v>6.0</v>
      </c>
      <c r="I20">
        <v>6.0</v>
      </c>
      <c r="J20">
        <v>3.0</v>
      </c>
      <c r="K20">
        <v>0.0</v>
      </c>
      <c r="L20">
        <v>0.0</v>
      </c>
      <c r="M20">
        <v>1.0</v>
      </c>
      <c r="N20">
        <v>0.0</v>
      </c>
      <c r="O20">
        <v>1.0</v>
      </c>
      <c r="P20">
        <v>0.0</v>
      </c>
      <c r="Q20">
        <v>0.0</v>
      </c>
      <c r="R20" t="s">
        <v>2766</v>
      </c>
      <c r="S20" t="s">
        <v>2757</v>
      </c>
      <c r="T20" t="s">
        <v>2702</v>
      </c>
      <c r="U20" t="s">
        <v>2758</v>
      </c>
      <c r="V20" t="s">
        <v>2704</v>
      </c>
      <c r="W20" t="s">
        <v>1547</v>
      </c>
      <c r="X20" t="s">
        <v>2759</v>
      </c>
      <c r="Y20" t="s">
        <v>2760</v>
      </c>
      <c r="Z20" t="s">
        <v>2760</v>
      </c>
      <c r="AA20">
        <v>3.0</v>
      </c>
      <c r="AB20">
        <v>3.0</v>
      </c>
      <c r="AC20" t="s">
        <v>2769</v>
      </c>
    </row>
    <row r="21" ht="15.75" customHeight="1">
      <c r="A21" t="s">
        <v>2770</v>
      </c>
      <c r="B21" t="s">
        <v>2771</v>
      </c>
      <c r="C21" t="s">
        <v>581</v>
      </c>
      <c r="D21" t="s">
        <v>2754</v>
      </c>
      <c r="E21" t="s">
        <v>2113</v>
      </c>
      <c r="F21" t="s">
        <v>956</v>
      </c>
      <c r="G21" t="s">
        <v>2755</v>
      </c>
      <c r="H21">
        <v>8.0</v>
      </c>
      <c r="I21">
        <v>8.0</v>
      </c>
      <c r="J21">
        <v>4.0</v>
      </c>
      <c r="K21">
        <v>0.0</v>
      </c>
      <c r="L21">
        <v>0.0</v>
      </c>
      <c r="M21">
        <v>2.0</v>
      </c>
      <c r="N21">
        <v>0.0</v>
      </c>
      <c r="O21">
        <v>1.0</v>
      </c>
      <c r="P21">
        <v>0.0</v>
      </c>
      <c r="Q21">
        <v>0.0</v>
      </c>
      <c r="R21" t="s">
        <v>2772</v>
      </c>
      <c r="S21" t="s">
        <v>2773</v>
      </c>
      <c r="T21" t="s">
        <v>2702</v>
      </c>
      <c r="U21" t="s">
        <v>2758</v>
      </c>
      <c r="V21" t="s">
        <v>2704</v>
      </c>
      <c r="W21" t="s">
        <v>1547</v>
      </c>
      <c r="X21" t="s">
        <v>2759</v>
      </c>
      <c r="Y21" t="s">
        <v>2760</v>
      </c>
      <c r="Z21" t="s">
        <v>2760</v>
      </c>
      <c r="AA21">
        <v>3.0</v>
      </c>
      <c r="AB21">
        <v>3.0</v>
      </c>
      <c r="AC21" t="s">
        <v>2769</v>
      </c>
    </row>
    <row r="22" ht="15.75" customHeight="1">
      <c r="A22" t="s">
        <v>2774</v>
      </c>
      <c r="B22" t="s">
        <v>2775</v>
      </c>
      <c r="C22" t="s">
        <v>584</v>
      </c>
      <c r="D22" t="s">
        <v>2754</v>
      </c>
      <c r="E22" t="s">
        <v>2113</v>
      </c>
      <c r="F22" t="s">
        <v>956</v>
      </c>
      <c r="G22" t="s">
        <v>2755</v>
      </c>
      <c r="H22">
        <v>11.0</v>
      </c>
      <c r="I22">
        <v>11.0</v>
      </c>
      <c r="J22">
        <v>5.0</v>
      </c>
      <c r="K22">
        <v>0.0</v>
      </c>
      <c r="L22">
        <v>0.0</v>
      </c>
      <c r="M22">
        <v>2.0</v>
      </c>
      <c r="N22">
        <v>0.0</v>
      </c>
      <c r="O22">
        <v>2.0</v>
      </c>
      <c r="P22">
        <v>0.0</v>
      </c>
      <c r="Q22">
        <v>0.0</v>
      </c>
      <c r="R22" t="s">
        <v>2776</v>
      </c>
      <c r="S22" t="s">
        <v>2773</v>
      </c>
      <c r="T22" t="s">
        <v>2702</v>
      </c>
      <c r="U22" t="s">
        <v>2758</v>
      </c>
      <c r="V22" t="s">
        <v>2704</v>
      </c>
      <c r="W22" t="s">
        <v>1547</v>
      </c>
      <c r="X22" t="s">
        <v>2759</v>
      </c>
      <c r="Y22" t="s">
        <v>2760</v>
      </c>
      <c r="Z22" t="s">
        <v>2760</v>
      </c>
      <c r="AA22">
        <v>3.0</v>
      </c>
      <c r="AB22">
        <v>3.0</v>
      </c>
      <c r="AC22" t="s">
        <v>2769</v>
      </c>
    </row>
    <row r="23" ht="15.75" customHeight="1">
      <c r="A23" t="s">
        <v>2777</v>
      </c>
      <c r="B23" t="s">
        <v>2778</v>
      </c>
      <c r="C23" t="s">
        <v>569</v>
      </c>
      <c r="D23" t="s">
        <v>2779</v>
      </c>
      <c r="E23" t="s">
        <v>2113</v>
      </c>
      <c r="F23" t="s">
        <v>2780</v>
      </c>
      <c r="G23" t="s">
        <v>2781</v>
      </c>
      <c r="H23">
        <v>1.0</v>
      </c>
      <c r="I23">
        <v>2.0</v>
      </c>
      <c r="J23">
        <v>0.0</v>
      </c>
      <c r="K23">
        <v>0.0</v>
      </c>
      <c r="L23">
        <v>1.0</v>
      </c>
      <c r="M23">
        <v>0.0</v>
      </c>
      <c r="N23">
        <v>0.0</v>
      </c>
      <c r="O23">
        <v>0.0</v>
      </c>
      <c r="P23">
        <v>0.0</v>
      </c>
      <c r="Q23">
        <v>0.0</v>
      </c>
      <c r="R23" t="s">
        <v>2782</v>
      </c>
      <c r="S23" t="s">
        <v>2783</v>
      </c>
      <c r="T23" t="s">
        <v>2702</v>
      </c>
      <c r="U23" t="s">
        <v>2784</v>
      </c>
      <c r="V23" t="s">
        <v>2704</v>
      </c>
      <c r="W23" t="s">
        <v>1547</v>
      </c>
      <c r="X23" t="s">
        <v>2785</v>
      </c>
      <c r="Y23" t="s">
        <v>2786</v>
      </c>
      <c r="Z23" t="s">
        <v>1602</v>
      </c>
      <c r="AA23">
        <v>0.0</v>
      </c>
      <c r="AB23">
        <v>0.0</v>
      </c>
      <c r="AC23" t="s">
        <v>2707</v>
      </c>
    </row>
    <row r="24" ht="15.75" customHeight="1">
      <c r="A24" t="s">
        <v>2787</v>
      </c>
      <c r="B24" t="s">
        <v>2788</v>
      </c>
      <c r="C24" t="s">
        <v>572</v>
      </c>
      <c r="D24" t="s">
        <v>2779</v>
      </c>
      <c r="E24" t="s">
        <v>2113</v>
      </c>
      <c r="F24" t="s">
        <v>2780</v>
      </c>
      <c r="G24" t="s">
        <v>2781</v>
      </c>
      <c r="H24">
        <v>2.0</v>
      </c>
      <c r="I24">
        <v>3.0</v>
      </c>
      <c r="J24">
        <v>0.0</v>
      </c>
      <c r="K24">
        <v>0.0</v>
      </c>
      <c r="L24">
        <v>1.0</v>
      </c>
      <c r="M24">
        <v>0.0</v>
      </c>
      <c r="N24">
        <v>0.0</v>
      </c>
      <c r="O24">
        <v>0.0</v>
      </c>
      <c r="P24">
        <v>1.0</v>
      </c>
      <c r="Q24">
        <v>0.0</v>
      </c>
      <c r="R24" t="s">
        <v>2782</v>
      </c>
      <c r="S24" t="s">
        <v>2783</v>
      </c>
      <c r="T24" t="s">
        <v>2702</v>
      </c>
      <c r="U24" t="s">
        <v>2784</v>
      </c>
      <c r="V24" t="s">
        <v>2704</v>
      </c>
      <c r="W24" t="s">
        <v>1547</v>
      </c>
      <c r="X24" t="s">
        <v>2785</v>
      </c>
      <c r="Y24" t="s">
        <v>2786</v>
      </c>
      <c r="Z24" t="s">
        <v>2785</v>
      </c>
      <c r="AA24">
        <v>2.0</v>
      </c>
      <c r="AB24">
        <v>1.0</v>
      </c>
      <c r="AC24" t="s">
        <v>2789</v>
      </c>
    </row>
    <row r="25" ht="15.75" customHeight="1">
      <c r="A25" t="s">
        <v>2790</v>
      </c>
      <c r="B25" t="s">
        <v>2791</v>
      </c>
      <c r="C25" t="s">
        <v>575</v>
      </c>
      <c r="D25" t="s">
        <v>2779</v>
      </c>
      <c r="E25" t="s">
        <v>2113</v>
      </c>
      <c r="F25" t="s">
        <v>2780</v>
      </c>
      <c r="G25" t="s">
        <v>2781</v>
      </c>
      <c r="H25">
        <v>3.0</v>
      </c>
      <c r="I25">
        <v>4.0</v>
      </c>
      <c r="J25">
        <v>0.0</v>
      </c>
      <c r="K25">
        <v>0.0</v>
      </c>
      <c r="L25">
        <v>2.0</v>
      </c>
      <c r="M25">
        <v>0.0</v>
      </c>
      <c r="N25">
        <v>0.0</v>
      </c>
      <c r="O25">
        <v>0.0</v>
      </c>
      <c r="P25">
        <v>1.0</v>
      </c>
      <c r="Q25">
        <v>0.0</v>
      </c>
      <c r="R25" t="s">
        <v>2792</v>
      </c>
      <c r="S25" t="s">
        <v>2783</v>
      </c>
      <c r="T25" t="s">
        <v>2702</v>
      </c>
      <c r="U25" t="s">
        <v>2784</v>
      </c>
      <c r="V25" t="s">
        <v>2704</v>
      </c>
      <c r="W25" t="s">
        <v>1547</v>
      </c>
      <c r="X25" t="s">
        <v>2785</v>
      </c>
      <c r="Y25" t="s">
        <v>2786</v>
      </c>
      <c r="Z25" t="s">
        <v>2785</v>
      </c>
      <c r="AA25">
        <v>2.0</v>
      </c>
      <c r="AB25">
        <v>1.0</v>
      </c>
      <c r="AC25" t="s">
        <v>2789</v>
      </c>
    </row>
    <row r="26" ht="15.75" customHeight="1">
      <c r="A26" t="s">
        <v>2793</v>
      </c>
      <c r="B26" t="s">
        <v>2794</v>
      </c>
      <c r="C26" t="s">
        <v>578</v>
      </c>
      <c r="D26" t="s">
        <v>2779</v>
      </c>
      <c r="E26" t="s">
        <v>2113</v>
      </c>
      <c r="F26" t="s">
        <v>2780</v>
      </c>
      <c r="G26" t="s">
        <v>2781</v>
      </c>
      <c r="H26">
        <v>4.0</v>
      </c>
      <c r="I26">
        <v>6.0</v>
      </c>
      <c r="J26">
        <v>0.0</v>
      </c>
      <c r="K26">
        <v>0.0</v>
      </c>
      <c r="L26">
        <v>3.0</v>
      </c>
      <c r="M26">
        <v>0.0</v>
      </c>
      <c r="N26">
        <v>0.0</v>
      </c>
      <c r="O26">
        <v>1.0</v>
      </c>
      <c r="P26">
        <v>1.0</v>
      </c>
      <c r="Q26">
        <v>0.0</v>
      </c>
      <c r="R26" t="s">
        <v>2792</v>
      </c>
      <c r="S26" t="s">
        <v>2783</v>
      </c>
      <c r="T26" t="s">
        <v>2702</v>
      </c>
      <c r="U26" t="s">
        <v>2784</v>
      </c>
      <c r="V26" t="s">
        <v>2704</v>
      </c>
      <c r="W26" t="s">
        <v>1547</v>
      </c>
      <c r="X26" t="s">
        <v>2785</v>
      </c>
      <c r="Y26" t="s">
        <v>2786</v>
      </c>
      <c r="Z26" t="s">
        <v>2786</v>
      </c>
      <c r="AA26">
        <v>3.0</v>
      </c>
      <c r="AB26">
        <v>2.0</v>
      </c>
      <c r="AC26" t="s">
        <v>2795</v>
      </c>
    </row>
    <row r="27" ht="15.75" customHeight="1">
      <c r="A27" t="s">
        <v>2796</v>
      </c>
      <c r="B27" t="s">
        <v>2797</v>
      </c>
      <c r="C27" t="s">
        <v>581</v>
      </c>
      <c r="D27" t="s">
        <v>2779</v>
      </c>
      <c r="E27" t="s">
        <v>2113</v>
      </c>
      <c r="F27" t="s">
        <v>2780</v>
      </c>
      <c r="G27" t="s">
        <v>2781</v>
      </c>
      <c r="H27">
        <v>5.0</v>
      </c>
      <c r="I27">
        <v>8.0</v>
      </c>
      <c r="J27">
        <v>0.0</v>
      </c>
      <c r="K27">
        <v>0.0</v>
      </c>
      <c r="L27">
        <v>4.0</v>
      </c>
      <c r="M27">
        <v>0.0</v>
      </c>
      <c r="N27">
        <v>0.0</v>
      </c>
      <c r="O27">
        <v>1.0</v>
      </c>
      <c r="P27">
        <v>2.0</v>
      </c>
      <c r="Q27">
        <v>0.0</v>
      </c>
      <c r="R27" t="s">
        <v>2798</v>
      </c>
      <c r="S27" t="s">
        <v>2799</v>
      </c>
      <c r="T27" t="s">
        <v>2702</v>
      </c>
      <c r="U27" t="s">
        <v>2784</v>
      </c>
      <c r="V27" t="s">
        <v>2704</v>
      </c>
      <c r="W27" t="s">
        <v>1547</v>
      </c>
      <c r="X27" t="s">
        <v>2785</v>
      </c>
      <c r="Y27" t="s">
        <v>2786</v>
      </c>
      <c r="Z27" t="s">
        <v>2786</v>
      </c>
      <c r="AA27">
        <v>3.0</v>
      </c>
      <c r="AB27">
        <v>2.0</v>
      </c>
      <c r="AC27" t="s">
        <v>2795</v>
      </c>
    </row>
    <row r="28" ht="15.75" customHeight="1">
      <c r="A28" t="s">
        <v>2800</v>
      </c>
      <c r="B28" t="s">
        <v>2801</v>
      </c>
      <c r="C28" t="s">
        <v>584</v>
      </c>
      <c r="D28" t="s">
        <v>2779</v>
      </c>
      <c r="E28" t="s">
        <v>2113</v>
      </c>
      <c r="F28" t="s">
        <v>2780</v>
      </c>
      <c r="G28" t="s">
        <v>2781</v>
      </c>
      <c r="H28">
        <v>7.0</v>
      </c>
      <c r="I28">
        <v>11.0</v>
      </c>
      <c r="J28">
        <v>0.0</v>
      </c>
      <c r="K28">
        <v>0.0</v>
      </c>
      <c r="L28">
        <v>5.0</v>
      </c>
      <c r="M28">
        <v>0.0</v>
      </c>
      <c r="N28">
        <v>0.0</v>
      </c>
      <c r="O28">
        <v>2.0</v>
      </c>
      <c r="P28">
        <v>2.0</v>
      </c>
      <c r="Q28">
        <v>0.0</v>
      </c>
      <c r="R28" t="s">
        <v>2802</v>
      </c>
      <c r="S28" t="s">
        <v>2799</v>
      </c>
      <c r="T28" t="s">
        <v>2702</v>
      </c>
      <c r="U28" t="s">
        <v>2784</v>
      </c>
      <c r="V28" t="s">
        <v>2704</v>
      </c>
      <c r="W28" t="s">
        <v>1547</v>
      </c>
      <c r="X28" t="s">
        <v>2785</v>
      </c>
      <c r="Y28" t="s">
        <v>2786</v>
      </c>
      <c r="Z28" t="s">
        <v>2786</v>
      </c>
      <c r="AA28">
        <v>3.0</v>
      </c>
      <c r="AB28">
        <v>2.0</v>
      </c>
      <c r="AC28" t="s">
        <v>2795</v>
      </c>
    </row>
    <row r="29" ht="15.75" customHeight="1">
      <c r="A29" t="s">
        <v>2803</v>
      </c>
      <c r="B29" t="s">
        <v>2804</v>
      </c>
      <c r="C29" t="s">
        <v>569</v>
      </c>
      <c r="D29" t="s">
        <v>2805</v>
      </c>
      <c r="E29" t="s">
        <v>2113</v>
      </c>
      <c r="F29" t="s">
        <v>956</v>
      </c>
      <c r="G29" t="s">
        <v>2806</v>
      </c>
      <c r="H29">
        <v>3.0</v>
      </c>
      <c r="I29">
        <v>1.0</v>
      </c>
      <c r="J29">
        <v>0.0</v>
      </c>
      <c r="K29">
        <v>1.0</v>
      </c>
      <c r="L29">
        <v>0.0</v>
      </c>
      <c r="M29">
        <v>0.0</v>
      </c>
      <c r="N29">
        <v>0.0</v>
      </c>
      <c r="O29">
        <v>0.0</v>
      </c>
      <c r="P29">
        <v>0.0</v>
      </c>
      <c r="Q29">
        <v>0.0</v>
      </c>
      <c r="R29" t="s">
        <v>2807</v>
      </c>
      <c r="S29" t="s">
        <v>2808</v>
      </c>
      <c r="T29" t="s">
        <v>2702</v>
      </c>
      <c r="U29" t="s">
        <v>2809</v>
      </c>
      <c r="V29" t="s">
        <v>2704</v>
      </c>
      <c r="W29" t="s">
        <v>1547</v>
      </c>
      <c r="X29" t="s">
        <v>2810</v>
      </c>
      <c r="Y29" t="s">
        <v>2811</v>
      </c>
      <c r="Z29" t="s">
        <v>1602</v>
      </c>
      <c r="AA29">
        <v>0.0</v>
      </c>
      <c r="AB29">
        <v>0.0</v>
      </c>
      <c r="AC29" t="s">
        <v>2707</v>
      </c>
    </row>
    <row r="30" ht="15.75" customHeight="1">
      <c r="A30" t="s">
        <v>2812</v>
      </c>
      <c r="B30" t="s">
        <v>2813</v>
      </c>
      <c r="C30" t="s">
        <v>572</v>
      </c>
      <c r="D30" t="s">
        <v>2805</v>
      </c>
      <c r="E30" t="s">
        <v>2113</v>
      </c>
      <c r="F30" t="s">
        <v>956</v>
      </c>
      <c r="G30" t="s">
        <v>2806</v>
      </c>
      <c r="H30">
        <v>5.0</v>
      </c>
      <c r="I30">
        <v>1.0</v>
      </c>
      <c r="J30">
        <v>0.0</v>
      </c>
      <c r="K30">
        <v>1.0</v>
      </c>
      <c r="L30">
        <v>0.0</v>
      </c>
      <c r="M30">
        <v>1.0</v>
      </c>
      <c r="N30">
        <v>0.0</v>
      </c>
      <c r="O30">
        <v>0.0</v>
      </c>
      <c r="P30">
        <v>0.0</v>
      </c>
      <c r="Q30">
        <v>0.0</v>
      </c>
      <c r="R30" t="s">
        <v>2807</v>
      </c>
      <c r="S30" t="s">
        <v>2808</v>
      </c>
      <c r="T30" t="s">
        <v>2702</v>
      </c>
      <c r="U30" t="s">
        <v>2809</v>
      </c>
      <c r="V30" t="s">
        <v>2704</v>
      </c>
      <c r="W30" t="s">
        <v>1547</v>
      </c>
      <c r="X30" t="s">
        <v>2810</v>
      </c>
      <c r="Y30" t="s">
        <v>2811</v>
      </c>
      <c r="Z30" t="s">
        <v>2810</v>
      </c>
      <c r="AA30">
        <v>2.0</v>
      </c>
      <c r="AB30">
        <v>1.0</v>
      </c>
      <c r="AC30" t="s">
        <v>2814</v>
      </c>
    </row>
    <row r="31" ht="15.75" customHeight="1">
      <c r="A31" t="s">
        <v>2815</v>
      </c>
      <c r="B31" t="s">
        <v>2816</v>
      </c>
      <c r="C31" t="s">
        <v>575</v>
      </c>
      <c r="D31" t="s">
        <v>2805</v>
      </c>
      <c r="E31" t="s">
        <v>2113</v>
      </c>
      <c r="F31" t="s">
        <v>956</v>
      </c>
      <c r="G31" t="s">
        <v>2806</v>
      </c>
      <c r="H31">
        <v>7.0</v>
      </c>
      <c r="I31">
        <v>2.0</v>
      </c>
      <c r="J31">
        <v>0.0</v>
      </c>
      <c r="K31">
        <v>2.0</v>
      </c>
      <c r="L31">
        <v>0.0</v>
      </c>
      <c r="M31">
        <v>1.0</v>
      </c>
      <c r="N31">
        <v>0.0</v>
      </c>
      <c r="O31">
        <v>0.0</v>
      </c>
      <c r="P31">
        <v>0.0</v>
      </c>
      <c r="Q31">
        <v>0.0</v>
      </c>
      <c r="R31" t="s">
        <v>2817</v>
      </c>
      <c r="S31" t="s">
        <v>2808</v>
      </c>
      <c r="T31" t="s">
        <v>2702</v>
      </c>
      <c r="U31" t="s">
        <v>2809</v>
      </c>
      <c r="V31" t="s">
        <v>2704</v>
      </c>
      <c r="W31" t="s">
        <v>1547</v>
      </c>
      <c r="X31" t="s">
        <v>2810</v>
      </c>
      <c r="Y31" t="s">
        <v>2811</v>
      </c>
      <c r="Z31" t="s">
        <v>2810</v>
      </c>
      <c r="AA31">
        <v>2.0</v>
      </c>
      <c r="AB31">
        <v>1.0</v>
      </c>
      <c r="AC31" t="s">
        <v>2814</v>
      </c>
    </row>
    <row r="32" ht="15.75" customHeight="1">
      <c r="A32" t="s">
        <v>2818</v>
      </c>
      <c r="B32" t="s">
        <v>2819</v>
      </c>
      <c r="C32" t="s">
        <v>578</v>
      </c>
      <c r="D32" t="s">
        <v>2805</v>
      </c>
      <c r="E32" t="s">
        <v>2113</v>
      </c>
      <c r="F32" t="s">
        <v>956</v>
      </c>
      <c r="G32" t="s">
        <v>2806</v>
      </c>
      <c r="H32">
        <v>9.0</v>
      </c>
      <c r="I32">
        <v>3.0</v>
      </c>
      <c r="J32">
        <v>1.0</v>
      </c>
      <c r="K32">
        <v>3.0</v>
      </c>
      <c r="L32">
        <v>0.0</v>
      </c>
      <c r="M32">
        <v>1.0</v>
      </c>
      <c r="N32">
        <v>0.0</v>
      </c>
      <c r="O32">
        <v>0.0</v>
      </c>
      <c r="P32">
        <v>0.0</v>
      </c>
      <c r="Q32">
        <v>0.0</v>
      </c>
      <c r="R32" t="s">
        <v>2817</v>
      </c>
      <c r="S32" t="s">
        <v>2820</v>
      </c>
      <c r="T32" t="s">
        <v>2702</v>
      </c>
      <c r="U32" t="s">
        <v>2809</v>
      </c>
      <c r="V32" t="s">
        <v>2704</v>
      </c>
      <c r="W32" t="s">
        <v>1547</v>
      </c>
      <c r="X32" t="s">
        <v>2810</v>
      </c>
      <c r="Y32" t="s">
        <v>2811</v>
      </c>
      <c r="Z32" t="s">
        <v>2811</v>
      </c>
      <c r="AA32">
        <v>3.0</v>
      </c>
      <c r="AB32">
        <v>2.0</v>
      </c>
      <c r="AC32" t="s">
        <v>2821</v>
      </c>
    </row>
    <row r="33" ht="15.75" customHeight="1">
      <c r="A33" t="s">
        <v>2822</v>
      </c>
      <c r="B33" t="s">
        <v>2823</v>
      </c>
      <c r="C33" t="s">
        <v>581</v>
      </c>
      <c r="D33" t="s">
        <v>2805</v>
      </c>
      <c r="E33" t="s">
        <v>2113</v>
      </c>
      <c r="F33" t="s">
        <v>956</v>
      </c>
      <c r="G33" t="s">
        <v>2806</v>
      </c>
      <c r="H33">
        <v>12.0</v>
      </c>
      <c r="I33">
        <v>4.0</v>
      </c>
      <c r="J33">
        <v>1.0</v>
      </c>
      <c r="K33">
        <v>4.0</v>
      </c>
      <c r="L33">
        <v>0.0</v>
      </c>
      <c r="M33">
        <v>2.0</v>
      </c>
      <c r="N33">
        <v>0.0</v>
      </c>
      <c r="O33">
        <v>0.0</v>
      </c>
      <c r="P33">
        <v>0.0</v>
      </c>
      <c r="Q33">
        <v>0.0</v>
      </c>
      <c r="R33" t="s">
        <v>2824</v>
      </c>
      <c r="S33" t="s">
        <v>2825</v>
      </c>
      <c r="T33" t="s">
        <v>2702</v>
      </c>
      <c r="U33" t="s">
        <v>2809</v>
      </c>
      <c r="V33" t="s">
        <v>2704</v>
      </c>
      <c r="W33" t="s">
        <v>1547</v>
      </c>
      <c r="X33" t="s">
        <v>2810</v>
      </c>
      <c r="Y33" t="s">
        <v>2811</v>
      </c>
      <c r="Z33" t="s">
        <v>2811</v>
      </c>
      <c r="AA33">
        <v>3.0</v>
      </c>
      <c r="AB33">
        <v>2.0</v>
      </c>
      <c r="AC33" t="s">
        <v>2821</v>
      </c>
    </row>
    <row r="34" ht="15.75" customHeight="1">
      <c r="A34" t="s">
        <v>2826</v>
      </c>
      <c r="B34" t="s">
        <v>2827</v>
      </c>
      <c r="C34" t="s">
        <v>584</v>
      </c>
      <c r="D34" t="s">
        <v>2805</v>
      </c>
      <c r="E34" t="s">
        <v>2113</v>
      </c>
      <c r="F34" t="s">
        <v>956</v>
      </c>
      <c r="G34" t="s">
        <v>2806</v>
      </c>
      <c r="H34">
        <v>16.0</v>
      </c>
      <c r="I34">
        <v>6.0</v>
      </c>
      <c r="J34">
        <v>2.0</v>
      </c>
      <c r="K34">
        <v>5.0</v>
      </c>
      <c r="L34">
        <v>0.0</v>
      </c>
      <c r="M34">
        <v>2.0</v>
      </c>
      <c r="N34">
        <v>0.0</v>
      </c>
      <c r="O34">
        <v>0.0</v>
      </c>
      <c r="P34">
        <v>0.0</v>
      </c>
      <c r="Q34">
        <v>0.0</v>
      </c>
      <c r="R34" t="s">
        <v>2828</v>
      </c>
      <c r="S34" t="s">
        <v>2825</v>
      </c>
      <c r="T34" t="s">
        <v>2702</v>
      </c>
      <c r="U34" t="s">
        <v>2809</v>
      </c>
      <c r="V34" t="s">
        <v>2704</v>
      </c>
      <c r="W34" t="s">
        <v>1547</v>
      </c>
      <c r="X34" t="s">
        <v>2810</v>
      </c>
      <c r="Y34" t="s">
        <v>2811</v>
      </c>
      <c r="Z34" t="s">
        <v>2811</v>
      </c>
      <c r="AA34">
        <v>3.0</v>
      </c>
      <c r="AB34">
        <v>2.0</v>
      </c>
      <c r="AC34" t="s">
        <v>2821</v>
      </c>
    </row>
    <row r="35" ht="15.75" customHeight="1">
      <c r="A35" t="s">
        <v>2829</v>
      </c>
      <c r="B35" t="s">
        <v>2830</v>
      </c>
      <c r="C35" t="s">
        <v>569</v>
      </c>
      <c r="D35" t="s">
        <v>2831</v>
      </c>
      <c r="E35" t="s">
        <v>2113</v>
      </c>
      <c r="F35" t="s">
        <v>2780</v>
      </c>
      <c r="G35" t="s">
        <v>2832</v>
      </c>
      <c r="H35">
        <v>0.0</v>
      </c>
      <c r="I35">
        <v>3.0</v>
      </c>
      <c r="J35">
        <v>0.0</v>
      </c>
      <c r="K35">
        <v>0.0</v>
      </c>
      <c r="L35">
        <v>0.0</v>
      </c>
      <c r="M35">
        <v>0.0</v>
      </c>
      <c r="N35">
        <v>1.0</v>
      </c>
      <c r="O35">
        <v>0.0</v>
      </c>
      <c r="P35">
        <v>0.0</v>
      </c>
      <c r="Q35">
        <v>0.0</v>
      </c>
      <c r="R35" t="s">
        <v>2833</v>
      </c>
      <c r="S35" t="s">
        <v>2834</v>
      </c>
      <c r="T35" t="s">
        <v>2702</v>
      </c>
      <c r="U35" t="s">
        <v>2835</v>
      </c>
      <c r="V35" t="s">
        <v>2704</v>
      </c>
      <c r="W35" t="s">
        <v>1547</v>
      </c>
      <c r="X35" t="s">
        <v>2836</v>
      </c>
      <c r="Y35" t="s">
        <v>2837</v>
      </c>
      <c r="Z35" t="s">
        <v>1602</v>
      </c>
      <c r="AA35">
        <v>0.0</v>
      </c>
      <c r="AB35">
        <v>0.0</v>
      </c>
      <c r="AC35" t="s">
        <v>2707</v>
      </c>
    </row>
    <row r="36" ht="15.75" customHeight="1">
      <c r="A36" t="s">
        <v>2838</v>
      </c>
      <c r="B36" t="s">
        <v>2839</v>
      </c>
      <c r="C36" t="s">
        <v>572</v>
      </c>
      <c r="D36" t="s">
        <v>2831</v>
      </c>
      <c r="E36" t="s">
        <v>2113</v>
      </c>
      <c r="F36" t="s">
        <v>2780</v>
      </c>
      <c r="G36" t="s">
        <v>2832</v>
      </c>
      <c r="H36">
        <v>1.0</v>
      </c>
      <c r="I36">
        <v>4.0</v>
      </c>
      <c r="J36">
        <v>0.0</v>
      </c>
      <c r="K36">
        <v>0.0</v>
      </c>
      <c r="L36">
        <v>0.0</v>
      </c>
      <c r="M36">
        <v>0.0</v>
      </c>
      <c r="N36">
        <v>1.0</v>
      </c>
      <c r="O36">
        <v>0.0</v>
      </c>
      <c r="P36">
        <v>1.0</v>
      </c>
      <c r="Q36">
        <v>0.0</v>
      </c>
      <c r="R36" t="s">
        <v>2833</v>
      </c>
      <c r="S36" t="s">
        <v>2834</v>
      </c>
      <c r="T36" t="s">
        <v>2702</v>
      </c>
      <c r="U36" t="s">
        <v>2835</v>
      </c>
      <c r="V36" t="s">
        <v>2704</v>
      </c>
      <c r="W36" t="s">
        <v>1547</v>
      </c>
      <c r="X36" t="s">
        <v>2836</v>
      </c>
      <c r="Y36" t="s">
        <v>2837</v>
      </c>
      <c r="Z36" t="s">
        <v>2836</v>
      </c>
      <c r="AA36">
        <v>2.0</v>
      </c>
      <c r="AB36">
        <v>1.0</v>
      </c>
      <c r="AC36" t="s">
        <v>2840</v>
      </c>
    </row>
    <row r="37" ht="15.75" customHeight="1">
      <c r="A37" t="s">
        <v>2841</v>
      </c>
      <c r="B37" t="s">
        <v>2842</v>
      </c>
      <c r="C37" t="s">
        <v>575</v>
      </c>
      <c r="D37" t="s">
        <v>2831</v>
      </c>
      <c r="E37" t="s">
        <v>2113</v>
      </c>
      <c r="F37" t="s">
        <v>2780</v>
      </c>
      <c r="G37" t="s">
        <v>2832</v>
      </c>
      <c r="H37">
        <v>1.0</v>
      </c>
      <c r="I37">
        <v>6.0</v>
      </c>
      <c r="J37">
        <v>0.0</v>
      </c>
      <c r="K37">
        <v>0.0</v>
      </c>
      <c r="L37">
        <v>0.0</v>
      </c>
      <c r="M37">
        <v>0.0</v>
      </c>
      <c r="N37">
        <v>2.0</v>
      </c>
      <c r="O37">
        <v>0.0</v>
      </c>
      <c r="P37">
        <v>1.0</v>
      </c>
      <c r="Q37">
        <v>0.0</v>
      </c>
      <c r="R37" t="s">
        <v>2843</v>
      </c>
      <c r="S37" t="s">
        <v>2834</v>
      </c>
      <c r="T37" t="s">
        <v>2702</v>
      </c>
      <c r="U37" t="s">
        <v>2835</v>
      </c>
      <c r="V37" t="s">
        <v>2704</v>
      </c>
      <c r="W37" t="s">
        <v>1547</v>
      </c>
      <c r="X37" t="s">
        <v>2836</v>
      </c>
      <c r="Y37" t="s">
        <v>2837</v>
      </c>
      <c r="Z37" t="s">
        <v>2836</v>
      </c>
      <c r="AA37">
        <v>2.0</v>
      </c>
      <c r="AB37">
        <v>1.0</v>
      </c>
      <c r="AC37" t="s">
        <v>2840</v>
      </c>
    </row>
    <row r="38" ht="15.75" customHeight="1">
      <c r="A38" t="s">
        <v>2844</v>
      </c>
      <c r="B38" t="s">
        <v>2845</v>
      </c>
      <c r="C38" t="s">
        <v>578</v>
      </c>
      <c r="D38" t="s">
        <v>2831</v>
      </c>
      <c r="E38" t="s">
        <v>2113</v>
      </c>
      <c r="F38" t="s">
        <v>2780</v>
      </c>
      <c r="G38" t="s">
        <v>2832</v>
      </c>
      <c r="H38">
        <v>2.0</v>
      </c>
      <c r="I38">
        <v>8.0</v>
      </c>
      <c r="J38">
        <v>0.0</v>
      </c>
      <c r="K38">
        <v>0.0</v>
      </c>
      <c r="L38">
        <v>0.0</v>
      </c>
      <c r="M38">
        <v>0.0</v>
      </c>
      <c r="N38">
        <v>3.0</v>
      </c>
      <c r="O38">
        <v>1.0</v>
      </c>
      <c r="P38">
        <v>1.0</v>
      </c>
      <c r="Q38">
        <v>0.0</v>
      </c>
      <c r="R38" t="s">
        <v>2843</v>
      </c>
      <c r="S38" t="s">
        <v>2834</v>
      </c>
      <c r="T38" t="s">
        <v>2702</v>
      </c>
      <c r="U38" t="s">
        <v>2835</v>
      </c>
      <c r="V38" t="s">
        <v>2704</v>
      </c>
      <c r="W38" t="s">
        <v>1547</v>
      </c>
      <c r="X38" t="s">
        <v>2836</v>
      </c>
      <c r="Y38" t="s">
        <v>2837</v>
      </c>
      <c r="Z38" t="s">
        <v>2837</v>
      </c>
      <c r="AA38">
        <v>3.0</v>
      </c>
      <c r="AB38">
        <v>2.0</v>
      </c>
      <c r="AC38" t="s">
        <v>2846</v>
      </c>
    </row>
    <row r="39" ht="15.75" customHeight="1">
      <c r="A39" t="s">
        <v>2847</v>
      </c>
      <c r="B39" t="s">
        <v>2848</v>
      </c>
      <c r="C39" t="s">
        <v>581</v>
      </c>
      <c r="D39" t="s">
        <v>2831</v>
      </c>
      <c r="E39" t="s">
        <v>2113</v>
      </c>
      <c r="F39" t="s">
        <v>2780</v>
      </c>
      <c r="G39" t="s">
        <v>2832</v>
      </c>
      <c r="H39">
        <v>3.0</v>
      </c>
      <c r="I39">
        <v>10.0</v>
      </c>
      <c r="J39">
        <v>0.0</v>
      </c>
      <c r="K39">
        <v>0.0</v>
      </c>
      <c r="L39">
        <v>0.0</v>
      </c>
      <c r="M39">
        <v>0.0</v>
      </c>
      <c r="N39">
        <v>4.0</v>
      </c>
      <c r="O39">
        <v>1.0</v>
      </c>
      <c r="P39">
        <v>2.0</v>
      </c>
      <c r="Q39">
        <v>0.0</v>
      </c>
      <c r="R39" t="s">
        <v>2849</v>
      </c>
      <c r="S39" t="s">
        <v>2834</v>
      </c>
      <c r="T39" t="s">
        <v>2702</v>
      </c>
      <c r="U39" t="s">
        <v>2835</v>
      </c>
      <c r="V39" t="s">
        <v>2704</v>
      </c>
      <c r="W39" t="s">
        <v>1547</v>
      </c>
      <c r="X39" t="s">
        <v>2836</v>
      </c>
      <c r="Y39" t="s">
        <v>2837</v>
      </c>
      <c r="Z39" t="s">
        <v>2837</v>
      </c>
      <c r="AA39">
        <v>3.0</v>
      </c>
      <c r="AB39">
        <v>2.0</v>
      </c>
      <c r="AC39" t="s">
        <v>2846</v>
      </c>
    </row>
    <row r="40" ht="15.75" customHeight="1">
      <c r="A40" t="s">
        <v>2850</v>
      </c>
      <c r="B40" t="s">
        <v>2851</v>
      </c>
      <c r="C40" t="s">
        <v>584</v>
      </c>
      <c r="D40" t="s">
        <v>2831</v>
      </c>
      <c r="E40" t="s">
        <v>2113</v>
      </c>
      <c r="F40" t="s">
        <v>2780</v>
      </c>
      <c r="G40" t="s">
        <v>2832</v>
      </c>
      <c r="H40">
        <v>4.0</v>
      </c>
      <c r="I40">
        <v>14.0</v>
      </c>
      <c r="J40">
        <v>0.0</v>
      </c>
      <c r="K40">
        <v>0.0</v>
      </c>
      <c r="L40">
        <v>0.0</v>
      </c>
      <c r="M40">
        <v>0.0</v>
      </c>
      <c r="N40">
        <v>5.0</v>
      </c>
      <c r="O40">
        <v>2.0</v>
      </c>
      <c r="P40">
        <v>2.0</v>
      </c>
      <c r="Q40">
        <v>0.0</v>
      </c>
      <c r="R40" t="s">
        <v>2852</v>
      </c>
      <c r="S40" t="s">
        <v>2834</v>
      </c>
      <c r="T40" t="s">
        <v>2702</v>
      </c>
      <c r="U40" t="s">
        <v>2835</v>
      </c>
      <c r="V40" t="s">
        <v>2704</v>
      </c>
      <c r="W40" t="s">
        <v>1547</v>
      </c>
      <c r="X40" t="s">
        <v>2836</v>
      </c>
      <c r="Y40" t="s">
        <v>2837</v>
      </c>
      <c r="Z40" t="s">
        <v>2837</v>
      </c>
      <c r="AA40">
        <v>3.0</v>
      </c>
      <c r="AB40">
        <v>2.0</v>
      </c>
      <c r="AC40" t="s">
        <v>2846</v>
      </c>
    </row>
    <row r="41" ht="15.75" customHeight="1">
      <c r="A41" t="s">
        <v>2853</v>
      </c>
      <c r="B41" t="s">
        <v>2854</v>
      </c>
      <c r="C41" t="s">
        <v>569</v>
      </c>
      <c r="D41" t="s">
        <v>2855</v>
      </c>
      <c r="E41" t="s">
        <v>2113</v>
      </c>
      <c r="F41" t="s">
        <v>956</v>
      </c>
      <c r="G41" t="s">
        <v>2856</v>
      </c>
      <c r="H41">
        <v>2.0</v>
      </c>
      <c r="I41">
        <v>2.0</v>
      </c>
      <c r="J41">
        <v>1.0</v>
      </c>
      <c r="K41">
        <v>0.0</v>
      </c>
      <c r="L41">
        <v>0.0</v>
      </c>
      <c r="M41">
        <v>0.0</v>
      </c>
      <c r="N41">
        <v>0.0</v>
      </c>
      <c r="O41">
        <v>0.0</v>
      </c>
      <c r="P41">
        <v>0.0</v>
      </c>
      <c r="Q41">
        <v>0.0</v>
      </c>
      <c r="R41" t="s">
        <v>2857</v>
      </c>
      <c r="S41" t="s">
        <v>2858</v>
      </c>
      <c r="T41" t="s">
        <v>2702</v>
      </c>
      <c r="U41" t="s">
        <v>2859</v>
      </c>
      <c r="V41" t="s">
        <v>2704</v>
      </c>
      <c r="W41" t="s">
        <v>1547</v>
      </c>
      <c r="X41" t="s">
        <v>2860</v>
      </c>
      <c r="Y41" t="s">
        <v>2861</v>
      </c>
      <c r="Z41" t="s">
        <v>1602</v>
      </c>
      <c r="AA41">
        <v>0.0</v>
      </c>
      <c r="AB41">
        <v>0.0</v>
      </c>
      <c r="AC41" t="s">
        <v>2707</v>
      </c>
    </row>
    <row r="42" ht="15.75" customHeight="1">
      <c r="A42" t="s">
        <v>2862</v>
      </c>
      <c r="B42" t="s">
        <v>2863</v>
      </c>
      <c r="C42" t="s">
        <v>572</v>
      </c>
      <c r="D42" t="s">
        <v>2855</v>
      </c>
      <c r="E42" t="s">
        <v>2113</v>
      </c>
      <c r="F42" t="s">
        <v>956</v>
      </c>
      <c r="G42" t="s">
        <v>2856</v>
      </c>
      <c r="H42">
        <v>2.0</v>
      </c>
      <c r="I42">
        <v>4.0</v>
      </c>
      <c r="J42">
        <v>1.0</v>
      </c>
      <c r="K42">
        <v>0.0</v>
      </c>
      <c r="L42">
        <v>0.0</v>
      </c>
      <c r="M42">
        <v>0.0</v>
      </c>
      <c r="N42">
        <v>0.0</v>
      </c>
      <c r="O42">
        <v>1.0</v>
      </c>
      <c r="P42">
        <v>0.0</v>
      </c>
      <c r="Q42">
        <v>0.0</v>
      </c>
      <c r="R42" t="s">
        <v>2857</v>
      </c>
      <c r="S42" t="s">
        <v>2858</v>
      </c>
      <c r="T42" t="s">
        <v>2702</v>
      </c>
      <c r="U42" t="s">
        <v>2859</v>
      </c>
      <c r="V42" t="s">
        <v>2704</v>
      </c>
      <c r="W42" t="s">
        <v>1547</v>
      </c>
      <c r="X42" t="s">
        <v>2860</v>
      </c>
      <c r="Y42" t="s">
        <v>2861</v>
      </c>
      <c r="Z42" t="s">
        <v>2860</v>
      </c>
      <c r="AA42">
        <v>2.0</v>
      </c>
      <c r="AB42">
        <v>1.0</v>
      </c>
      <c r="AC42" t="s">
        <v>2763</v>
      </c>
    </row>
    <row r="43" ht="15.75" customHeight="1">
      <c r="A43" t="s">
        <v>2864</v>
      </c>
      <c r="B43" t="s">
        <v>2865</v>
      </c>
      <c r="C43" t="s">
        <v>575</v>
      </c>
      <c r="D43" t="s">
        <v>2855</v>
      </c>
      <c r="E43" t="s">
        <v>2113</v>
      </c>
      <c r="F43" t="s">
        <v>956</v>
      </c>
      <c r="G43" t="s">
        <v>2856</v>
      </c>
      <c r="H43">
        <v>4.0</v>
      </c>
      <c r="I43">
        <v>5.0</v>
      </c>
      <c r="J43">
        <v>2.0</v>
      </c>
      <c r="K43">
        <v>0.0</v>
      </c>
      <c r="L43">
        <v>0.0</v>
      </c>
      <c r="M43">
        <v>0.0</v>
      </c>
      <c r="N43">
        <v>0.0</v>
      </c>
      <c r="O43">
        <v>1.0</v>
      </c>
      <c r="P43">
        <v>0.0</v>
      </c>
      <c r="Q43">
        <v>0.0</v>
      </c>
      <c r="R43" t="s">
        <v>2866</v>
      </c>
      <c r="S43" t="s">
        <v>2867</v>
      </c>
      <c r="T43" t="s">
        <v>2702</v>
      </c>
      <c r="U43" t="s">
        <v>2859</v>
      </c>
      <c r="V43" t="s">
        <v>2704</v>
      </c>
      <c r="W43" t="s">
        <v>1547</v>
      </c>
      <c r="X43" t="s">
        <v>2860</v>
      </c>
      <c r="Y43" t="s">
        <v>2861</v>
      </c>
      <c r="Z43" t="s">
        <v>2860</v>
      </c>
      <c r="AA43">
        <v>2.0</v>
      </c>
      <c r="AB43">
        <v>1.0</v>
      </c>
      <c r="AC43" t="s">
        <v>2763</v>
      </c>
    </row>
    <row r="44" ht="15.75" customHeight="1">
      <c r="A44" t="s">
        <v>2868</v>
      </c>
      <c r="B44" t="s">
        <v>2869</v>
      </c>
      <c r="C44" t="s">
        <v>578</v>
      </c>
      <c r="D44" t="s">
        <v>2855</v>
      </c>
      <c r="E44" t="s">
        <v>2113</v>
      </c>
      <c r="F44" t="s">
        <v>956</v>
      </c>
      <c r="G44" t="s">
        <v>2856</v>
      </c>
      <c r="H44">
        <v>5.0</v>
      </c>
      <c r="I44">
        <v>7.0</v>
      </c>
      <c r="J44">
        <v>3.0</v>
      </c>
      <c r="K44">
        <v>0.0</v>
      </c>
      <c r="L44">
        <v>0.0</v>
      </c>
      <c r="M44">
        <v>1.0</v>
      </c>
      <c r="N44">
        <v>0.0</v>
      </c>
      <c r="O44">
        <v>1.0</v>
      </c>
      <c r="P44">
        <v>0.0</v>
      </c>
      <c r="Q44">
        <v>0.0</v>
      </c>
      <c r="R44" t="s">
        <v>2866</v>
      </c>
      <c r="S44" t="s">
        <v>2867</v>
      </c>
      <c r="T44" t="s">
        <v>2702</v>
      </c>
      <c r="U44" t="s">
        <v>2859</v>
      </c>
      <c r="V44" t="s">
        <v>2704</v>
      </c>
      <c r="W44" t="s">
        <v>1547</v>
      </c>
      <c r="X44" t="s">
        <v>2860</v>
      </c>
      <c r="Y44" t="s">
        <v>2861</v>
      </c>
      <c r="Z44" t="s">
        <v>2861</v>
      </c>
      <c r="AA44">
        <v>3.0</v>
      </c>
      <c r="AB44">
        <v>3.0</v>
      </c>
      <c r="AC44" t="s">
        <v>2769</v>
      </c>
    </row>
    <row r="45" ht="15.75" customHeight="1">
      <c r="A45" t="s">
        <v>2870</v>
      </c>
      <c r="B45" t="s">
        <v>2871</v>
      </c>
      <c r="C45" t="s">
        <v>581</v>
      </c>
      <c r="D45" t="s">
        <v>2855</v>
      </c>
      <c r="E45" t="s">
        <v>2113</v>
      </c>
      <c r="F45" t="s">
        <v>956</v>
      </c>
      <c r="G45" t="s">
        <v>2856</v>
      </c>
      <c r="H45">
        <v>6.0</v>
      </c>
      <c r="I45">
        <v>10.0</v>
      </c>
      <c r="J45">
        <v>4.0</v>
      </c>
      <c r="K45">
        <v>0.0</v>
      </c>
      <c r="L45">
        <v>0.0</v>
      </c>
      <c r="M45">
        <v>1.0</v>
      </c>
      <c r="N45">
        <v>0.0</v>
      </c>
      <c r="O45">
        <v>2.0</v>
      </c>
      <c r="P45">
        <v>0.0</v>
      </c>
      <c r="Q45">
        <v>0.0</v>
      </c>
      <c r="R45" t="s">
        <v>2866</v>
      </c>
      <c r="S45" t="s">
        <v>2872</v>
      </c>
      <c r="T45" t="s">
        <v>2702</v>
      </c>
      <c r="U45" t="s">
        <v>2859</v>
      </c>
      <c r="V45" t="s">
        <v>2704</v>
      </c>
      <c r="W45" t="s">
        <v>1547</v>
      </c>
      <c r="X45" t="s">
        <v>2860</v>
      </c>
      <c r="Y45" t="s">
        <v>2861</v>
      </c>
      <c r="Z45" t="s">
        <v>2861</v>
      </c>
      <c r="AA45">
        <v>3.0</v>
      </c>
      <c r="AB45">
        <v>3.0</v>
      </c>
      <c r="AC45" t="s">
        <v>2769</v>
      </c>
    </row>
    <row r="46" ht="15.75" customHeight="1">
      <c r="A46" t="s">
        <v>2873</v>
      </c>
      <c r="B46" t="s">
        <v>2874</v>
      </c>
      <c r="C46" t="s">
        <v>584</v>
      </c>
      <c r="D46" t="s">
        <v>2855</v>
      </c>
      <c r="E46" t="s">
        <v>2113</v>
      </c>
      <c r="F46" t="s">
        <v>956</v>
      </c>
      <c r="G46" t="s">
        <v>2856</v>
      </c>
      <c r="H46">
        <v>9.0</v>
      </c>
      <c r="I46">
        <v>13.0</v>
      </c>
      <c r="J46">
        <v>5.0</v>
      </c>
      <c r="K46">
        <v>0.0</v>
      </c>
      <c r="L46">
        <v>0.0</v>
      </c>
      <c r="M46">
        <v>2.0</v>
      </c>
      <c r="N46">
        <v>0.0</v>
      </c>
      <c r="O46">
        <v>2.0</v>
      </c>
      <c r="P46">
        <v>0.0</v>
      </c>
      <c r="Q46">
        <v>0.0</v>
      </c>
      <c r="R46" t="s">
        <v>2866</v>
      </c>
      <c r="S46" t="s">
        <v>2875</v>
      </c>
      <c r="T46" t="s">
        <v>2702</v>
      </c>
      <c r="U46" t="s">
        <v>2859</v>
      </c>
      <c r="V46" t="s">
        <v>2704</v>
      </c>
      <c r="W46" t="s">
        <v>1547</v>
      </c>
      <c r="X46" t="s">
        <v>2860</v>
      </c>
      <c r="Y46" t="s">
        <v>2861</v>
      </c>
      <c r="Z46" t="s">
        <v>2861</v>
      </c>
      <c r="AA46">
        <v>3.0</v>
      </c>
      <c r="AB46">
        <v>3.0</v>
      </c>
      <c r="AC46" t="s">
        <v>2769</v>
      </c>
    </row>
    <row r="47" ht="15.75" customHeight="1">
      <c r="A47" t="s">
        <v>2876</v>
      </c>
      <c r="B47" t="s">
        <v>2877</v>
      </c>
      <c r="C47" t="s">
        <v>569</v>
      </c>
      <c r="D47" t="s">
        <v>2878</v>
      </c>
      <c r="E47" t="s">
        <v>2113</v>
      </c>
      <c r="F47" t="s">
        <v>956</v>
      </c>
      <c r="G47" t="s">
        <v>2879</v>
      </c>
      <c r="H47">
        <v>1.0</v>
      </c>
      <c r="I47">
        <v>3.0</v>
      </c>
      <c r="J47">
        <v>0.0</v>
      </c>
      <c r="K47">
        <v>0.0</v>
      </c>
      <c r="L47">
        <v>0.0</v>
      </c>
      <c r="M47">
        <v>0.0</v>
      </c>
      <c r="N47">
        <v>0.0</v>
      </c>
      <c r="O47">
        <v>1.0</v>
      </c>
      <c r="P47">
        <v>0.0</v>
      </c>
      <c r="Q47">
        <v>0.0</v>
      </c>
      <c r="R47" t="s">
        <v>2880</v>
      </c>
      <c r="S47" t="s">
        <v>2881</v>
      </c>
      <c r="T47" t="s">
        <v>2702</v>
      </c>
      <c r="U47" t="s">
        <v>2882</v>
      </c>
      <c r="V47" t="s">
        <v>2704</v>
      </c>
      <c r="W47" t="s">
        <v>1547</v>
      </c>
      <c r="X47" t="s">
        <v>2883</v>
      </c>
      <c r="Y47" t="s">
        <v>2884</v>
      </c>
      <c r="Z47" t="s">
        <v>1602</v>
      </c>
      <c r="AA47">
        <v>0.0</v>
      </c>
      <c r="AB47">
        <v>0.0</v>
      </c>
      <c r="AC47" t="s">
        <v>2707</v>
      </c>
    </row>
    <row r="48" ht="15.75" customHeight="1">
      <c r="A48" t="s">
        <v>2885</v>
      </c>
      <c r="B48" t="s">
        <v>2886</v>
      </c>
      <c r="C48" t="s">
        <v>572</v>
      </c>
      <c r="D48" t="s">
        <v>2878</v>
      </c>
      <c r="E48" t="s">
        <v>2113</v>
      </c>
      <c r="F48" t="s">
        <v>956</v>
      </c>
      <c r="G48" t="s">
        <v>2879</v>
      </c>
      <c r="H48">
        <v>1.0</v>
      </c>
      <c r="I48">
        <v>5.0</v>
      </c>
      <c r="J48">
        <v>0.0</v>
      </c>
      <c r="K48">
        <v>0.0</v>
      </c>
      <c r="L48">
        <v>0.0</v>
      </c>
      <c r="M48">
        <v>0.0</v>
      </c>
      <c r="N48">
        <v>1.0</v>
      </c>
      <c r="O48">
        <v>1.0</v>
      </c>
      <c r="P48">
        <v>0.0</v>
      </c>
      <c r="Q48">
        <v>0.0</v>
      </c>
      <c r="R48" t="s">
        <v>2880</v>
      </c>
      <c r="S48" t="s">
        <v>2881</v>
      </c>
      <c r="T48" t="s">
        <v>2702</v>
      </c>
      <c r="U48" t="s">
        <v>2882</v>
      </c>
      <c r="V48" t="s">
        <v>2704</v>
      </c>
      <c r="W48" t="s">
        <v>1547</v>
      </c>
      <c r="X48" t="s">
        <v>2883</v>
      </c>
      <c r="Y48" t="s">
        <v>2884</v>
      </c>
      <c r="Z48" t="s">
        <v>2883</v>
      </c>
      <c r="AA48">
        <v>2.0</v>
      </c>
      <c r="AB48">
        <v>1.0</v>
      </c>
      <c r="AC48" t="s">
        <v>2887</v>
      </c>
    </row>
    <row r="49" ht="15.75" customHeight="1">
      <c r="A49" t="s">
        <v>2888</v>
      </c>
      <c r="B49" t="s">
        <v>2889</v>
      </c>
      <c r="C49" t="s">
        <v>575</v>
      </c>
      <c r="D49" t="s">
        <v>2878</v>
      </c>
      <c r="E49" t="s">
        <v>2113</v>
      </c>
      <c r="F49" t="s">
        <v>956</v>
      </c>
      <c r="G49" t="s">
        <v>2879</v>
      </c>
      <c r="H49">
        <v>2.0</v>
      </c>
      <c r="I49">
        <v>7.0</v>
      </c>
      <c r="J49">
        <v>0.0</v>
      </c>
      <c r="K49">
        <v>0.0</v>
      </c>
      <c r="L49">
        <v>0.0</v>
      </c>
      <c r="M49">
        <v>0.0</v>
      </c>
      <c r="N49">
        <v>1.0</v>
      </c>
      <c r="O49">
        <v>2.0</v>
      </c>
      <c r="P49">
        <v>0.0</v>
      </c>
      <c r="Q49">
        <v>0.0</v>
      </c>
      <c r="R49" t="s">
        <v>2890</v>
      </c>
      <c r="S49" t="s">
        <v>2881</v>
      </c>
      <c r="T49" t="s">
        <v>2702</v>
      </c>
      <c r="U49" t="s">
        <v>2882</v>
      </c>
      <c r="V49" t="s">
        <v>2704</v>
      </c>
      <c r="W49" t="s">
        <v>1547</v>
      </c>
      <c r="X49" t="s">
        <v>2883</v>
      </c>
      <c r="Y49" t="s">
        <v>2884</v>
      </c>
      <c r="Z49" t="s">
        <v>2883</v>
      </c>
      <c r="AA49">
        <v>2.0</v>
      </c>
      <c r="AB49">
        <v>1.0</v>
      </c>
      <c r="AC49" t="s">
        <v>2887</v>
      </c>
    </row>
    <row r="50" ht="15.75" customHeight="1">
      <c r="A50" t="s">
        <v>2891</v>
      </c>
      <c r="B50" t="s">
        <v>2892</v>
      </c>
      <c r="C50" t="s">
        <v>578</v>
      </c>
      <c r="D50" t="s">
        <v>2878</v>
      </c>
      <c r="E50" t="s">
        <v>2113</v>
      </c>
      <c r="F50" t="s">
        <v>956</v>
      </c>
      <c r="G50" t="s">
        <v>2879</v>
      </c>
      <c r="H50">
        <v>3.0</v>
      </c>
      <c r="I50">
        <v>9.0</v>
      </c>
      <c r="J50">
        <v>1.0</v>
      </c>
      <c r="K50">
        <v>0.0</v>
      </c>
      <c r="L50">
        <v>0.0</v>
      </c>
      <c r="M50">
        <v>0.0</v>
      </c>
      <c r="N50">
        <v>1.0</v>
      </c>
      <c r="O50">
        <v>3.0</v>
      </c>
      <c r="P50">
        <v>0.0</v>
      </c>
      <c r="Q50">
        <v>0.0</v>
      </c>
      <c r="R50" t="s">
        <v>2890</v>
      </c>
      <c r="S50" t="s">
        <v>2881</v>
      </c>
      <c r="T50" t="s">
        <v>2702</v>
      </c>
      <c r="U50" t="s">
        <v>2882</v>
      </c>
      <c r="V50" t="s">
        <v>2704</v>
      </c>
      <c r="W50" t="s">
        <v>1547</v>
      </c>
      <c r="X50" t="s">
        <v>2883</v>
      </c>
      <c r="Y50" t="s">
        <v>2884</v>
      </c>
      <c r="Z50" t="s">
        <v>2884</v>
      </c>
      <c r="AA50">
        <v>3.0</v>
      </c>
      <c r="AB50">
        <v>2.0</v>
      </c>
      <c r="AC50" t="s">
        <v>2893</v>
      </c>
    </row>
    <row r="51" ht="15.75" customHeight="1">
      <c r="A51" t="s">
        <v>2894</v>
      </c>
      <c r="B51" t="s">
        <v>2895</v>
      </c>
      <c r="C51" t="s">
        <v>581</v>
      </c>
      <c r="D51" t="s">
        <v>2878</v>
      </c>
      <c r="E51" t="s">
        <v>2113</v>
      </c>
      <c r="F51" t="s">
        <v>956</v>
      </c>
      <c r="G51" t="s">
        <v>2879</v>
      </c>
      <c r="H51">
        <v>4.0</v>
      </c>
      <c r="I51">
        <v>12.0</v>
      </c>
      <c r="J51">
        <v>1.0</v>
      </c>
      <c r="K51">
        <v>0.0</v>
      </c>
      <c r="L51">
        <v>0.0</v>
      </c>
      <c r="M51">
        <v>0.0</v>
      </c>
      <c r="N51">
        <v>2.0</v>
      </c>
      <c r="O51">
        <v>4.0</v>
      </c>
      <c r="P51">
        <v>0.0</v>
      </c>
      <c r="Q51">
        <v>0.0</v>
      </c>
      <c r="R51" t="s">
        <v>2896</v>
      </c>
      <c r="S51" t="s">
        <v>2881</v>
      </c>
      <c r="T51" t="s">
        <v>2702</v>
      </c>
      <c r="U51" t="s">
        <v>2882</v>
      </c>
      <c r="V51" t="s">
        <v>2704</v>
      </c>
      <c r="W51" t="s">
        <v>1547</v>
      </c>
      <c r="X51" t="s">
        <v>2883</v>
      </c>
      <c r="Y51" t="s">
        <v>2884</v>
      </c>
      <c r="Z51" t="s">
        <v>2884</v>
      </c>
      <c r="AA51">
        <v>3.0</v>
      </c>
      <c r="AB51">
        <v>2.0</v>
      </c>
      <c r="AC51" t="s">
        <v>2893</v>
      </c>
    </row>
    <row r="52" ht="15.75" customHeight="1">
      <c r="A52" t="s">
        <v>2897</v>
      </c>
      <c r="B52" t="s">
        <v>2898</v>
      </c>
      <c r="C52" t="s">
        <v>584</v>
      </c>
      <c r="D52" t="s">
        <v>2878</v>
      </c>
      <c r="E52" t="s">
        <v>2113</v>
      </c>
      <c r="F52" t="s">
        <v>956</v>
      </c>
      <c r="G52" t="s">
        <v>2879</v>
      </c>
      <c r="H52">
        <v>6.0</v>
      </c>
      <c r="I52">
        <v>16.0</v>
      </c>
      <c r="J52">
        <v>2.0</v>
      </c>
      <c r="K52">
        <v>0.0</v>
      </c>
      <c r="L52">
        <v>0.0</v>
      </c>
      <c r="M52">
        <v>0.0</v>
      </c>
      <c r="N52">
        <v>2.0</v>
      </c>
      <c r="O52">
        <v>5.0</v>
      </c>
      <c r="P52">
        <v>0.0</v>
      </c>
      <c r="Q52">
        <v>0.0</v>
      </c>
      <c r="R52" t="s">
        <v>2899</v>
      </c>
      <c r="S52" t="s">
        <v>2881</v>
      </c>
      <c r="T52" t="s">
        <v>2702</v>
      </c>
      <c r="U52" t="s">
        <v>2882</v>
      </c>
      <c r="V52" t="s">
        <v>2704</v>
      </c>
      <c r="W52" t="s">
        <v>1547</v>
      </c>
      <c r="X52" t="s">
        <v>2883</v>
      </c>
      <c r="Y52" t="s">
        <v>2884</v>
      </c>
      <c r="Z52" t="s">
        <v>2884</v>
      </c>
      <c r="AA52">
        <v>3.0</v>
      </c>
      <c r="AB52">
        <v>2.0</v>
      </c>
      <c r="AC52" t="s">
        <v>2893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9" width="8.71"/>
  </cols>
  <sheetData>
    <row r="1">
      <c r="A1" t="s">
        <v>2900</v>
      </c>
    </row>
    <row r="4">
      <c r="A4" t="s">
        <v>2468</v>
      </c>
      <c r="B4" t="s">
        <v>2469</v>
      </c>
      <c r="C4" t="s">
        <v>133</v>
      </c>
      <c r="D4" t="s">
        <v>2684</v>
      </c>
      <c r="E4" t="s">
        <v>2104</v>
      </c>
      <c r="F4" t="s">
        <v>2685</v>
      </c>
      <c r="G4" t="s">
        <v>2686</v>
      </c>
      <c r="H4" t="s">
        <v>1266</v>
      </c>
      <c r="I4" t="s">
        <v>1223</v>
      </c>
      <c r="J4" t="s">
        <v>82</v>
      </c>
      <c r="K4" t="s">
        <v>89</v>
      </c>
      <c r="L4" t="s">
        <v>94</v>
      </c>
      <c r="M4" t="s">
        <v>106</v>
      </c>
      <c r="N4" t="s">
        <v>98</v>
      </c>
      <c r="O4" t="s">
        <v>111</v>
      </c>
      <c r="P4" t="s">
        <v>101</v>
      </c>
      <c r="Q4" t="s">
        <v>2687</v>
      </c>
      <c r="R4" t="s">
        <v>2688</v>
      </c>
      <c r="S4" t="s">
        <v>2689</v>
      </c>
      <c r="T4" t="s">
        <v>2690</v>
      </c>
      <c r="U4" t="s">
        <v>2347</v>
      </c>
      <c r="V4" t="s">
        <v>2348</v>
      </c>
      <c r="W4" t="s">
        <v>5</v>
      </c>
      <c r="X4" t="s">
        <v>2691</v>
      </c>
      <c r="Y4" t="s">
        <v>2692</v>
      </c>
      <c r="Z4" t="s">
        <v>2310</v>
      </c>
      <c r="AA4" t="s">
        <v>2693</v>
      </c>
      <c r="AB4" t="s">
        <v>1180</v>
      </c>
      <c r="AC4" t="s">
        <v>2694</v>
      </c>
    </row>
    <row r="5">
      <c r="A5" t="s">
        <v>2901</v>
      </c>
      <c r="B5" t="s">
        <v>2902</v>
      </c>
      <c r="C5" t="s">
        <v>569</v>
      </c>
      <c r="D5" t="s">
        <v>2697</v>
      </c>
      <c r="E5" t="s">
        <v>1679</v>
      </c>
      <c r="F5" t="s">
        <v>2698</v>
      </c>
      <c r="G5" t="s">
        <v>2699</v>
      </c>
      <c r="H5">
        <v>2.0</v>
      </c>
      <c r="I5">
        <v>0.0</v>
      </c>
      <c r="J5">
        <v>0.0</v>
      </c>
      <c r="K5">
        <v>0.0</v>
      </c>
      <c r="L5">
        <v>0.0</v>
      </c>
      <c r="M5">
        <v>1.0</v>
      </c>
      <c r="N5">
        <v>0.0</v>
      </c>
      <c r="O5">
        <v>0.0</v>
      </c>
      <c r="P5">
        <v>0.0</v>
      </c>
      <c r="Q5">
        <v>-1.0</v>
      </c>
      <c r="R5" t="s">
        <v>2700</v>
      </c>
      <c r="S5" t="s">
        <v>2701</v>
      </c>
      <c r="T5" t="s">
        <v>2702</v>
      </c>
      <c r="U5" t="s">
        <v>2703</v>
      </c>
      <c r="V5" t="s">
        <v>2704</v>
      </c>
      <c r="W5" t="s">
        <v>1547</v>
      </c>
      <c r="X5" t="s">
        <v>2903</v>
      </c>
      <c r="Y5" t="s">
        <v>2904</v>
      </c>
      <c r="Z5" t="s">
        <v>1602</v>
      </c>
      <c r="AA5">
        <v>0.0</v>
      </c>
      <c r="AB5">
        <v>0.0</v>
      </c>
      <c r="AC5" t="s">
        <v>2707</v>
      </c>
    </row>
    <row r="6">
      <c r="A6" t="s">
        <v>2905</v>
      </c>
      <c r="B6" t="s">
        <v>2906</v>
      </c>
      <c r="C6" t="s">
        <v>572</v>
      </c>
      <c r="D6" t="s">
        <v>2697</v>
      </c>
      <c r="E6" t="s">
        <v>1679</v>
      </c>
      <c r="F6" t="s">
        <v>2698</v>
      </c>
      <c r="G6" t="s">
        <v>2699</v>
      </c>
      <c r="H6">
        <v>3.0</v>
      </c>
      <c r="I6">
        <v>0.0</v>
      </c>
      <c r="J6">
        <v>1.0</v>
      </c>
      <c r="K6">
        <v>0.0</v>
      </c>
      <c r="L6">
        <v>0.0</v>
      </c>
      <c r="M6">
        <v>1.0</v>
      </c>
      <c r="N6">
        <v>0.0</v>
      </c>
      <c r="O6">
        <v>0.0</v>
      </c>
      <c r="P6">
        <v>0.0</v>
      </c>
      <c r="Q6">
        <v>-1.0</v>
      </c>
      <c r="R6" t="s">
        <v>2700</v>
      </c>
      <c r="S6" t="s">
        <v>2701</v>
      </c>
      <c r="T6" t="s">
        <v>2702</v>
      </c>
      <c r="U6" t="s">
        <v>2703</v>
      </c>
      <c r="V6" t="s">
        <v>2704</v>
      </c>
      <c r="W6" t="s">
        <v>1547</v>
      </c>
      <c r="X6" t="s">
        <v>2903</v>
      </c>
      <c r="Y6" t="s">
        <v>2904</v>
      </c>
      <c r="Z6" t="s">
        <v>2903</v>
      </c>
      <c r="AA6">
        <v>2.0</v>
      </c>
      <c r="AB6">
        <v>0.0</v>
      </c>
      <c r="AC6" t="s">
        <v>2907</v>
      </c>
    </row>
    <row r="7">
      <c r="A7" t="s">
        <v>2908</v>
      </c>
      <c r="B7" t="s">
        <v>2909</v>
      </c>
      <c r="C7" t="s">
        <v>575</v>
      </c>
      <c r="D7" t="s">
        <v>2697</v>
      </c>
      <c r="E7" t="s">
        <v>1679</v>
      </c>
      <c r="F7" t="s">
        <v>2698</v>
      </c>
      <c r="G7" t="s">
        <v>2699</v>
      </c>
      <c r="H7">
        <v>4.0</v>
      </c>
      <c r="I7">
        <v>0.0</v>
      </c>
      <c r="J7">
        <v>1.0</v>
      </c>
      <c r="K7">
        <v>0.0</v>
      </c>
      <c r="L7">
        <v>0.0</v>
      </c>
      <c r="M7">
        <v>2.0</v>
      </c>
      <c r="N7">
        <v>0.0</v>
      </c>
      <c r="O7">
        <v>0.0</v>
      </c>
      <c r="P7">
        <v>0.0</v>
      </c>
      <c r="Q7">
        <v>-1.0</v>
      </c>
      <c r="R7" t="s">
        <v>2712</v>
      </c>
      <c r="S7" t="s">
        <v>2713</v>
      </c>
      <c r="T7" t="s">
        <v>2702</v>
      </c>
      <c r="U7" t="s">
        <v>2703</v>
      </c>
      <c r="V7" t="s">
        <v>2704</v>
      </c>
      <c r="W7" t="s">
        <v>1547</v>
      </c>
      <c r="X7" t="s">
        <v>2903</v>
      </c>
      <c r="Y7" t="s">
        <v>2904</v>
      </c>
      <c r="Z7" t="s">
        <v>2903</v>
      </c>
      <c r="AA7">
        <v>2.0</v>
      </c>
      <c r="AB7">
        <v>0.0</v>
      </c>
      <c r="AC7" t="s">
        <v>2907</v>
      </c>
    </row>
    <row r="8">
      <c r="A8" t="s">
        <v>2910</v>
      </c>
      <c r="B8" t="s">
        <v>2911</v>
      </c>
      <c r="C8" t="s">
        <v>578</v>
      </c>
      <c r="D8" t="s">
        <v>2697</v>
      </c>
      <c r="E8" t="s">
        <v>1679</v>
      </c>
      <c r="F8" t="s">
        <v>2698</v>
      </c>
      <c r="G8" t="s">
        <v>2699</v>
      </c>
      <c r="H8">
        <v>6.0</v>
      </c>
      <c r="I8">
        <v>1.0</v>
      </c>
      <c r="J8">
        <v>1.0</v>
      </c>
      <c r="K8">
        <v>1.0</v>
      </c>
      <c r="L8">
        <v>0.0</v>
      </c>
      <c r="M8">
        <v>3.0</v>
      </c>
      <c r="N8">
        <v>0.0</v>
      </c>
      <c r="O8">
        <v>0.0</v>
      </c>
      <c r="P8">
        <v>0.0</v>
      </c>
      <c r="Q8">
        <v>-1.0</v>
      </c>
      <c r="R8" t="s">
        <v>2712</v>
      </c>
      <c r="S8" t="s">
        <v>2713</v>
      </c>
      <c r="T8" t="s">
        <v>2702</v>
      </c>
      <c r="U8" t="s">
        <v>2703</v>
      </c>
      <c r="V8" t="s">
        <v>2704</v>
      </c>
      <c r="W8" t="s">
        <v>1547</v>
      </c>
      <c r="X8" t="s">
        <v>2903</v>
      </c>
      <c r="Y8" t="s">
        <v>2904</v>
      </c>
      <c r="Z8" t="s">
        <v>2904</v>
      </c>
      <c r="AA8">
        <v>3.0</v>
      </c>
      <c r="AB8">
        <v>2.0</v>
      </c>
      <c r="AC8" t="s">
        <v>2912</v>
      </c>
    </row>
    <row r="9">
      <c r="A9" t="s">
        <v>2913</v>
      </c>
      <c r="B9" t="s">
        <v>2914</v>
      </c>
      <c r="C9" t="s">
        <v>581</v>
      </c>
      <c r="D9" t="s">
        <v>2697</v>
      </c>
      <c r="E9" t="s">
        <v>1679</v>
      </c>
      <c r="F9" t="s">
        <v>2698</v>
      </c>
      <c r="G9" t="s">
        <v>2699</v>
      </c>
      <c r="H9">
        <v>8.0</v>
      </c>
      <c r="I9">
        <v>1.0</v>
      </c>
      <c r="J9">
        <v>2.0</v>
      </c>
      <c r="K9">
        <v>1.0</v>
      </c>
      <c r="L9">
        <v>0.0</v>
      </c>
      <c r="M9">
        <v>4.0</v>
      </c>
      <c r="N9">
        <v>0.0</v>
      </c>
      <c r="O9">
        <v>0.0</v>
      </c>
      <c r="P9">
        <v>0.0</v>
      </c>
      <c r="Q9">
        <v>-1.0</v>
      </c>
      <c r="R9" t="s">
        <v>2719</v>
      </c>
      <c r="S9" t="s">
        <v>2720</v>
      </c>
      <c r="T9" t="s">
        <v>2702</v>
      </c>
      <c r="U9" t="s">
        <v>2703</v>
      </c>
      <c r="V9" t="s">
        <v>2704</v>
      </c>
      <c r="W9" t="s">
        <v>1547</v>
      </c>
      <c r="X9" t="s">
        <v>2903</v>
      </c>
      <c r="Y9" t="s">
        <v>2904</v>
      </c>
      <c r="Z9" t="s">
        <v>2904</v>
      </c>
      <c r="AA9">
        <v>3.0</v>
      </c>
      <c r="AB9">
        <v>2.0</v>
      </c>
      <c r="AC9" t="s">
        <v>2912</v>
      </c>
    </row>
    <row r="10">
      <c r="A10" t="s">
        <v>2915</v>
      </c>
      <c r="B10" t="s">
        <v>2916</v>
      </c>
      <c r="C10" t="s">
        <v>584</v>
      </c>
      <c r="D10" t="s">
        <v>2697</v>
      </c>
      <c r="E10" t="s">
        <v>1679</v>
      </c>
      <c r="F10" t="s">
        <v>2698</v>
      </c>
      <c r="G10" t="s">
        <v>2699</v>
      </c>
      <c r="H10">
        <v>11.0</v>
      </c>
      <c r="I10">
        <v>1.0</v>
      </c>
      <c r="J10">
        <v>2.0</v>
      </c>
      <c r="K10">
        <v>2.0</v>
      </c>
      <c r="L10">
        <v>0.0</v>
      </c>
      <c r="M10">
        <v>5.0</v>
      </c>
      <c r="N10">
        <v>0.0</v>
      </c>
      <c r="O10">
        <v>0.0</v>
      </c>
      <c r="P10">
        <v>0.0</v>
      </c>
      <c r="Q10">
        <v>-1.0</v>
      </c>
      <c r="R10" t="s">
        <v>2723</v>
      </c>
      <c r="S10" t="s">
        <v>2724</v>
      </c>
      <c r="T10" t="s">
        <v>2702</v>
      </c>
      <c r="U10" t="s">
        <v>2703</v>
      </c>
      <c r="V10" t="s">
        <v>2704</v>
      </c>
      <c r="W10" t="s">
        <v>1547</v>
      </c>
      <c r="X10" t="s">
        <v>2903</v>
      </c>
      <c r="Y10" t="s">
        <v>2904</v>
      </c>
      <c r="Z10" t="s">
        <v>2904</v>
      </c>
      <c r="AA10">
        <v>3.0</v>
      </c>
      <c r="AB10">
        <v>2.0</v>
      </c>
      <c r="AC10" t="s">
        <v>2912</v>
      </c>
    </row>
    <row r="11">
      <c r="A11" t="s">
        <v>2917</v>
      </c>
      <c r="B11" t="s">
        <v>2918</v>
      </c>
      <c r="C11" t="s">
        <v>569</v>
      </c>
      <c r="D11" t="s">
        <v>2727</v>
      </c>
      <c r="E11" t="s">
        <v>1679</v>
      </c>
      <c r="F11" t="s">
        <v>956</v>
      </c>
      <c r="G11" t="s">
        <v>2728</v>
      </c>
      <c r="H11">
        <v>0.0</v>
      </c>
      <c r="I11">
        <v>2.0</v>
      </c>
      <c r="J11">
        <v>0.0</v>
      </c>
      <c r="K11">
        <v>0.0</v>
      </c>
      <c r="L11">
        <v>0.0</v>
      </c>
      <c r="M11">
        <v>0.0</v>
      </c>
      <c r="N11">
        <v>0.0</v>
      </c>
      <c r="O11">
        <v>1.0</v>
      </c>
      <c r="P11">
        <v>0.0</v>
      </c>
      <c r="Q11">
        <v>0.0</v>
      </c>
      <c r="R11" t="s">
        <v>2729</v>
      </c>
      <c r="S11" t="s">
        <v>2730</v>
      </c>
      <c r="T11" t="s">
        <v>2702</v>
      </c>
      <c r="U11" t="s">
        <v>2731</v>
      </c>
      <c r="V11" t="s">
        <v>2704</v>
      </c>
      <c r="W11" t="s">
        <v>1547</v>
      </c>
      <c r="X11" t="s">
        <v>2919</v>
      </c>
      <c r="Y11" t="s">
        <v>2920</v>
      </c>
      <c r="Z11" t="s">
        <v>1602</v>
      </c>
      <c r="AA11">
        <v>0.0</v>
      </c>
      <c r="AB11">
        <v>0.0</v>
      </c>
      <c r="AC11" t="s">
        <v>2707</v>
      </c>
    </row>
    <row r="12">
      <c r="A12" t="s">
        <v>2921</v>
      </c>
      <c r="B12" t="s">
        <v>2922</v>
      </c>
      <c r="C12" t="s">
        <v>572</v>
      </c>
      <c r="D12" t="s">
        <v>2727</v>
      </c>
      <c r="E12" t="s">
        <v>1679</v>
      </c>
      <c r="F12" t="s">
        <v>956</v>
      </c>
      <c r="G12" t="s">
        <v>2728</v>
      </c>
      <c r="H12">
        <v>0.0</v>
      </c>
      <c r="I12">
        <v>3.0</v>
      </c>
      <c r="J12">
        <v>0.0</v>
      </c>
      <c r="K12">
        <v>0.0</v>
      </c>
      <c r="L12">
        <v>0.0</v>
      </c>
      <c r="M12">
        <v>0.0</v>
      </c>
      <c r="N12">
        <v>1.0</v>
      </c>
      <c r="O12">
        <v>1.0</v>
      </c>
      <c r="P12">
        <v>0.0</v>
      </c>
      <c r="Q12">
        <v>0.0</v>
      </c>
      <c r="R12" t="s">
        <v>2729</v>
      </c>
      <c r="S12" t="s">
        <v>2730</v>
      </c>
      <c r="T12" t="s">
        <v>2702</v>
      </c>
      <c r="U12" t="s">
        <v>2731</v>
      </c>
      <c r="V12" t="s">
        <v>2704</v>
      </c>
      <c r="W12" t="s">
        <v>1547</v>
      </c>
      <c r="X12" t="s">
        <v>2919</v>
      </c>
      <c r="Y12" t="s">
        <v>2920</v>
      </c>
      <c r="Z12" t="s">
        <v>2919</v>
      </c>
      <c r="AA12">
        <v>2.0</v>
      </c>
      <c r="AB12">
        <v>1.0</v>
      </c>
      <c r="AC12" t="s">
        <v>2923</v>
      </c>
    </row>
    <row r="13">
      <c r="A13" t="s">
        <v>2924</v>
      </c>
      <c r="B13" t="s">
        <v>2925</v>
      </c>
      <c r="C13" t="s">
        <v>575</v>
      </c>
      <c r="D13" t="s">
        <v>2727</v>
      </c>
      <c r="E13" t="s">
        <v>1679</v>
      </c>
      <c r="F13" t="s">
        <v>956</v>
      </c>
      <c r="G13" t="s">
        <v>2728</v>
      </c>
      <c r="H13">
        <v>0.0</v>
      </c>
      <c r="I13">
        <v>4.0</v>
      </c>
      <c r="J13">
        <v>0.0</v>
      </c>
      <c r="K13">
        <v>0.0</v>
      </c>
      <c r="L13">
        <v>0.0</v>
      </c>
      <c r="M13">
        <v>0.0</v>
      </c>
      <c r="N13">
        <v>1.0</v>
      </c>
      <c r="O13">
        <v>2.0</v>
      </c>
      <c r="P13">
        <v>0.0</v>
      </c>
      <c r="Q13">
        <v>0.0</v>
      </c>
      <c r="R13" t="s">
        <v>2739</v>
      </c>
      <c r="S13" t="s">
        <v>2740</v>
      </c>
      <c r="T13" t="s">
        <v>2702</v>
      </c>
      <c r="U13" t="s">
        <v>2731</v>
      </c>
      <c r="V13" t="s">
        <v>2704</v>
      </c>
      <c r="W13" t="s">
        <v>1547</v>
      </c>
      <c r="X13" t="s">
        <v>2919</v>
      </c>
      <c r="Y13" t="s">
        <v>2920</v>
      </c>
      <c r="Z13" t="s">
        <v>2919</v>
      </c>
      <c r="AA13">
        <v>2.0</v>
      </c>
      <c r="AB13">
        <v>1.0</v>
      </c>
      <c r="AC13" t="s">
        <v>2923</v>
      </c>
    </row>
    <row r="14">
      <c r="A14" t="s">
        <v>2926</v>
      </c>
      <c r="B14" t="s">
        <v>2927</v>
      </c>
      <c r="C14" t="s">
        <v>578</v>
      </c>
      <c r="D14" t="s">
        <v>2727</v>
      </c>
      <c r="E14" t="s">
        <v>1679</v>
      </c>
      <c r="F14" t="s">
        <v>956</v>
      </c>
      <c r="G14" t="s">
        <v>2728</v>
      </c>
      <c r="H14">
        <v>0.0</v>
      </c>
      <c r="I14">
        <v>6.0</v>
      </c>
      <c r="J14">
        <v>1.0</v>
      </c>
      <c r="K14">
        <v>0.0</v>
      </c>
      <c r="L14">
        <v>0.0</v>
      </c>
      <c r="M14">
        <v>0.0</v>
      </c>
      <c r="N14">
        <v>1.0</v>
      </c>
      <c r="O14">
        <v>3.0</v>
      </c>
      <c r="P14">
        <v>0.0</v>
      </c>
      <c r="Q14">
        <v>0.0</v>
      </c>
      <c r="R14" t="s">
        <v>2739</v>
      </c>
      <c r="S14" t="s">
        <v>2740</v>
      </c>
      <c r="T14" t="s">
        <v>2702</v>
      </c>
      <c r="U14" t="s">
        <v>2731</v>
      </c>
      <c r="V14" t="s">
        <v>2704</v>
      </c>
      <c r="W14" t="s">
        <v>1547</v>
      </c>
      <c r="X14" t="s">
        <v>2919</v>
      </c>
      <c r="Y14" t="s">
        <v>2920</v>
      </c>
      <c r="Z14" t="s">
        <v>2920</v>
      </c>
      <c r="AA14">
        <v>3.0</v>
      </c>
      <c r="AB14">
        <v>2.0</v>
      </c>
      <c r="AC14" t="s">
        <v>2928</v>
      </c>
    </row>
    <row r="15">
      <c r="A15" t="s">
        <v>2929</v>
      </c>
      <c r="B15" t="s">
        <v>2930</v>
      </c>
      <c r="C15" t="s">
        <v>581</v>
      </c>
      <c r="D15" t="s">
        <v>2727</v>
      </c>
      <c r="E15" t="s">
        <v>1679</v>
      </c>
      <c r="F15" t="s">
        <v>956</v>
      </c>
      <c r="G15" t="s">
        <v>2728</v>
      </c>
      <c r="H15">
        <v>1.0</v>
      </c>
      <c r="I15">
        <v>7.0</v>
      </c>
      <c r="J15">
        <v>1.0</v>
      </c>
      <c r="K15">
        <v>0.0</v>
      </c>
      <c r="L15">
        <v>0.0</v>
      </c>
      <c r="M15">
        <v>0.0</v>
      </c>
      <c r="N15">
        <v>2.0</v>
      </c>
      <c r="O15">
        <v>4.0</v>
      </c>
      <c r="P15">
        <v>0.0</v>
      </c>
      <c r="Q15">
        <v>0.0</v>
      </c>
      <c r="R15" t="s">
        <v>2746</v>
      </c>
      <c r="S15" t="s">
        <v>2747</v>
      </c>
      <c r="T15" t="s">
        <v>2702</v>
      </c>
      <c r="U15" t="s">
        <v>2731</v>
      </c>
      <c r="V15" t="s">
        <v>2704</v>
      </c>
      <c r="W15" t="s">
        <v>1547</v>
      </c>
      <c r="X15" t="s">
        <v>2919</v>
      </c>
      <c r="Y15" t="s">
        <v>2920</v>
      </c>
      <c r="Z15" t="s">
        <v>2920</v>
      </c>
      <c r="AA15">
        <v>3.0</v>
      </c>
      <c r="AB15">
        <v>2.0</v>
      </c>
      <c r="AC15" t="s">
        <v>2928</v>
      </c>
    </row>
    <row r="16">
      <c r="A16" t="s">
        <v>2931</v>
      </c>
      <c r="B16" t="s">
        <v>2932</v>
      </c>
      <c r="C16" t="s">
        <v>584</v>
      </c>
      <c r="D16" t="s">
        <v>2727</v>
      </c>
      <c r="E16" t="s">
        <v>1679</v>
      </c>
      <c r="F16" t="s">
        <v>956</v>
      </c>
      <c r="G16" t="s">
        <v>2728</v>
      </c>
      <c r="H16">
        <v>1.0</v>
      </c>
      <c r="I16">
        <v>10.0</v>
      </c>
      <c r="J16">
        <v>2.0</v>
      </c>
      <c r="K16">
        <v>0.0</v>
      </c>
      <c r="L16">
        <v>0.0</v>
      </c>
      <c r="M16">
        <v>0.0</v>
      </c>
      <c r="N16">
        <v>2.0</v>
      </c>
      <c r="O16">
        <v>5.0</v>
      </c>
      <c r="P16">
        <v>0.0</v>
      </c>
      <c r="Q16">
        <v>0.0</v>
      </c>
      <c r="R16" t="s">
        <v>2750</v>
      </c>
      <c r="S16" t="s">
        <v>2751</v>
      </c>
      <c r="T16" t="s">
        <v>2702</v>
      </c>
      <c r="U16" t="s">
        <v>2731</v>
      </c>
      <c r="V16" t="s">
        <v>2704</v>
      </c>
      <c r="W16" t="s">
        <v>1547</v>
      </c>
      <c r="X16" t="s">
        <v>2919</v>
      </c>
      <c r="Y16" t="s">
        <v>2920</v>
      </c>
      <c r="Z16" t="s">
        <v>2920</v>
      </c>
      <c r="AA16">
        <v>3.0</v>
      </c>
      <c r="AB16">
        <v>2.0</v>
      </c>
      <c r="AC16" t="s">
        <v>2928</v>
      </c>
    </row>
    <row r="17">
      <c r="A17" t="s">
        <v>2933</v>
      </c>
      <c r="B17" t="s">
        <v>2934</v>
      </c>
      <c r="C17" t="s">
        <v>569</v>
      </c>
      <c r="D17" t="s">
        <v>2754</v>
      </c>
      <c r="E17" t="s">
        <v>1679</v>
      </c>
      <c r="F17" t="s">
        <v>956</v>
      </c>
      <c r="G17" t="s">
        <v>2755</v>
      </c>
      <c r="H17">
        <v>1.0</v>
      </c>
      <c r="I17">
        <v>1.0</v>
      </c>
      <c r="J17">
        <v>1.0</v>
      </c>
      <c r="K17">
        <v>0.0</v>
      </c>
      <c r="L17">
        <v>0.0</v>
      </c>
      <c r="M17">
        <v>0.0</v>
      </c>
      <c r="N17">
        <v>0.0</v>
      </c>
      <c r="O17">
        <v>0.0</v>
      </c>
      <c r="P17">
        <v>0.0</v>
      </c>
      <c r="Q17">
        <v>0.0</v>
      </c>
      <c r="R17" t="s">
        <v>2756</v>
      </c>
      <c r="S17" t="s">
        <v>2757</v>
      </c>
      <c r="T17" t="s">
        <v>2702</v>
      </c>
      <c r="U17" t="s">
        <v>2758</v>
      </c>
      <c r="V17" t="s">
        <v>2704</v>
      </c>
      <c r="W17" t="s">
        <v>1547</v>
      </c>
      <c r="X17" t="s">
        <v>2935</v>
      </c>
      <c r="Y17" t="s">
        <v>2936</v>
      </c>
      <c r="Z17" t="s">
        <v>1602</v>
      </c>
      <c r="AA17">
        <v>0.0</v>
      </c>
      <c r="AB17">
        <v>0.0</v>
      </c>
      <c r="AC17" t="s">
        <v>2707</v>
      </c>
    </row>
    <row r="18">
      <c r="A18" t="s">
        <v>2937</v>
      </c>
      <c r="B18" t="s">
        <v>2938</v>
      </c>
      <c r="C18" t="s">
        <v>572</v>
      </c>
      <c r="D18" t="s">
        <v>2754</v>
      </c>
      <c r="E18" t="s">
        <v>1679</v>
      </c>
      <c r="F18" t="s">
        <v>956</v>
      </c>
      <c r="G18" t="s">
        <v>2755</v>
      </c>
      <c r="H18">
        <v>2.0</v>
      </c>
      <c r="I18">
        <v>1.0</v>
      </c>
      <c r="J18">
        <v>1.0</v>
      </c>
      <c r="K18">
        <v>0.0</v>
      </c>
      <c r="L18">
        <v>0.0</v>
      </c>
      <c r="M18">
        <v>1.0</v>
      </c>
      <c r="N18">
        <v>0.0</v>
      </c>
      <c r="O18">
        <v>0.0</v>
      </c>
      <c r="P18">
        <v>0.0</v>
      </c>
      <c r="Q18">
        <v>0.0</v>
      </c>
      <c r="R18" t="s">
        <v>2756</v>
      </c>
      <c r="S18" t="s">
        <v>2757</v>
      </c>
      <c r="T18" t="s">
        <v>2702</v>
      </c>
      <c r="U18" t="s">
        <v>2758</v>
      </c>
      <c r="V18" t="s">
        <v>2704</v>
      </c>
      <c r="W18" t="s">
        <v>1547</v>
      </c>
      <c r="X18" t="s">
        <v>2935</v>
      </c>
      <c r="Y18" t="s">
        <v>2936</v>
      </c>
      <c r="Z18" t="s">
        <v>2935</v>
      </c>
      <c r="AA18">
        <v>2.0</v>
      </c>
      <c r="AB18">
        <v>1.0</v>
      </c>
      <c r="AC18" t="s">
        <v>2939</v>
      </c>
    </row>
    <row r="19">
      <c r="A19" t="s">
        <v>2940</v>
      </c>
      <c r="B19" t="s">
        <v>2941</v>
      </c>
      <c r="C19" t="s">
        <v>575</v>
      </c>
      <c r="D19" t="s">
        <v>2754</v>
      </c>
      <c r="E19" t="s">
        <v>1679</v>
      </c>
      <c r="F19" t="s">
        <v>956</v>
      </c>
      <c r="G19" t="s">
        <v>2755</v>
      </c>
      <c r="H19">
        <v>2.0</v>
      </c>
      <c r="I19">
        <v>2.0</v>
      </c>
      <c r="J19">
        <v>2.0</v>
      </c>
      <c r="K19">
        <v>0.0</v>
      </c>
      <c r="L19">
        <v>0.0</v>
      </c>
      <c r="M19">
        <v>1.0</v>
      </c>
      <c r="N19">
        <v>0.0</v>
      </c>
      <c r="O19">
        <v>0.0</v>
      </c>
      <c r="P19">
        <v>0.0</v>
      </c>
      <c r="Q19">
        <v>0.0</v>
      </c>
      <c r="R19" t="s">
        <v>2766</v>
      </c>
      <c r="S19" t="s">
        <v>2757</v>
      </c>
      <c r="T19" t="s">
        <v>2702</v>
      </c>
      <c r="U19" t="s">
        <v>2758</v>
      </c>
      <c r="V19" t="s">
        <v>2704</v>
      </c>
      <c r="W19" t="s">
        <v>1547</v>
      </c>
      <c r="X19" t="s">
        <v>2935</v>
      </c>
      <c r="Y19" t="s">
        <v>2936</v>
      </c>
      <c r="Z19" t="s">
        <v>2935</v>
      </c>
      <c r="AA19">
        <v>2.0</v>
      </c>
      <c r="AB19">
        <v>1.0</v>
      </c>
      <c r="AC19" t="s">
        <v>2939</v>
      </c>
    </row>
    <row r="20">
      <c r="A20" t="s">
        <v>2942</v>
      </c>
      <c r="B20" t="s">
        <v>2943</v>
      </c>
      <c r="C20" t="s">
        <v>578</v>
      </c>
      <c r="D20" t="s">
        <v>2754</v>
      </c>
      <c r="E20" t="s">
        <v>1679</v>
      </c>
      <c r="F20" t="s">
        <v>956</v>
      </c>
      <c r="G20" t="s">
        <v>2755</v>
      </c>
      <c r="H20">
        <v>3.0</v>
      </c>
      <c r="I20">
        <v>3.0</v>
      </c>
      <c r="J20">
        <v>3.0</v>
      </c>
      <c r="K20">
        <v>0.0</v>
      </c>
      <c r="L20">
        <v>0.0</v>
      </c>
      <c r="M20">
        <v>1.0</v>
      </c>
      <c r="N20">
        <v>0.0</v>
      </c>
      <c r="O20">
        <v>1.0</v>
      </c>
      <c r="P20">
        <v>0.0</v>
      </c>
      <c r="Q20">
        <v>0.0</v>
      </c>
      <c r="R20" t="s">
        <v>2766</v>
      </c>
      <c r="S20" t="s">
        <v>2757</v>
      </c>
      <c r="T20" t="s">
        <v>2702</v>
      </c>
      <c r="U20" t="s">
        <v>2758</v>
      </c>
      <c r="V20" t="s">
        <v>2704</v>
      </c>
      <c r="W20" t="s">
        <v>1547</v>
      </c>
      <c r="X20" t="s">
        <v>2935</v>
      </c>
      <c r="Y20" t="s">
        <v>2936</v>
      </c>
      <c r="Z20" t="s">
        <v>2936</v>
      </c>
      <c r="AA20">
        <v>3.0</v>
      </c>
      <c r="AB20">
        <v>3.0</v>
      </c>
      <c r="AC20" t="s">
        <v>2944</v>
      </c>
    </row>
    <row r="21" ht="15.75" customHeight="1">
      <c r="A21" t="s">
        <v>2945</v>
      </c>
      <c r="B21" t="s">
        <v>2946</v>
      </c>
      <c r="C21" t="s">
        <v>581</v>
      </c>
      <c r="D21" t="s">
        <v>2754</v>
      </c>
      <c r="E21" t="s">
        <v>1679</v>
      </c>
      <c r="F21" t="s">
        <v>956</v>
      </c>
      <c r="G21" t="s">
        <v>2755</v>
      </c>
      <c r="H21">
        <v>4.0</v>
      </c>
      <c r="I21">
        <v>4.0</v>
      </c>
      <c r="J21">
        <v>4.0</v>
      </c>
      <c r="K21">
        <v>0.0</v>
      </c>
      <c r="L21">
        <v>0.0</v>
      </c>
      <c r="M21">
        <v>2.0</v>
      </c>
      <c r="N21">
        <v>0.0</v>
      </c>
      <c r="O21">
        <v>1.0</v>
      </c>
      <c r="P21">
        <v>0.0</v>
      </c>
      <c r="Q21">
        <v>0.0</v>
      </c>
      <c r="R21" t="s">
        <v>2772</v>
      </c>
      <c r="S21" t="s">
        <v>2773</v>
      </c>
      <c r="T21" t="s">
        <v>2702</v>
      </c>
      <c r="U21" t="s">
        <v>2758</v>
      </c>
      <c r="V21" t="s">
        <v>2704</v>
      </c>
      <c r="W21" t="s">
        <v>1547</v>
      </c>
      <c r="X21" t="s">
        <v>2935</v>
      </c>
      <c r="Y21" t="s">
        <v>2936</v>
      </c>
      <c r="Z21" t="s">
        <v>2936</v>
      </c>
      <c r="AA21">
        <v>3.0</v>
      </c>
      <c r="AB21">
        <v>3.0</v>
      </c>
      <c r="AC21" t="s">
        <v>2944</v>
      </c>
    </row>
    <row r="22" ht="15.75" customHeight="1">
      <c r="A22" t="s">
        <v>2947</v>
      </c>
      <c r="B22" t="s">
        <v>2948</v>
      </c>
      <c r="C22" t="s">
        <v>584</v>
      </c>
      <c r="D22" t="s">
        <v>2754</v>
      </c>
      <c r="E22" t="s">
        <v>1679</v>
      </c>
      <c r="F22" t="s">
        <v>956</v>
      </c>
      <c r="G22" t="s">
        <v>2755</v>
      </c>
      <c r="H22">
        <v>6.0</v>
      </c>
      <c r="I22">
        <v>5.0</v>
      </c>
      <c r="J22">
        <v>5.0</v>
      </c>
      <c r="K22">
        <v>0.0</v>
      </c>
      <c r="L22">
        <v>0.0</v>
      </c>
      <c r="M22">
        <v>2.0</v>
      </c>
      <c r="N22">
        <v>0.0</v>
      </c>
      <c r="O22">
        <v>2.0</v>
      </c>
      <c r="P22">
        <v>0.0</v>
      </c>
      <c r="Q22">
        <v>0.0</v>
      </c>
      <c r="R22" t="s">
        <v>2776</v>
      </c>
      <c r="S22" t="s">
        <v>2773</v>
      </c>
      <c r="T22" t="s">
        <v>2702</v>
      </c>
      <c r="U22" t="s">
        <v>2758</v>
      </c>
      <c r="V22" t="s">
        <v>2704</v>
      </c>
      <c r="W22" t="s">
        <v>1547</v>
      </c>
      <c r="X22" t="s">
        <v>2935</v>
      </c>
      <c r="Y22" t="s">
        <v>2936</v>
      </c>
      <c r="Z22" t="s">
        <v>2936</v>
      </c>
      <c r="AA22">
        <v>3.0</v>
      </c>
      <c r="AB22">
        <v>3.0</v>
      </c>
      <c r="AC22" t="s">
        <v>2944</v>
      </c>
    </row>
    <row r="23" ht="15.75" customHeight="1">
      <c r="A23" t="s">
        <v>2949</v>
      </c>
      <c r="B23" t="s">
        <v>2950</v>
      </c>
      <c r="C23" t="s">
        <v>569</v>
      </c>
      <c r="D23" t="s">
        <v>2779</v>
      </c>
      <c r="E23" t="s">
        <v>1679</v>
      </c>
      <c r="F23" t="s">
        <v>2780</v>
      </c>
      <c r="G23" t="s">
        <v>2781</v>
      </c>
      <c r="H23">
        <v>1.0</v>
      </c>
      <c r="I23">
        <v>1.0</v>
      </c>
      <c r="J23">
        <v>0.0</v>
      </c>
      <c r="K23">
        <v>0.0</v>
      </c>
      <c r="L23">
        <v>1.0</v>
      </c>
      <c r="M23">
        <v>0.0</v>
      </c>
      <c r="N23">
        <v>0.0</v>
      </c>
      <c r="O23">
        <v>0.0</v>
      </c>
      <c r="P23">
        <v>0.0</v>
      </c>
      <c r="Q23">
        <v>0.0</v>
      </c>
      <c r="R23" t="s">
        <v>2782</v>
      </c>
      <c r="S23" t="s">
        <v>2783</v>
      </c>
      <c r="T23" t="s">
        <v>2702</v>
      </c>
      <c r="U23" t="s">
        <v>2784</v>
      </c>
      <c r="V23" t="s">
        <v>2704</v>
      </c>
      <c r="W23" t="s">
        <v>1547</v>
      </c>
      <c r="X23" t="s">
        <v>2951</v>
      </c>
      <c r="Y23" t="s">
        <v>2952</v>
      </c>
      <c r="Z23" t="s">
        <v>1602</v>
      </c>
      <c r="AA23">
        <v>0.0</v>
      </c>
      <c r="AB23">
        <v>0.0</v>
      </c>
      <c r="AC23" t="s">
        <v>2707</v>
      </c>
    </row>
    <row r="24" ht="15.75" customHeight="1">
      <c r="A24" t="s">
        <v>2953</v>
      </c>
      <c r="B24" t="s">
        <v>2954</v>
      </c>
      <c r="C24" t="s">
        <v>572</v>
      </c>
      <c r="D24" t="s">
        <v>2779</v>
      </c>
      <c r="E24" t="s">
        <v>1679</v>
      </c>
      <c r="F24" t="s">
        <v>2780</v>
      </c>
      <c r="G24" t="s">
        <v>2781</v>
      </c>
      <c r="H24">
        <v>1.0</v>
      </c>
      <c r="I24">
        <v>1.0</v>
      </c>
      <c r="J24">
        <v>0.0</v>
      </c>
      <c r="K24">
        <v>0.0</v>
      </c>
      <c r="L24">
        <v>1.0</v>
      </c>
      <c r="M24">
        <v>0.0</v>
      </c>
      <c r="N24">
        <v>0.0</v>
      </c>
      <c r="O24">
        <v>0.0</v>
      </c>
      <c r="P24">
        <v>1.0</v>
      </c>
      <c r="Q24">
        <v>0.0</v>
      </c>
      <c r="R24" t="s">
        <v>2782</v>
      </c>
      <c r="S24" t="s">
        <v>2783</v>
      </c>
      <c r="T24" t="s">
        <v>2702</v>
      </c>
      <c r="U24" t="s">
        <v>2784</v>
      </c>
      <c r="V24" t="s">
        <v>2704</v>
      </c>
      <c r="W24" t="s">
        <v>1547</v>
      </c>
      <c r="X24" t="s">
        <v>2951</v>
      </c>
      <c r="Y24" t="s">
        <v>2952</v>
      </c>
      <c r="Z24" t="s">
        <v>2951</v>
      </c>
      <c r="AA24">
        <v>2.0</v>
      </c>
      <c r="AB24">
        <v>0.0</v>
      </c>
      <c r="AC24" t="s">
        <v>2955</v>
      </c>
    </row>
    <row r="25" ht="15.75" customHeight="1">
      <c r="A25" t="s">
        <v>2956</v>
      </c>
      <c r="B25" t="s">
        <v>2957</v>
      </c>
      <c r="C25" t="s">
        <v>575</v>
      </c>
      <c r="D25" t="s">
        <v>2779</v>
      </c>
      <c r="E25" t="s">
        <v>1679</v>
      </c>
      <c r="F25" t="s">
        <v>2780</v>
      </c>
      <c r="G25" t="s">
        <v>2781</v>
      </c>
      <c r="H25">
        <v>1.0</v>
      </c>
      <c r="I25">
        <v>2.0</v>
      </c>
      <c r="J25">
        <v>0.0</v>
      </c>
      <c r="K25">
        <v>0.0</v>
      </c>
      <c r="L25">
        <v>2.0</v>
      </c>
      <c r="M25">
        <v>0.0</v>
      </c>
      <c r="N25">
        <v>0.0</v>
      </c>
      <c r="O25">
        <v>0.0</v>
      </c>
      <c r="P25">
        <v>1.0</v>
      </c>
      <c r="Q25">
        <v>0.0</v>
      </c>
      <c r="R25" t="s">
        <v>2792</v>
      </c>
      <c r="S25" t="s">
        <v>2783</v>
      </c>
      <c r="T25" t="s">
        <v>2702</v>
      </c>
      <c r="U25" t="s">
        <v>2784</v>
      </c>
      <c r="V25" t="s">
        <v>2704</v>
      </c>
      <c r="W25" t="s">
        <v>1547</v>
      </c>
      <c r="X25" t="s">
        <v>2951</v>
      </c>
      <c r="Y25" t="s">
        <v>2952</v>
      </c>
      <c r="Z25" t="s">
        <v>2951</v>
      </c>
      <c r="AA25">
        <v>2.0</v>
      </c>
      <c r="AB25">
        <v>0.0</v>
      </c>
      <c r="AC25" t="s">
        <v>2955</v>
      </c>
    </row>
    <row r="26" ht="15.75" customHeight="1">
      <c r="A26" t="s">
        <v>2958</v>
      </c>
      <c r="B26" t="s">
        <v>2959</v>
      </c>
      <c r="C26" t="s">
        <v>578</v>
      </c>
      <c r="D26" t="s">
        <v>2779</v>
      </c>
      <c r="E26" t="s">
        <v>1679</v>
      </c>
      <c r="F26" t="s">
        <v>2780</v>
      </c>
      <c r="G26" t="s">
        <v>2781</v>
      </c>
      <c r="H26">
        <v>2.0</v>
      </c>
      <c r="I26">
        <v>3.0</v>
      </c>
      <c r="J26">
        <v>0.0</v>
      </c>
      <c r="K26">
        <v>0.0</v>
      </c>
      <c r="L26">
        <v>3.0</v>
      </c>
      <c r="M26">
        <v>0.0</v>
      </c>
      <c r="N26">
        <v>0.0</v>
      </c>
      <c r="O26">
        <v>1.0</v>
      </c>
      <c r="P26">
        <v>1.0</v>
      </c>
      <c r="Q26">
        <v>0.0</v>
      </c>
      <c r="R26" t="s">
        <v>2792</v>
      </c>
      <c r="S26" t="s">
        <v>2783</v>
      </c>
      <c r="T26" t="s">
        <v>2702</v>
      </c>
      <c r="U26" t="s">
        <v>2784</v>
      </c>
      <c r="V26" t="s">
        <v>2704</v>
      </c>
      <c r="W26" t="s">
        <v>1547</v>
      </c>
      <c r="X26" t="s">
        <v>2951</v>
      </c>
      <c r="Y26" t="s">
        <v>2952</v>
      </c>
      <c r="Z26" t="s">
        <v>2952</v>
      </c>
      <c r="AA26">
        <v>3.0</v>
      </c>
      <c r="AB26">
        <v>3.0</v>
      </c>
      <c r="AC26" t="s">
        <v>2960</v>
      </c>
    </row>
    <row r="27" ht="15.75" customHeight="1">
      <c r="A27" t="s">
        <v>2961</v>
      </c>
      <c r="B27" t="s">
        <v>2962</v>
      </c>
      <c r="C27" t="s">
        <v>581</v>
      </c>
      <c r="D27" t="s">
        <v>2779</v>
      </c>
      <c r="E27" t="s">
        <v>1679</v>
      </c>
      <c r="F27" t="s">
        <v>2780</v>
      </c>
      <c r="G27" t="s">
        <v>2781</v>
      </c>
      <c r="H27">
        <v>2.0</v>
      </c>
      <c r="I27">
        <v>4.0</v>
      </c>
      <c r="J27">
        <v>0.0</v>
      </c>
      <c r="K27">
        <v>0.0</v>
      </c>
      <c r="L27">
        <v>4.0</v>
      </c>
      <c r="M27">
        <v>0.0</v>
      </c>
      <c r="N27">
        <v>0.0</v>
      </c>
      <c r="O27">
        <v>1.0</v>
      </c>
      <c r="P27">
        <v>2.0</v>
      </c>
      <c r="Q27">
        <v>0.0</v>
      </c>
      <c r="R27" t="s">
        <v>2798</v>
      </c>
      <c r="S27" t="s">
        <v>2799</v>
      </c>
      <c r="T27" t="s">
        <v>2702</v>
      </c>
      <c r="U27" t="s">
        <v>2784</v>
      </c>
      <c r="V27" t="s">
        <v>2704</v>
      </c>
      <c r="W27" t="s">
        <v>1547</v>
      </c>
      <c r="X27" t="s">
        <v>2951</v>
      </c>
      <c r="Y27" t="s">
        <v>2952</v>
      </c>
      <c r="Z27" t="s">
        <v>2952</v>
      </c>
      <c r="AA27">
        <v>3.0</v>
      </c>
      <c r="AB27">
        <v>3.0</v>
      </c>
      <c r="AC27" t="s">
        <v>2960</v>
      </c>
    </row>
    <row r="28" ht="15.75" customHeight="1">
      <c r="A28" t="s">
        <v>2963</v>
      </c>
      <c r="B28" t="s">
        <v>2964</v>
      </c>
      <c r="C28" t="s">
        <v>584</v>
      </c>
      <c r="D28" t="s">
        <v>2779</v>
      </c>
      <c r="E28" t="s">
        <v>1679</v>
      </c>
      <c r="F28" t="s">
        <v>2780</v>
      </c>
      <c r="G28" t="s">
        <v>2781</v>
      </c>
      <c r="H28">
        <v>4.0</v>
      </c>
      <c r="I28">
        <v>5.0</v>
      </c>
      <c r="J28">
        <v>0.0</v>
      </c>
      <c r="K28">
        <v>0.0</v>
      </c>
      <c r="L28">
        <v>5.0</v>
      </c>
      <c r="M28">
        <v>0.0</v>
      </c>
      <c r="N28">
        <v>0.0</v>
      </c>
      <c r="O28">
        <v>2.0</v>
      </c>
      <c r="P28">
        <v>2.0</v>
      </c>
      <c r="Q28">
        <v>0.0</v>
      </c>
      <c r="R28" t="s">
        <v>2802</v>
      </c>
      <c r="S28" t="s">
        <v>2799</v>
      </c>
      <c r="T28" t="s">
        <v>2702</v>
      </c>
      <c r="U28" t="s">
        <v>2784</v>
      </c>
      <c r="V28" t="s">
        <v>2704</v>
      </c>
      <c r="W28" t="s">
        <v>1547</v>
      </c>
      <c r="X28" t="s">
        <v>2951</v>
      </c>
      <c r="Y28" t="s">
        <v>2952</v>
      </c>
      <c r="Z28" t="s">
        <v>2952</v>
      </c>
      <c r="AA28">
        <v>3.0</v>
      </c>
      <c r="AB28">
        <v>3.0</v>
      </c>
      <c r="AC28" t="s">
        <v>2960</v>
      </c>
    </row>
    <row r="29" ht="15.75" customHeight="1">
      <c r="A29" t="s">
        <v>2965</v>
      </c>
      <c r="B29" t="s">
        <v>2966</v>
      </c>
      <c r="C29" t="s">
        <v>569</v>
      </c>
      <c r="D29" t="s">
        <v>2805</v>
      </c>
      <c r="E29" t="s">
        <v>1679</v>
      </c>
      <c r="F29" t="s">
        <v>956</v>
      </c>
      <c r="G29" t="s">
        <v>2806</v>
      </c>
      <c r="H29">
        <v>2.0</v>
      </c>
      <c r="I29">
        <v>0.0</v>
      </c>
      <c r="J29">
        <v>0.0</v>
      </c>
      <c r="K29">
        <v>1.0</v>
      </c>
      <c r="L29">
        <v>0.0</v>
      </c>
      <c r="M29">
        <v>0.0</v>
      </c>
      <c r="N29">
        <v>0.0</v>
      </c>
      <c r="O29">
        <v>0.0</v>
      </c>
      <c r="P29">
        <v>0.0</v>
      </c>
      <c r="Q29">
        <v>0.0</v>
      </c>
      <c r="R29" t="s">
        <v>2807</v>
      </c>
      <c r="S29" t="s">
        <v>2808</v>
      </c>
      <c r="T29" t="s">
        <v>2702</v>
      </c>
      <c r="U29" t="s">
        <v>2809</v>
      </c>
      <c r="V29" t="s">
        <v>2704</v>
      </c>
      <c r="W29" t="s">
        <v>1547</v>
      </c>
      <c r="X29" t="s">
        <v>2967</v>
      </c>
      <c r="Y29" t="s">
        <v>2968</v>
      </c>
      <c r="Z29" t="s">
        <v>1602</v>
      </c>
      <c r="AA29">
        <v>0.0</v>
      </c>
      <c r="AB29">
        <v>0.0</v>
      </c>
      <c r="AC29" t="s">
        <v>2707</v>
      </c>
    </row>
    <row r="30" ht="15.75" customHeight="1">
      <c r="A30" t="s">
        <v>2969</v>
      </c>
      <c r="B30" t="s">
        <v>2970</v>
      </c>
      <c r="C30" t="s">
        <v>572</v>
      </c>
      <c r="D30" t="s">
        <v>2805</v>
      </c>
      <c r="E30" t="s">
        <v>1679</v>
      </c>
      <c r="F30" t="s">
        <v>956</v>
      </c>
      <c r="G30" t="s">
        <v>2806</v>
      </c>
      <c r="H30">
        <v>3.0</v>
      </c>
      <c r="I30">
        <v>0.0</v>
      </c>
      <c r="J30">
        <v>0.0</v>
      </c>
      <c r="K30">
        <v>1.0</v>
      </c>
      <c r="L30">
        <v>0.0</v>
      </c>
      <c r="M30">
        <v>1.0</v>
      </c>
      <c r="N30">
        <v>0.0</v>
      </c>
      <c r="O30">
        <v>0.0</v>
      </c>
      <c r="P30">
        <v>0.0</v>
      </c>
      <c r="Q30">
        <v>0.0</v>
      </c>
      <c r="R30" t="s">
        <v>2807</v>
      </c>
      <c r="S30" t="s">
        <v>2808</v>
      </c>
      <c r="T30" t="s">
        <v>2702</v>
      </c>
      <c r="U30" t="s">
        <v>2809</v>
      </c>
      <c r="V30" t="s">
        <v>2704</v>
      </c>
      <c r="W30" t="s">
        <v>1547</v>
      </c>
      <c r="X30" t="s">
        <v>2967</v>
      </c>
      <c r="Y30" t="s">
        <v>2968</v>
      </c>
      <c r="Z30" t="s">
        <v>2967</v>
      </c>
      <c r="AA30">
        <v>2.0</v>
      </c>
      <c r="AB30">
        <v>0.0</v>
      </c>
      <c r="AC30" t="s">
        <v>2971</v>
      </c>
    </row>
    <row r="31" ht="15.75" customHeight="1">
      <c r="A31" t="s">
        <v>2972</v>
      </c>
      <c r="B31" t="s">
        <v>2973</v>
      </c>
      <c r="C31" t="s">
        <v>575</v>
      </c>
      <c r="D31" t="s">
        <v>2805</v>
      </c>
      <c r="E31" t="s">
        <v>1679</v>
      </c>
      <c r="F31" t="s">
        <v>956</v>
      </c>
      <c r="G31" t="s">
        <v>2806</v>
      </c>
      <c r="H31">
        <v>3.0</v>
      </c>
      <c r="I31">
        <v>1.0</v>
      </c>
      <c r="J31">
        <v>0.0</v>
      </c>
      <c r="K31">
        <v>2.0</v>
      </c>
      <c r="L31">
        <v>0.0</v>
      </c>
      <c r="M31">
        <v>1.0</v>
      </c>
      <c r="N31">
        <v>0.0</v>
      </c>
      <c r="O31">
        <v>0.0</v>
      </c>
      <c r="P31">
        <v>0.0</v>
      </c>
      <c r="Q31">
        <v>0.0</v>
      </c>
      <c r="R31" t="s">
        <v>2817</v>
      </c>
      <c r="S31" t="s">
        <v>2808</v>
      </c>
      <c r="T31" t="s">
        <v>2702</v>
      </c>
      <c r="U31" t="s">
        <v>2809</v>
      </c>
      <c r="V31" t="s">
        <v>2704</v>
      </c>
      <c r="W31" t="s">
        <v>1547</v>
      </c>
      <c r="X31" t="s">
        <v>2967</v>
      </c>
      <c r="Y31" t="s">
        <v>2968</v>
      </c>
      <c r="Z31" t="s">
        <v>2967</v>
      </c>
      <c r="AA31">
        <v>2.0</v>
      </c>
      <c r="AB31">
        <v>0.0</v>
      </c>
      <c r="AC31" t="s">
        <v>2971</v>
      </c>
    </row>
    <row r="32" ht="15.75" customHeight="1">
      <c r="A32" t="s">
        <v>2974</v>
      </c>
      <c r="B32" t="s">
        <v>2975</v>
      </c>
      <c r="C32" t="s">
        <v>578</v>
      </c>
      <c r="D32" t="s">
        <v>2805</v>
      </c>
      <c r="E32" t="s">
        <v>1679</v>
      </c>
      <c r="F32" t="s">
        <v>956</v>
      </c>
      <c r="G32" t="s">
        <v>2806</v>
      </c>
      <c r="H32">
        <v>5.0</v>
      </c>
      <c r="I32">
        <v>1.0</v>
      </c>
      <c r="J32">
        <v>1.0</v>
      </c>
      <c r="K32">
        <v>3.0</v>
      </c>
      <c r="L32">
        <v>0.0</v>
      </c>
      <c r="M32">
        <v>1.0</v>
      </c>
      <c r="N32">
        <v>0.0</v>
      </c>
      <c r="O32">
        <v>0.0</v>
      </c>
      <c r="P32">
        <v>0.0</v>
      </c>
      <c r="Q32">
        <v>0.0</v>
      </c>
      <c r="R32" t="s">
        <v>2817</v>
      </c>
      <c r="S32" t="s">
        <v>2820</v>
      </c>
      <c r="T32" t="s">
        <v>2702</v>
      </c>
      <c r="U32" t="s">
        <v>2809</v>
      </c>
      <c r="V32" t="s">
        <v>2704</v>
      </c>
      <c r="W32" t="s">
        <v>1547</v>
      </c>
      <c r="X32" t="s">
        <v>2967</v>
      </c>
      <c r="Y32" t="s">
        <v>2968</v>
      </c>
      <c r="Z32" t="s">
        <v>2968</v>
      </c>
      <c r="AA32">
        <v>3.0</v>
      </c>
      <c r="AB32">
        <v>1.0</v>
      </c>
      <c r="AC32" t="s">
        <v>2976</v>
      </c>
    </row>
    <row r="33" ht="15.75" customHeight="1">
      <c r="A33" t="s">
        <v>2977</v>
      </c>
      <c r="B33" t="s">
        <v>2978</v>
      </c>
      <c r="C33" t="s">
        <v>581</v>
      </c>
      <c r="D33" t="s">
        <v>2805</v>
      </c>
      <c r="E33" t="s">
        <v>1679</v>
      </c>
      <c r="F33" t="s">
        <v>956</v>
      </c>
      <c r="G33" t="s">
        <v>2806</v>
      </c>
      <c r="H33">
        <v>6.0</v>
      </c>
      <c r="I33">
        <v>2.0</v>
      </c>
      <c r="J33">
        <v>1.0</v>
      </c>
      <c r="K33">
        <v>4.0</v>
      </c>
      <c r="L33">
        <v>0.0</v>
      </c>
      <c r="M33">
        <v>2.0</v>
      </c>
      <c r="N33">
        <v>0.0</v>
      </c>
      <c r="O33">
        <v>0.0</v>
      </c>
      <c r="P33">
        <v>0.0</v>
      </c>
      <c r="Q33">
        <v>0.0</v>
      </c>
      <c r="R33" t="s">
        <v>2824</v>
      </c>
      <c r="S33" t="s">
        <v>2825</v>
      </c>
      <c r="T33" t="s">
        <v>2702</v>
      </c>
      <c r="U33" t="s">
        <v>2809</v>
      </c>
      <c r="V33" t="s">
        <v>2704</v>
      </c>
      <c r="W33" t="s">
        <v>1547</v>
      </c>
      <c r="X33" t="s">
        <v>2967</v>
      </c>
      <c r="Y33" t="s">
        <v>2968</v>
      </c>
      <c r="Z33" t="s">
        <v>2968</v>
      </c>
      <c r="AA33">
        <v>3.0</v>
      </c>
      <c r="AB33">
        <v>1.0</v>
      </c>
      <c r="AC33" t="s">
        <v>2976</v>
      </c>
    </row>
    <row r="34" ht="15.75" customHeight="1">
      <c r="A34" t="s">
        <v>2979</v>
      </c>
      <c r="B34" t="s">
        <v>2980</v>
      </c>
      <c r="C34" t="s">
        <v>584</v>
      </c>
      <c r="D34" t="s">
        <v>2805</v>
      </c>
      <c r="E34" t="s">
        <v>1679</v>
      </c>
      <c r="F34" t="s">
        <v>956</v>
      </c>
      <c r="G34" t="s">
        <v>2806</v>
      </c>
      <c r="H34">
        <v>8.0</v>
      </c>
      <c r="I34">
        <v>3.0</v>
      </c>
      <c r="J34">
        <v>2.0</v>
      </c>
      <c r="K34">
        <v>5.0</v>
      </c>
      <c r="L34">
        <v>0.0</v>
      </c>
      <c r="M34">
        <v>2.0</v>
      </c>
      <c r="N34">
        <v>0.0</v>
      </c>
      <c r="O34">
        <v>0.0</v>
      </c>
      <c r="P34">
        <v>0.0</v>
      </c>
      <c r="Q34">
        <v>0.0</v>
      </c>
      <c r="R34" t="s">
        <v>2828</v>
      </c>
      <c r="S34" t="s">
        <v>2825</v>
      </c>
      <c r="T34" t="s">
        <v>2702</v>
      </c>
      <c r="U34" t="s">
        <v>2809</v>
      </c>
      <c r="V34" t="s">
        <v>2704</v>
      </c>
      <c r="W34" t="s">
        <v>1547</v>
      </c>
      <c r="X34" t="s">
        <v>2967</v>
      </c>
      <c r="Y34" t="s">
        <v>2968</v>
      </c>
      <c r="Z34" t="s">
        <v>2968</v>
      </c>
      <c r="AA34">
        <v>3.0</v>
      </c>
      <c r="AB34">
        <v>1.0</v>
      </c>
      <c r="AC34" t="s">
        <v>2976</v>
      </c>
    </row>
    <row r="35" ht="15.75" customHeight="1">
      <c r="A35" t="s">
        <v>2981</v>
      </c>
      <c r="B35" t="s">
        <v>2982</v>
      </c>
      <c r="C35" t="s">
        <v>569</v>
      </c>
      <c r="D35" t="s">
        <v>2831</v>
      </c>
      <c r="E35" t="s">
        <v>1679</v>
      </c>
      <c r="F35" t="s">
        <v>2780</v>
      </c>
      <c r="G35" t="s">
        <v>2832</v>
      </c>
      <c r="H35">
        <v>0.0</v>
      </c>
      <c r="I35">
        <v>2.0</v>
      </c>
      <c r="J35">
        <v>0.0</v>
      </c>
      <c r="K35">
        <v>0.0</v>
      </c>
      <c r="L35">
        <v>0.0</v>
      </c>
      <c r="M35">
        <v>0.0</v>
      </c>
      <c r="N35">
        <v>1.0</v>
      </c>
      <c r="O35">
        <v>0.0</v>
      </c>
      <c r="P35">
        <v>0.0</v>
      </c>
      <c r="Q35">
        <v>0.0</v>
      </c>
      <c r="R35" t="s">
        <v>2833</v>
      </c>
      <c r="S35" t="s">
        <v>2834</v>
      </c>
      <c r="T35" t="s">
        <v>2702</v>
      </c>
      <c r="U35" t="s">
        <v>2835</v>
      </c>
      <c r="V35" t="s">
        <v>2704</v>
      </c>
      <c r="W35" t="s">
        <v>1547</v>
      </c>
      <c r="X35" t="s">
        <v>2983</v>
      </c>
      <c r="Y35" t="s">
        <v>2984</v>
      </c>
      <c r="Z35" t="s">
        <v>1602</v>
      </c>
      <c r="AA35">
        <v>0.0</v>
      </c>
      <c r="AB35">
        <v>0.0</v>
      </c>
      <c r="AC35" t="s">
        <v>2707</v>
      </c>
    </row>
    <row r="36" ht="15.75" customHeight="1">
      <c r="A36" t="s">
        <v>2985</v>
      </c>
      <c r="B36" t="s">
        <v>2986</v>
      </c>
      <c r="C36" t="s">
        <v>572</v>
      </c>
      <c r="D36" t="s">
        <v>2831</v>
      </c>
      <c r="E36" t="s">
        <v>1679</v>
      </c>
      <c r="F36" t="s">
        <v>2780</v>
      </c>
      <c r="G36" t="s">
        <v>2832</v>
      </c>
      <c r="H36">
        <v>0.0</v>
      </c>
      <c r="I36">
        <v>2.0</v>
      </c>
      <c r="J36">
        <v>0.0</v>
      </c>
      <c r="K36">
        <v>0.0</v>
      </c>
      <c r="L36">
        <v>0.0</v>
      </c>
      <c r="M36">
        <v>0.0</v>
      </c>
      <c r="N36">
        <v>1.0</v>
      </c>
      <c r="O36">
        <v>0.0</v>
      </c>
      <c r="P36">
        <v>1.0</v>
      </c>
      <c r="Q36">
        <v>0.0</v>
      </c>
      <c r="R36" t="s">
        <v>2833</v>
      </c>
      <c r="S36" t="s">
        <v>2834</v>
      </c>
      <c r="T36" t="s">
        <v>2702</v>
      </c>
      <c r="U36" t="s">
        <v>2835</v>
      </c>
      <c r="V36" t="s">
        <v>2704</v>
      </c>
      <c r="W36" t="s">
        <v>1547</v>
      </c>
      <c r="X36" t="s">
        <v>2983</v>
      </c>
      <c r="Y36" t="s">
        <v>2984</v>
      </c>
      <c r="Z36" t="s">
        <v>2983</v>
      </c>
      <c r="AA36">
        <v>2.0</v>
      </c>
      <c r="AB36">
        <v>0.0</v>
      </c>
      <c r="AC36" t="s">
        <v>2987</v>
      </c>
    </row>
    <row r="37" ht="15.75" customHeight="1">
      <c r="A37" t="s">
        <v>2988</v>
      </c>
      <c r="B37" t="s">
        <v>2989</v>
      </c>
      <c r="C37" t="s">
        <v>575</v>
      </c>
      <c r="D37" t="s">
        <v>2831</v>
      </c>
      <c r="E37" t="s">
        <v>1679</v>
      </c>
      <c r="F37" t="s">
        <v>2780</v>
      </c>
      <c r="G37" t="s">
        <v>2832</v>
      </c>
      <c r="H37">
        <v>0.0</v>
      </c>
      <c r="I37">
        <v>3.0</v>
      </c>
      <c r="J37">
        <v>0.0</v>
      </c>
      <c r="K37">
        <v>0.0</v>
      </c>
      <c r="L37">
        <v>0.0</v>
      </c>
      <c r="M37">
        <v>0.0</v>
      </c>
      <c r="N37">
        <v>2.0</v>
      </c>
      <c r="O37">
        <v>0.0</v>
      </c>
      <c r="P37">
        <v>1.0</v>
      </c>
      <c r="Q37">
        <v>0.0</v>
      </c>
      <c r="R37" t="s">
        <v>2843</v>
      </c>
      <c r="S37" t="s">
        <v>2834</v>
      </c>
      <c r="T37" t="s">
        <v>2702</v>
      </c>
      <c r="U37" t="s">
        <v>2835</v>
      </c>
      <c r="V37" t="s">
        <v>2704</v>
      </c>
      <c r="W37" t="s">
        <v>1547</v>
      </c>
      <c r="X37" t="s">
        <v>2983</v>
      </c>
      <c r="Y37" t="s">
        <v>2984</v>
      </c>
      <c r="Z37" t="s">
        <v>2983</v>
      </c>
      <c r="AA37">
        <v>2.0</v>
      </c>
      <c r="AB37">
        <v>0.0</v>
      </c>
      <c r="AC37" t="s">
        <v>2987</v>
      </c>
    </row>
    <row r="38" ht="15.75" customHeight="1">
      <c r="A38" t="s">
        <v>2990</v>
      </c>
      <c r="B38" t="s">
        <v>2991</v>
      </c>
      <c r="C38" t="s">
        <v>578</v>
      </c>
      <c r="D38" t="s">
        <v>2831</v>
      </c>
      <c r="E38" t="s">
        <v>1679</v>
      </c>
      <c r="F38" t="s">
        <v>2780</v>
      </c>
      <c r="G38" t="s">
        <v>2832</v>
      </c>
      <c r="H38">
        <v>1.0</v>
      </c>
      <c r="I38">
        <v>4.0</v>
      </c>
      <c r="J38">
        <v>0.0</v>
      </c>
      <c r="K38">
        <v>0.0</v>
      </c>
      <c r="L38">
        <v>0.0</v>
      </c>
      <c r="M38">
        <v>0.0</v>
      </c>
      <c r="N38">
        <v>3.0</v>
      </c>
      <c r="O38">
        <v>1.0</v>
      </c>
      <c r="P38">
        <v>1.0</v>
      </c>
      <c r="Q38">
        <v>0.0</v>
      </c>
      <c r="R38" t="s">
        <v>2843</v>
      </c>
      <c r="S38" t="s">
        <v>2834</v>
      </c>
      <c r="T38" t="s">
        <v>2702</v>
      </c>
      <c r="U38" t="s">
        <v>2835</v>
      </c>
      <c r="V38" t="s">
        <v>2704</v>
      </c>
      <c r="W38" t="s">
        <v>1547</v>
      </c>
      <c r="X38" t="s">
        <v>2983</v>
      </c>
      <c r="Y38" t="s">
        <v>2984</v>
      </c>
      <c r="Z38" t="s">
        <v>2984</v>
      </c>
      <c r="AA38">
        <v>3.0</v>
      </c>
      <c r="AB38">
        <v>2.0</v>
      </c>
      <c r="AC38" t="s">
        <v>2928</v>
      </c>
    </row>
    <row r="39" ht="15.75" customHeight="1">
      <c r="A39" t="s">
        <v>2992</v>
      </c>
      <c r="B39" t="s">
        <v>2993</v>
      </c>
      <c r="C39" t="s">
        <v>581</v>
      </c>
      <c r="D39" t="s">
        <v>2831</v>
      </c>
      <c r="E39" t="s">
        <v>1679</v>
      </c>
      <c r="F39" t="s">
        <v>2780</v>
      </c>
      <c r="G39" t="s">
        <v>2832</v>
      </c>
      <c r="H39">
        <v>1.0</v>
      </c>
      <c r="I39">
        <v>5.0</v>
      </c>
      <c r="J39">
        <v>0.0</v>
      </c>
      <c r="K39">
        <v>0.0</v>
      </c>
      <c r="L39">
        <v>0.0</v>
      </c>
      <c r="M39">
        <v>0.0</v>
      </c>
      <c r="N39">
        <v>4.0</v>
      </c>
      <c r="O39">
        <v>1.0</v>
      </c>
      <c r="P39">
        <v>2.0</v>
      </c>
      <c r="Q39">
        <v>0.0</v>
      </c>
      <c r="R39" t="s">
        <v>2849</v>
      </c>
      <c r="S39" t="s">
        <v>2834</v>
      </c>
      <c r="T39" t="s">
        <v>2702</v>
      </c>
      <c r="U39" t="s">
        <v>2835</v>
      </c>
      <c r="V39" t="s">
        <v>2704</v>
      </c>
      <c r="W39" t="s">
        <v>1547</v>
      </c>
      <c r="X39" t="s">
        <v>2983</v>
      </c>
      <c r="Y39" t="s">
        <v>2984</v>
      </c>
      <c r="Z39" t="s">
        <v>2984</v>
      </c>
      <c r="AA39">
        <v>3.0</v>
      </c>
      <c r="AB39">
        <v>2.0</v>
      </c>
      <c r="AC39" t="s">
        <v>2928</v>
      </c>
    </row>
    <row r="40" ht="15.75" customHeight="1">
      <c r="A40" t="s">
        <v>2994</v>
      </c>
      <c r="B40" t="s">
        <v>2995</v>
      </c>
      <c r="C40" t="s">
        <v>584</v>
      </c>
      <c r="D40" t="s">
        <v>2831</v>
      </c>
      <c r="E40" t="s">
        <v>1679</v>
      </c>
      <c r="F40" t="s">
        <v>2780</v>
      </c>
      <c r="G40" t="s">
        <v>2832</v>
      </c>
      <c r="H40">
        <v>2.0</v>
      </c>
      <c r="I40">
        <v>7.0</v>
      </c>
      <c r="J40">
        <v>0.0</v>
      </c>
      <c r="K40">
        <v>0.0</v>
      </c>
      <c r="L40">
        <v>0.0</v>
      </c>
      <c r="M40">
        <v>0.0</v>
      </c>
      <c r="N40">
        <v>5.0</v>
      </c>
      <c r="O40">
        <v>2.0</v>
      </c>
      <c r="P40">
        <v>2.0</v>
      </c>
      <c r="Q40">
        <v>0.0</v>
      </c>
      <c r="R40" t="s">
        <v>2852</v>
      </c>
      <c r="S40" t="s">
        <v>2834</v>
      </c>
      <c r="T40" t="s">
        <v>2702</v>
      </c>
      <c r="U40" t="s">
        <v>2835</v>
      </c>
      <c r="V40" t="s">
        <v>2704</v>
      </c>
      <c r="W40" t="s">
        <v>1547</v>
      </c>
      <c r="X40" t="s">
        <v>2983</v>
      </c>
      <c r="Y40" t="s">
        <v>2984</v>
      </c>
      <c r="Z40" t="s">
        <v>2984</v>
      </c>
      <c r="AA40">
        <v>3.0</v>
      </c>
      <c r="AB40">
        <v>2.0</v>
      </c>
      <c r="AC40" t="s">
        <v>2928</v>
      </c>
    </row>
    <row r="41" ht="15.75" customHeight="1">
      <c r="A41" t="s">
        <v>2996</v>
      </c>
      <c r="B41" t="s">
        <v>2997</v>
      </c>
      <c r="C41" t="s">
        <v>569</v>
      </c>
      <c r="D41" t="s">
        <v>2855</v>
      </c>
      <c r="E41" t="s">
        <v>1679</v>
      </c>
      <c r="F41" t="s">
        <v>956</v>
      </c>
      <c r="G41" t="s">
        <v>2856</v>
      </c>
      <c r="H41">
        <v>1.0</v>
      </c>
      <c r="I41">
        <v>1.0</v>
      </c>
      <c r="J41">
        <v>1.0</v>
      </c>
      <c r="K41">
        <v>0.0</v>
      </c>
      <c r="L41">
        <v>0.0</v>
      </c>
      <c r="M41">
        <v>0.0</v>
      </c>
      <c r="N41">
        <v>0.0</v>
      </c>
      <c r="O41">
        <v>0.0</v>
      </c>
      <c r="P41">
        <v>0.0</v>
      </c>
      <c r="Q41">
        <v>0.0</v>
      </c>
      <c r="R41" t="s">
        <v>2857</v>
      </c>
      <c r="S41" t="s">
        <v>2858</v>
      </c>
      <c r="T41" t="s">
        <v>2702</v>
      </c>
      <c r="U41" t="s">
        <v>2859</v>
      </c>
      <c r="V41" t="s">
        <v>2704</v>
      </c>
      <c r="W41" t="s">
        <v>1547</v>
      </c>
      <c r="X41" t="s">
        <v>2998</v>
      </c>
      <c r="Y41" t="s">
        <v>2999</v>
      </c>
      <c r="Z41" t="s">
        <v>1602</v>
      </c>
      <c r="AA41">
        <v>0.0</v>
      </c>
      <c r="AB41">
        <v>0.0</v>
      </c>
      <c r="AC41" t="s">
        <v>2707</v>
      </c>
    </row>
    <row r="42" ht="15.75" customHeight="1">
      <c r="A42" t="s">
        <v>3000</v>
      </c>
      <c r="B42" t="s">
        <v>3001</v>
      </c>
      <c r="C42" t="s">
        <v>572</v>
      </c>
      <c r="D42" t="s">
        <v>2855</v>
      </c>
      <c r="E42" t="s">
        <v>1679</v>
      </c>
      <c r="F42" t="s">
        <v>956</v>
      </c>
      <c r="G42" t="s">
        <v>2856</v>
      </c>
      <c r="H42">
        <v>1.0</v>
      </c>
      <c r="I42">
        <v>2.0</v>
      </c>
      <c r="J42">
        <v>1.0</v>
      </c>
      <c r="K42">
        <v>0.0</v>
      </c>
      <c r="L42">
        <v>0.0</v>
      </c>
      <c r="M42">
        <v>0.0</v>
      </c>
      <c r="N42">
        <v>0.0</v>
      </c>
      <c r="O42">
        <v>1.0</v>
      </c>
      <c r="P42">
        <v>0.0</v>
      </c>
      <c r="Q42">
        <v>0.0</v>
      </c>
      <c r="R42" t="s">
        <v>2857</v>
      </c>
      <c r="S42" t="s">
        <v>2858</v>
      </c>
      <c r="T42" t="s">
        <v>2702</v>
      </c>
      <c r="U42" t="s">
        <v>2859</v>
      </c>
      <c r="V42" t="s">
        <v>2704</v>
      </c>
      <c r="W42" t="s">
        <v>1547</v>
      </c>
      <c r="X42" t="s">
        <v>2998</v>
      </c>
      <c r="Y42" t="s">
        <v>2999</v>
      </c>
      <c r="Z42" t="s">
        <v>2998</v>
      </c>
      <c r="AA42">
        <v>2.0</v>
      </c>
      <c r="AB42">
        <v>1.0</v>
      </c>
      <c r="AC42" t="s">
        <v>2939</v>
      </c>
    </row>
    <row r="43" ht="15.75" customHeight="1">
      <c r="A43" t="s">
        <v>3002</v>
      </c>
      <c r="B43" t="s">
        <v>3003</v>
      </c>
      <c r="C43" t="s">
        <v>575</v>
      </c>
      <c r="D43" t="s">
        <v>2855</v>
      </c>
      <c r="E43" t="s">
        <v>1679</v>
      </c>
      <c r="F43" t="s">
        <v>956</v>
      </c>
      <c r="G43" t="s">
        <v>2856</v>
      </c>
      <c r="H43">
        <v>2.0</v>
      </c>
      <c r="I43">
        <v>2.0</v>
      </c>
      <c r="J43">
        <v>2.0</v>
      </c>
      <c r="K43">
        <v>0.0</v>
      </c>
      <c r="L43">
        <v>0.0</v>
      </c>
      <c r="M43">
        <v>0.0</v>
      </c>
      <c r="N43">
        <v>0.0</v>
      </c>
      <c r="O43">
        <v>1.0</v>
      </c>
      <c r="P43">
        <v>0.0</v>
      </c>
      <c r="Q43">
        <v>0.0</v>
      </c>
      <c r="R43" t="s">
        <v>2866</v>
      </c>
      <c r="S43" t="s">
        <v>2867</v>
      </c>
      <c r="T43" t="s">
        <v>2702</v>
      </c>
      <c r="U43" t="s">
        <v>2859</v>
      </c>
      <c r="V43" t="s">
        <v>2704</v>
      </c>
      <c r="W43" t="s">
        <v>1547</v>
      </c>
      <c r="X43" t="s">
        <v>2998</v>
      </c>
      <c r="Y43" t="s">
        <v>2999</v>
      </c>
      <c r="Z43" t="s">
        <v>2998</v>
      </c>
      <c r="AA43">
        <v>2.0</v>
      </c>
      <c r="AB43">
        <v>1.0</v>
      </c>
      <c r="AC43" t="s">
        <v>2939</v>
      </c>
    </row>
    <row r="44" ht="15.75" customHeight="1">
      <c r="A44" t="s">
        <v>3004</v>
      </c>
      <c r="B44" t="s">
        <v>3005</v>
      </c>
      <c r="C44" t="s">
        <v>578</v>
      </c>
      <c r="D44" t="s">
        <v>2855</v>
      </c>
      <c r="E44" t="s">
        <v>1679</v>
      </c>
      <c r="F44" t="s">
        <v>956</v>
      </c>
      <c r="G44" t="s">
        <v>2856</v>
      </c>
      <c r="H44">
        <v>2.0</v>
      </c>
      <c r="I44">
        <v>4.0</v>
      </c>
      <c r="J44">
        <v>3.0</v>
      </c>
      <c r="K44">
        <v>0.0</v>
      </c>
      <c r="L44">
        <v>0.0</v>
      </c>
      <c r="M44">
        <v>1.0</v>
      </c>
      <c r="N44">
        <v>0.0</v>
      </c>
      <c r="O44">
        <v>1.0</v>
      </c>
      <c r="P44">
        <v>0.0</v>
      </c>
      <c r="Q44">
        <v>0.0</v>
      </c>
      <c r="R44" t="s">
        <v>2866</v>
      </c>
      <c r="S44" t="s">
        <v>2867</v>
      </c>
      <c r="T44" t="s">
        <v>2702</v>
      </c>
      <c r="U44" t="s">
        <v>2859</v>
      </c>
      <c r="V44" t="s">
        <v>2704</v>
      </c>
      <c r="W44" t="s">
        <v>1547</v>
      </c>
      <c r="X44" t="s">
        <v>2998</v>
      </c>
      <c r="Y44" t="s">
        <v>2999</v>
      </c>
      <c r="Z44" t="s">
        <v>2999</v>
      </c>
      <c r="AA44">
        <v>3.0</v>
      </c>
      <c r="AB44">
        <v>1.0</v>
      </c>
      <c r="AC44" t="s">
        <v>3006</v>
      </c>
    </row>
    <row r="45" ht="15.75" customHeight="1">
      <c r="A45" t="s">
        <v>3007</v>
      </c>
      <c r="B45" t="s">
        <v>3008</v>
      </c>
      <c r="C45" t="s">
        <v>581</v>
      </c>
      <c r="D45" t="s">
        <v>2855</v>
      </c>
      <c r="E45" t="s">
        <v>1679</v>
      </c>
      <c r="F45" t="s">
        <v>956</v>
      </c>
      <c r="G45" t="s">
        <v>2856</v>
      </c>
      <c r="H45">
        <v>3.0</v>
      </c>
      <c r="I45">
        <v>5.0</v>
      </c>
      <c r="J45">
        <v>4.0</v>
      </c>
      <c r="K45">
        <v>0.0</v>
      </c>
      <c r="L45">
        <v>0.0</v>
      </c>
      <c r="M45">
        <v>1.0</v>
      </c>
      <c r="N45">
        <v>0.0</v>
      </c>
      <c r="O45">
        <v>2.0</v>
      </c>
      <c r="P45">
        <v>0.0</v>
      </c>
      <c r="Q45">
        <v>0.0</v>
      </c>
      <c r="R45" t="s">
        <v>2866</v>
      </c>
      <c r="S45" t="s">
        <v>2872</v>
      </c>
      <c r="T45" t="s">
        <v>2702</v>
      </c>
      <c r="U45" t="s">
        <v>2859</v>
      </c>
      <c r="V45" t="s">
        <v>2704</v>
      </c>
      <c r="W45" t="s">
        <v>1547</v>
      </c>
      <c r="X45" t="s">
        <v>2998</v>
      </c>
      <c r="Y45" t="s">
        <v>2999</v>
      </c>
      <c r="Z45" t="s">
        <v>2999</v>
      </c>
      <c r="AA45">
        <v>3.0</v>
      </c>
      <c r="AB45">
        <v>1.0</v>
      </c>
      <c r="AC45" t="s">
        <v>3006</v>
      </c>
    </row>
    <row r="46" ht="15.75" customHeight="1">
      <c r="A46" t="s">
        <v>3009</v>
      </c>
      <c r="B46" t="s">
        <v>3010</v>
      </c>
      <c r="C46" t="s">
        <v>584</v>
      </c>
      <c r="D46" t="s">
        <v>2855</v>
      </c>
      <c r="E46" t="s">
        <v>1679</v>
      </c>
      <c r="F46" t="s">
        <v>956</v>
      </c>
      <c r="G46" t="s">
        <v>2856</v>
      </c>
      <c r="H46">
        <v>4.0</v>
      </c>
      <c r="I46">
        <v>7.0</v>
      </c>
      <c r="J46">
        <v>5.0</v>
      </c>
      <c r="K46">
        <v>0.0</v>
      </c>
      <c r="L46">
        <v>0.0</v>
      </c>
      <c r="M46">
        <v>2.0</v>
      </c>
      <c r="N46">
        <v>0.0</v>
      </c>
      <c r="O46">
        <v>2.0</v>
      </c>
      <c r="P46">
        <v>0.0</v>
      </c>
      <c r="Q46">
        <v>0.0</v>
      </c>
      <c r="R46" t="s">
        <v>2866</v>
      </c>
      <c r="S46" t="s">
        <v>2875</v>
      </c>
      <c r="T46" t="s">
        <v>2702</v>
      </c>
      <c r="U46" t="s">
        <v>2859</v>
      </c>
      <c r="V46" t="s">
        <v>2704</v>
      </c>
      <c r="W46" t="s">
        <v>1547</v>
      </c>
      <c r="X46" t="s">
        <v>2998</v>
      </c>
      <c r="Y46" t="s">
        <v>2999</v>
      </c>
      <c r="Z46" t="s">
        <v>2999</v>
      </c>
      <c r="AA46">
        <v>3.0</v>
      </c>
      <c r="AB46">
        <v>1.0</v>
      </c>
      <c r="AC46" t="s">
        <v>3006</v>
      </c>
    </row>
    <row r="47" ht="15.75" customHeight="1">
      <c r="A47" t="s">
        <v>3011</v>
      </c>
      <c r="B47" t="s">
        <v>3012</v>
      </c>
      <c r="C47" t="s">
        <v>569</v>
      </c>
      <c r="D47" t="s">
        <v>2878</v>
      </c>
      <c r="E47" t="s">
        <v>1679</v>
      </c>
      <c r="F47" t="s">
        <v>956</v>
      </c>
      <c r="G47" t="s">
        <v>2879</v>
      </c>
      <c r="H47">
        <v>0.0</v>
      </c>
      <c r="I47">
        <v>2.0</v>
      </c>
      <c r="J47">
        <v>0.0</v>
      </c>
      <c r="K47">
        <v>0.0</v>
      </c>
      <c r="L47">
        <v>0.0</v>
      </c>
      <c r="M47">
        <v>0.0</v>
      </c>
      <c r="N47">
        <v>0.0</v>
      </c>
      <c r="O47">
        <v>1.0</v>
      </c>
      <c r="P47">
        <v>0.0</v>
      </c>
      <c r="Q47">
        <v>0.0</v>
      </c>
      <c r="R47" t="s">
        <v>2880</v>
      </c>
      <c r="S47" t="s">
        <v>2881</v>
      </c>
      <c r="T47" t="s">
        <v>2702</v>
      </c>
      <c r="U47" t="s">
        <v>2882</v>
      </c>
      <c r="V47" t="s">
        <v>2704</v>
      </c>
      <c r="W47" t="s">
        <v>1547</v>
      </c>
      <c r="X47" t="s">
        <v>3013</v>
      </c>
      <c r="Y47" t="s">
        <v>3014</v>
      </c>
      <c r="Z47" t="s">
        <v>1602</v>
      </c>
      <c r="AA47">
        <v>0.0</v>
      </c>
      <c r="AB47">
        <v>0.0</v>
      </c>
      <c r="AC47" t="s">
        <v>2707</v>
      </c>
    </row>
    <row r="48" ht="15.75" customHeight="1">
      <c r="A48" t="s">
        <v>3015</v>
      </c>
      <c r="B48" t="s">
        <v>3016</v>
      </c>
      <c r="C48" t="s">
        <v>572</v>
      </c>
      <c r="D48" t="s">
        <v>2878</v>
      </c>
      <c r="E48" t="s">
        <v>1679</v>
      </c>
      <c r="F48" t="s">
        <v>956</v>
      </c>
      <c r="G48" t="s">
        <v>2879</v>
      </c>
      <c r="H48">
        <v>0.0</v>
      </c>
      <c r="I48">
        <v>3.0</v>
      </c>
      <c r="J48">
        <v>0.0</v>
      </c>
      <c r="K48">
        <v>0.0</v>
      </c>
      <c r="L48">
        <v>0.0</v>
      </c>
      <c r="M48">
        <v>0.0</v>
      </c>
      <c r="N48">
        <v>1.0</v>
      </c>
      <c r="O48">
        <v>1.0</v>
      </c>
      <c r="P48">
        <v>0.0</v>
      </c>
      <c r="Q48">
        <v>0.0</v>
      </c>
      <c r="R48" t="s">
        <v>2880</v>
      </c>
      <c r="S48" t="s">
        <v>2881</v>
      </c>
      <c r="T48" t="s">
        <v>2702</v>
      </c>
      <c r="U48" t="s">
        <v>2882</v>
      </c>
      <c r="V48" t="s">
        <v>2704</v>
      </c>
      <c r="W48" t="s">
        <v>1547</v>
      </c>
      <c r="X48" t="s">
        <v>3013</v>
      </c>
      <c r="Y48" t="s">
        <v>3014</v>
      </c>
      <c r="Z48" t="s">
        <v>3013</v>
      </c>
      <c r="AA48">
        <v>2.0</v>
      </c>
      <c r="AB48">
        <v>0.0</v>
      </c>
      <c r="AC48" t="s">
        <v>3017</v>
      </c>
    </row>
    <row r="49" ht="15.75" customHeight="1">
      <c r="A49" t="s">
        <v>3018</v>
      </c>
      <c r="B49" t="s">
        <v>3019</v>
      </c>
      <c r="C49" t="s">
        <v>575</v>
      </c>
      <c r="D49" t="s">
        <v>2878</v>
      </c>
      <c r="E49" t="s">
        <v>1679</v>
      </c>
      <c r="F49" t="s">
        <v>956</v>
      </c>
      <c r="G49" t="s">
        <v>2879</v>
      </c>
      <c r="H49">
        <v>1.0</v>
      </c>
      <c r="I49">
        <v>3.0</v>
      </c>
      <c r="J49">
        <v>0.0</v>
      </c>
      <c r="K49">
        <v>0.0</v>
      </c>
      <c r="L49">
        <v>0.0</v>
      </c>
      <c r="M49">
        <v>0.0</v>
      </c>
      <c r="N49">
        <v>1.0</v>
      </c>
      <c r="O49">
        <v>2.0</v>
      </c>
      <c r="P49">
        <v>0.0</v>
      </c>
      <c r="Q49">
        <v>0.0</v>
      </c>
      <c r="R49" t="s">
        <v>2890</v>
      </c>
      <c r="S49" t="s">
        <v>2881</v>
      </c>
      <c r="T49" t="s">
        <v>2702</v>
      </c>
      <c r="U49" t="s">
        <v>2882</v>
      </c>
      <c r="V49" t="s">
        <v>2704</v>
      </c>
      <c r="W49" t="s">
        <v>1547</v>
      </c>
      <c r="X49" t="s">
        <v>3013</v>
      </c>
      <c r="Y49" t="s">
        <v>3014</v>
      </c>
      <c r="Z49" t="s">
        <v>3013</v>
      </c>
      <c r="AA49">
        <v>2.0</v>
      </c>
      <c r="AB49">
        <v>0.0</v>
      </c>
      <c r="AC49" t="s">
        <v>3017</v>
      </c>
    </row>
    <row r="50" ht="15.75" customHeight="1">
      <c r="A50" t="s">
        <v>3020</v>
      </c>
      <c r="B50" t="s">
        <v>3021</v>
      </c>
      <c r="C50" t="s">
        <v>578</v>
      </c>
      <c r="D50" t="s">
        <v>2878</v>
      </c>
      <c r="E50" t="s">
        <v>1679</v>
      </c>
      <c r="F50" t="s">
        <v>956</v>
      </c>
      <c r="G50" t="s">
        <v>2879</v>
      </c>
      <c r="H50">
        <v>1.0</v>
      </c>
      <c r="I50">
        <v>5.0</v>
      </c>
      <c r="J50">
        <v>1.0</v>
      </c>
      <c r="K50">
        <v>0.0</v>
      </c>
      <c r="L50">
        <v>0.0</v>
      </c>
      <c r="M50">
        <v>0.0</v>
      </c>
      <c r="N50">
        <v>1.0</v>
      </c>
      <c r="O50">
        <v>3.0</v>
      </c>
      <c r="P50">
        <v>0.0</v>
      </c>
      <c r="Q50">
        <v>0.0</v>
      </c>
      <c r="R50" t="s">
        <v>2890</v>
      </c>
      <c r="S50" t="s">
        <v>2881</v>
      </c>
      <c r="T50" t="s">
        <v>2702</v>
      </c>
      <c r="U50" t="s">
        <v>2882</v>
      </c>
      <c r="V50" t="s">
        <v>2704</v>
      </c>
      <c r="W50" t="s">
        <v>1547</v>
      </c>
      <c r="X50" t="s">
        <v>3013</v>
      </c>
      <c r="Y50" t="s">
        <v>3014</v>
      </c>
      <c r="Z50" t="s">
        <v>3014</v>
      </c>
      <c r="AA50">
        <v>3.0</v>
      </c>
      <c r="AB50">
        <v>2.0</v>
      </c>
      <c r="AC50" t="s">
        <v>3022</v>
      </c>
    </row>
    <row r="51" ht="15.75" customHeight="1">
      <c r="A51" t="s">
        <v>3023</v>
      </c>
      <c r="B51" t="s">
        <v>3024</v>
      </c>
      <c r="C51" t="s">
        <v>581</v>
      </c>
      <c r="D51" t="s">
        <v>2878</v>
      </c>
      <c r="E51" t="s">
        <v>1679</v>
      </c>
      <c r="F51" t="s">
        <v>956</v>
      </c>
      <c r="G51" t="s">
        <v>2879</v>
      </c>
      <c r="H51">
        <v>2.0</v>
      </c>
      <c r="I51">
        <v>6.0</v>
      </c>
      <c r="J51">
        <v>1.0</v>
      </c>
      <c r="K51">
        <v>0.0</v>
      </c>
      <c r="L51">
        <v>0.0</v>
      </c>
      <c r="M51">
        <v>0.0</v>
      </c>
      <c r="N51">
        <v>2.0</v>
      </c>
      <c r="O51">
        <v>4.0</v>
      </c>
      <c r="P51">
        <v>0.0</v>
      </c>
      <c r="Q51">
        <v>0.0</v>
      </c>
      <c r="R51" t="s">
        <v>2896</v>
      </c>
      <c r="S51" t="s">
        <v>2881</v>
      </c>
      <c r="T51" t="s">
        <v>2702</v>
      </c>
      <c r="U51" t="s">
        <v>2882</v>
      </c>
      <c r="V51" t="s">
        <v>2704</v>
      </c>
      <c r="W51" t="s">
        <v>1547</v>
      </c>
      <c r="X51" t="s">
        <v>3013</v>
      </c>
      <c r="Y51" t="s">
        <v>3014</v>
      </c>
      <c r="Z51" t="s">
        <v>3014</v>
      </c>
      <c r="AA51">
        <v>3.0</v>
      </c>
      <c r="AB51">
        <v>2.0</v>
      </c>
      <c r="AC51" t="s">
        <v>3022</v>
      </c>
    </row>
    <row r="52" ht="15.75" customHeight="1">
      <c r="A52" t="s">
        <v>3025</v>
      </c>
      <c r="B52" t="s">
        <v>3026</v>
      </c>
      <c r="C52" t="s">
        <v>584</v>
      </c>
      <c r="D52" t="s">
        <v>2878</v>
      </c>
      <c r="E52" t="s">
        <v>1679</v>
      </c>
      <c r="F52" t="s">
        <v>956</v>
      </c>
      <c r="G52" t="s">
        <v>2879</v>
      </c>
      <c r="H52">
        <v>3.0</v>
      </c>
      <c r="I52">
        <v>8.0</v>
      </c>
      <c r="J52">
        <v>2.0</v>
      </c>
      <c r="K52">
        <v>0.0</v>
      </c>
      <c r="L52">
        <v>0.0</v>
      </c>
      <c r="M52">
        <v>0.0</v>
      </c>
      <c r="N52">
        <v>2.0</v>
      </c>
      <c r="O52">
        <v>5.0</v>
      </c>
      <c r="P52">
        <v>0.0</v>
      </c>
      <c r="Q52">
        <v>0.0</v>
      </c>
      <c r="R52" t="s">
        <v>2899</v>
      </c>
      <c r="S52" t="s">
        <v>2881</v>
      </c>
      <c r="T52" t="s">
        <v>2702</v>
      </c>
      <c r="U52" t="s">
        <v>2882</v>
      </c>
      <c r="V52" t="s">
        <v>2704</v>
      </c>
      <c r="W52" t="s">
        <v>1547</v>
      </c>
      <c r="X52" t="s">
        <v>3013</v>
      </c>
      <c r="Y52" t="s">
        <v>3014</v>
      </c>
      <c r="Z52" t="s">
        <v>3014</v>
      </c>
      <c r="AA52">
        <v>3.0</v>
      </c>
      <c r="AB52">
        <v>2.0</v>
      </c>
      <c r="AC52" t="s">
        <v>3022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9" width="8.71"/>
  </cols>
  <sheetData>
    <row r="1">
      <c r="A1" t="s">
        <v>3027</v>
      </c>
    </row>
    <row r="4">
      <c r="A4" t="s">
        <v>2468</v>
      </c>
      <c r="B4" t="s">
        <v>2469</v>
      </c>
      <c r="C4" t="s">
        <v>133</v>
      </c>
      <c r="D4" t="s">
        <v>2684</v>
      </c>
      <c r="E4" t="s">
        <v>2104</v>
      </c>
      <c r="F4" t="s">
        <v>2685</v>
      </c>
      <c r="G4" t="s">
        <v>2686</v>
      </c>
      <c r="H4" t="s">
        <v>1266</v>
      </c>
      <c r="I4" t="s">
        <v>1223</v>
      </c>
      <c r="J4" t="s">
        <v>82</v>
      </c>
      <c r="K4" t="s">
        <v>89</v>
      </c>
      <c r="L4" t="s">
        <v>94</v>
      </c>
      <c r="M4" t="s">
        <v>106</v>
      </c>
      <c r="N4" t="s">
        <v>98</v>
      </c>
      <c r="O4" t="s">
        <v>111</v>
      </c>
      <c r="P4" t="s">
        <v>101</v>
      </c>
      <c r="Q4" t="s">
        <v>2687</v>
      </c>
      <c r="R4" t="s">
        <v>2688</v>
      </c>
      <c r="S4" t="s">
        <v>2689</v>
      </c>
      <c r="T4" t="s">
        <v>2690</v>
      </c>
      <c r="U4" t="s">
        <v>2347</v>
      </c>
      <c r="V4" t="s">
        <v>2348</v>
      </c>
      <c r="W4" t="s">
        <v>5</v>
      </c>
      <c r="X4" t="s">
        <v>2691</v>
      </c>
      <c r="Y4" t="s">
        <v>2692</v>
      </c>
      <c r="Z4" t="s">
        <v>2310</v>
      </c>
      <c r="AA4" t="s">
        <v>2693</v>
      </c>
      <c r="AB4" t="s">
        <v>1180</v>
      </c>
      <c r="AC4" t="s">
        <v>2694</v>
      </c>
    </row>
    <row r="5">
      <c r="A5" t="s">
        <v>3028</v>
      </c>
      <c r="B5" t="s">
        <v>3029</v>
      </c>
      <c r="C5" t="s">
        <v>569</v>
      </c>
      <c r="D5" t="s">
        <v>2697</v>
      </c>
      <c r="E5" t="s">
        <v>1678</v>
      </c>
      <c r="F5" t="s">
        <v>2698</v>
      </c>
      <c r="G5" t="s">
        <v>2699</v>
      </c>
      <c r="H5">
        <v>3.0</v>
      </c>
      <c r="I5">
        <v>0.0</v>
      </c>
      <c r="J5">
        <v>0.0</v>
      </c>
      <c r="K5">
        <v>0.0</v>
      </c>
      <c r="L5">
        <v>0.0</v>
      </c>
      <c r="M5">
        <v>1.0</v>
      </c>
      <c r="N5">
        <v>0.0</v>
      </c>
      <c r="O5">
        <v>0.0</v>
      </c>
      <c r="P5">
        <v>0.0</v>
      </c>
      <c r="Q5">
        <v>-2.0</v>
      </c>
      <c r="R5" t="s">
        <v>2700</v>
      </c>
      <c r="S5" t="s">
        <v>2701</v>
      </c>
      <c r="T5" t="s">
        <v>2702</v>
      </c>
      <c r="U5" t="s">
        <v>2703</v>
      </c>
      <c r="V5" t="s">
        <v>2704</v>
      </c>
      <c r="W5" t="s">
        <v>1547</v>
      </c>
      <c r="X5" t="s">
        <v>3030</v>
      </c>
      <c r="Y5" t="s">
        <v>3031</v>
      </c>
      <c r="Z5" t="s">
        <v>1602</v>
      </c>
      <c r="AA5">
        <v>0.0</v>
      </c>
      <c r="AB5">
        <v>0.0</v>
      </c>
      <c r="AC5" t="s">
        <v>2707</v>
      </c>
    </row>
    <row r="6">
      <c r="A6" t="s">
        <v>3032</v>
      </c>
      <c r="B6" t="s">
        <v>3033</v>
      </c>
      <c r="C6" t="s">
        <v>572</v>
      </c>
      <c r="D6" t="s">
        <v>2697</v>
      </c>
      <c r="E6" t="s">
        <v>1678</v>
      </c>
      <c r="F6" t="s">
        <v>2698</v>
      </c>
      <c r="G6" t="s">
        <v>2699</v>
      </c>
      <c r="H6">
        <v>4.0</v>
      </c>
      <c r="I6">
        <v>0.0</v>
      </c>
      <c r="J6">
        <v>1.0</v>
      </c>
      <c r="K6">
        <v>0.0</v>
      </c>
      <c r="L6">
        <v>0.0</v>
      </c>
      <c r="M6">
        <v>1.0</v>
      </c>
      <c r="N6">
        <v>0.0</v>
      </c>
      <c r="O6">
        <v>0.0</v>
      </c>
      <c r="P6">
        <v>0.0</v>
      </c>
      <c r="Q6">
        <v>-2.0</v>
      </c>
      <c r="R6" t="s">
        <v>2700</v>
      </c>
      <c r="S6" t="s">
        <v>2701</v>
      </c>
      <c r="T6" t="s">
        <v>2702</v>
      </c>
      <c r="U6" t="s">
        <v>2703</v>
      </c>
      <c r="V6" t="s">
        <v>2704</v>
      </c>
      <c r="W6" t="s">
        <v>1547</v>
      </c>
      <c r="X6" t="s">
        <v>3030</v>
      </c>
      <c r="Y6" t="s">
        <v>3031</v>
      </c>
      <c r="Z6" t="s">
        <v>3030</v>
      </c>
      <c r="AA6">
        <v>2.0</v>
      </c>
      <c r="AB6">
        <v>1.0</v>
      </c>
      <c r="AC6" t="s">
        <v>3034</v>
      </c>
    </row>
    <row r="7">
      <c r="A7" t="s">
        <v>3035</v>
      </c>
      <c r="B7" t="s">
        <v>3036</v>
      </c>
      <c r="C7" t="s">
        <v>575</v>
      </c>
      <c r="D7" t="s">
        <v>2697</v>
      </c>
      <c r="E7" t="s">
        <v>1678</v>
      </c>
      <c r="F7" t="s">
        <v>2698</v>
      </c>
      <c r="G7" t="s">
        <v>2699</v>
      </c>
      <c r="H7">
        <v>6.0</v>
      </c>
      <c r="I7">
        <v>1.0</v>
      </c>
      <c r="J7">
        <v>1.0</v>
      </c>
      <c r="K7">
        <v>0.0</v>
      </c>
      <c r="L7">
        <v>0.0</v>
      </c>
      <c r="M7">
        <v>2.0</v>
      </c>
      <c r="N7">
        <v>0.0</v>
      </c>
      <c r="O7">
        <v>0.0</v>
      </c>
      <c r="P7">
        <v>0.0</v>
      </c>
      <c r="Q7">
        <v>-2.0</v>
      </c>
      <c r="R7" t="s">
        <v>2712</v>
      </c>
      <c r="S7" t="s">
        <v>2713</v>
      </c>
      <c r="T7" t="s">
        <v>2702</v>
      </c>
      <c r="U7" t="s">
        <v>2703</v>
      </c>
      <c r="V7" t="s">
        <v>2704</v>
      </c>
      <c r="W7" t="s">
        <v>1547</v>
      </c>
      <c r="X7" t="s">
        <v>3030</v>
      </c>
      <c r="Y7" t="s">
        <v>3031</v>
      </c>
      <c r="Z7" t="s">
        <v>3030</v>
      </c>
      <c r="AA7">
        <v>2.0</v>
      </c>
      <c r="AB7">
        <v>1.0</v>
      </c>
      <c r="AC7" t="s">
        <v>3034</v>
      </c>
    </row>
    <row r="8">
      <c r="A8" t="s">
        <v>3037</v>
      </c>
      <c r="B8" t="s">
        <v>3038</v>
      </c>
      <c r="C8" t="s">
        <v>578</v>
      </c>
      <c r="D8" t="s">
        <v>2697</v>
      </c>
      <c r="E8" t="s">
        <v>1678</v>
      </c>
      <c r="F8" t="s">
        <v>2698</v>
      </c>
      <c r="G8" t="s">
        <v>2699</v>
      </c>
      <c r="H8">
        <v>8.0</v>
      </c>
      <c r="I8">
        <v>1.0</v>
      </c>
      <c r="J8">
        <v>1.0</v>
      </c>
      <c r="K8">
        <v>1.0</v>
      </c>
      <c r="L8">
        <v>0.0</v>
      </c>
      <c r="M8">
        <v>3.0</v>
      </c>
      <c r="N8">
        <v>0.0</v>
      </c>
      <c r="O8">
        <v>0.0</v>
      </c>
      <c r="P8">
        <v>0.0</v>
      </c>
      <c r="Q8">
        <v>-2.0</v>
      </c>
      <c r="R8" t="s">
        <v>2712</v>
      </c>
      <c r="S8" t="s">
        <v>2713</v>
      </c>
      <c r="T8" t="s">
        <v>2702</v>
      </c>
      <c r="U8" t="s">
        <v>2703</v>
      </c>
      <c r="V8" t="s">
        <v>2704</v>
      </c>
      <c r="W8" t="s">
        <v>1547</v>
      </c>
      <c r="X8" t="s">
        <v>3030</v>
      </c>
      <c r="Y8" t="s">
        <v>3031</v>
      </c>
      <c r="Z8" t="s">
        <v>3031</v>
      </c>
      <c r="AA8">
        <v>3.0</v>
      </c>
      <c r="AB8">
        <v>2.0</v>
      </c>
      <c r="AC8" t="s">
        <v>3039</v>
      </c>
    </row>
    <row r="9">
      <c r="A9" t="s">
        <v>3040</v>
      </c>
      <c r="B9" t="s">
        <v>3041</v>
      </c>
      <c r="C9" t="s">
        <v>581</v>
      </c>
      <c r="D9" t="s">
        <v>2697</v>
      </c>
      <c r="E9" t="s">
        <v>1678</v>
      </c>
      <c r="F9" t="s">
        <v>2698</v>
      </c>
      <c r="G9" t="s">
        <v>2699</v>
      </c>
      <c r="H9">
        <v>12.0</v>
      </c>
      <c r="I9">
        <v>1.0</v>
      </c>
      <c r="J9">
        <v>2.0</v>
      </c>
      <c r="K9">
        <v>1.0</v>
      </c>
      <c r="L9">
        <v>0.0</v>
      </c>
      <c r="M9">
        <v>4.0</v>
      </c>
      <c r="N9">
        <v>0.0</v>
      </c>
      <c r="O9">
        <v>0.0</v>
      </c>
      <c r="P9">
        <v>0.0</v>
      </c>
      <c r="Q9">
        <v>-3.0</v>
      </c>
      <c r="R9" t="s">
        <v>2719</v>
      </c>
      <c r="S9" t="s">
        <v>2720</v>
      </c>
      <c r="T9" t="s">
        <v>2702</v>
      </c>
      <c r="U9" t="s">
        <v>2703</v>
      </c>
      <c r="V9" t="s">
        <v>2704</v>
      </c>
      <c r="W9" t="s">
        <v>1547</v>
      </c>
      <c r="X9" t="s">
        <v>3030</v>
      </c>
      <c r="Y9" t="s">
        <v>3031</v>
      </c>
      <c r="Z9" t="s">
        <v>3031</v>
      </c>
      <c r="AA9">
        <v>3.0</v>
      </c>
      <c r="AB9">
        <v>2.0</v>
      </c>
      <c r="AC9" t="s">
        <v>3039</v>
      </c>
    </row>
    <row r="10">
      <c r="A10" t="s">
        <v>3042</v>
      </c>
      <c r="B10" t="s">
        <v>3043</v>
      </c>
      <c r="C10" t="s">
        <v>584</v>
      </c>
      <c r="D10" t="s">
        <v>2697</v>
      </c>
      <c r="E10" t="s">
        <v>1678</v>
      </c>
      <c r="F10" t="s">
        <v>2698</v>
      </c>
      <c r="G10" t="s">
        <v>2699</v>
      </c>
      <c r="H10">
        <v>16.0</v>
      </c>
      <c r="I10">
        <v>2.0</v>
      </c>
      <c r="J10">
        <v>2.0</v>
      </c>
      <c r="K10">
        <v>2.0</v>
      </c>
      <c r="L10">
        <v>0.0</v>
      </c>
      <c r="M10">
        <v>5.0</v>
      </c>
      <c r="N10">
        <v>0.0</v>
      </c>
      <c r="O10">
        <v>0.0</v>
      </c>
      <c r="P10">
        <v>0.0</v>
      </c>
      <c r="Q10">
        <v>-3.0</v>
      </c>
      <c r="R10" t="s">
        <v>2723</v>
      </c>
      <c r="S10" t="s">
        <v>2724</v>
      </c>
      <c r="T10" t="s">
        <v>2702</v>
      </c>
      <c r="U10" t="s">
        <v>2703</v>
      </c>
      <c r="V10" t="s">
        <v>2704</v>
      </c>
      <c r="W10" t="s">
        <v>1547</v>
      </c>
      <c r="X10" t="s">
        <v>3030</v>
      </c>
      <c r="Y10" t="s">
        <v>3031</v>
      </c>
      <c r="Z10" t="s">
        <v>3031</v>
      </c>
      <c r="AA10">
        <v>3.0</v>
      </c>
      <c r="AB10">
        <v>2.0</v>
      </c>
      <c r="AC10" t="s">
        <v>3039</v>
      </c>
    </row>
    <row r="11">
      <c r="A11" t="s">
        <v>3044</v>
      </c>
      <c r="B11" t="s">
        <v>3045</v>
      </c>
      <c r="C11" t="s">
        <v>569</v>
      </c>
      <c r="D11" t="s">
        <v>2727</v>
      </c>
      <c r="E11" t="s">
        <v>1678</v>
      </c>
      <c r="F11" t="s">
        <v>956</v>
      </c>
      <c r="G11" t="s">
        <v>2728</v>
      </c>
      <c r="H11">
        <v>0.0</v>
      </c>
      <c r="I11">
        <v>3.0</v>
      </c>
      <c r="J11">
        <v>0.0</v>
      </c>
      <c r="K11">
        <v>0.0</v>
      </c>
      <c r="L11">
        <v>0.0</v>
      </c>
      <c r="M11">
        <v>0.0</v>
      </c>
      <c r="N11">
        <v>0.0</v>
      </c>
      <c r="O11">
        <v>1.0</v>
      </c>
      <c r="P11">
        <v>0.0</v>
      </c>
      <c r="Q11">
        <v>0.0</v>
      </c>
      <c r="R11" t="s">
        <v>2729</v>
      </c>
      <c r="S11" t="s">
        <v>2730</v>
      </c>
      <c r="T11" t="s">
        <v>2702</v>
      </c>
      <c r="U11" t="s">
        <v>2731</v>
      </c>
      <c r="V11" t="s">
        <v>2704</v>
      </c>
      <c r="W11" t="s">
        <v>1547</v>
      </c>
      <c r="X11" t="s">
        <v>3046</v>
      </c>
      <c r="Y11" t="s">
        <v>3047</v>
      </c>
      <c r="Z11" t="s">
        <v>1602</v>
      </c>
      <c r="AA11">
        <v>0.0</v>
      </c>
      <c r="AB11">
        <v>0.0</v>
      </c>
      <c r="AC11" t="s">
        <v>2707</v>
      </c>
    </row>
    <row r="12">
      <c r="A12" t="s">
        <v>3048</v>
      </c>
      <c r="B12" t="s">
        <v>3049</v>
      </c>
      <c r="C12" t="s">
        <v>572</v>
      </c>
      <c r="D12" t="s">
        <v>2727</v>
      </c>
      <c r="E12" t="s">
        <v>1678</v>
      </c>
      <c r="F12" t="s">
        <v>956</v>
      </c>
      <c r="G12" t="s">
        <v>2728</v>
      </c>
      <c r="H12">
        <v>0.0</v>
      </c>
      <c r="I12">
        <v>4.0</v>
      </c>
      <c r="J12">
        <v>0.0</v>
      </c>
      <c r="K12">
        <v>0.0</v>
      </c>
      <c r="L12">
        <v>0.0</v>
      </c>
      <c r="M12">
        <v>0.0</v>
      </c>
      <c r="N12">
        <v>1.0</v>
      </c>
      <c r="O12">
        <v>1.0</v>
      </c>
      <c r="P12">
        <v>0.0</v>
      </c>
      <c r="Q12">
        <v>0.0</v>
      </c>
      <c r="R12" t="s">
        <v>2729</v>
      </c>
      <c r="S12" t="s">
        <v>2730</v>
      </c>
      <c r="T12" t="s">
        <v>2702</v>
      </c>
      <c r="U12" t="s">
        <v>2731</v>
      </c>
      <c r="V12" t="s">
        <v>2704</v>
      </c>
      <c r="W12" t="s">
        <v>1547</v>
      </c>
      <c r="X12" t="s">
        <v>3046</v>
      </c>
      <c r="Y12" t="s">
        <v>3047</v>
      </c>
      <c r="Z12" t="s">
        <v>3046</v>
      </c>
      <c r="AA12">
        <v>2.0</v>
      </c>
      <c r="AB12">
        <v>1.0</v>
      </c>
      <c r="AC12" t="s">
        <v>3050</v>
      </c>
    </row>
    <row r="13">
      <c r="A13" t="s">
        <v>3051</v>
      </c>
      <c r="B13" t="s">
        <v>3052</v>
      </c>
      <c r="C13" t="s">
        <v>575</v>
      </c>
      <c r="D13" t="s">
        <v>2727</v>
      </c>
      <c r="E13" t="s">
        <v>1678</v>
      </c>
      <c r="F13" t="s">
        <v>956</v>
      </c>
      <c r="G13" t="s">
        <v>2728</v>
      </c>
      <c r="H13">
        <v>0.0</v>
      </c>
      <c r="I13">
        <v>6.0</v>
      </c>
      <c r="J13">
        <v>0.0</v>
      </c>
      <c r="K13">
        <v>0.0</v>
      </c>
      <c r="L13">
        <v>0.0</v>
      </c>
      <c r="M13">
        <v>0.0</v>
      </c>
      <c r="N13">
        <v>1.0</v>
      </c>
      <c r="O13">
        <v>2.0</v>
      </c>
      <c r="P13">
        <v>0.0</v>
      </c>
      <c r="Q13">
        <v>0.0</v>
      </c>
      <c r="R13" t="s">
        <v>2739</v>
      </c>
      <c r="S13" t="s">
        <v>2740</v>
      </c>
      <c r="T13" t="s">
        <v>2702</v>
      </c>
      <c r="U13" t="s">
        <v>2731</v>
      </c>
      <c r="V13" t="s">
        <v>2704</v>
      </c>
      <c r="W13" t="s">
        <v>1547</v>
      </c>
      <c r="X13" t="s">
        <v>3046</v>
      </c>
      <c r="Y13" t="s">
        <v>3047</v>
      </c>
      <c r="Z13" t="s">
        <v>3046</v>
      </c>
      <c r="AA13">
        <v>2.0</v>
      </c>
      <c r="AB13">
        <v>1.0</v>
      </c>
      <c r="AC13" t="s">
        <v>3050</v>
      </c>
    </row>
    <row r="14">
      <c r="A14" t="s">
        <v>3053</v>
      </c>
      <c r="B14" t="s">
        <v>3054</v>
      </c>
      <c r="C14" t="s">
        <v>578</v>
      </c>
      <c r="D14" t="s">
        <v>2727</v>
      </c>
      <c r="E14" t="s">
        <v>1678</v>
      </c>
      <c r="F14" t="s">
        <v>956</v>
      </c>
      <c r="G14" t="s">
        <v>2728</v>
      </c>
      <c r="H14">
        <v>1.0</v>
      </c>
      <c r="I14">
        <v>7.0</v>
      </c>
      <c r="J14">
        <v>1.0</v>
      </c>
      <c r="K14">
        <v>0.0</v>
      </c>
      <c r="L14">
        <v>0.0</v>
      </c>
      <c r="M14">
        <v>0.0</v>
      </c>
      <c r="N14">
        <v>1.0</v>
      </c>
      <c r="O14">
        <v>3.0</v>
      </c>
      <c r="P14">
        <v>0.0</v>
      </c>
      <c r="Q14">
        <v>0.0</v>
      </c>
      <c r="R14" t="s">
        <v>2739</v>
      </c>
      <c r="S14" t="s">
        <v>2740</v>
      </c>
      <c r="T14" t="s">
        <v>2702</v>
      </c>
      <c r="U14" t="s">
        <v>2731</v>
      </c>
      <c r="V14" t="s">
        <v>2704</v>
      </c>
      <c r="W14" t="s">
        <v>1547</v>
      </c>
      <c r="X14" t="s">
        <v>3046</v>
      </c>
      <c r="Y14" t="s">
        <v>3047</v>
      </c>
      <c r="Z14" t="s">
        <v>3047</v>
      </c>
      <c r="AA14">
        <v>3.0</v>
      </c>
      <c r="AB14">
        <v>2.0</v>
      </c>
      <c r="AC14" t="s">
        <v>2415</v>
      </c>
    </row>
    <row r="15">
      <c r="A15" t="s">
        <v>3055</v>
      </c>
      <c r="B15" t="s">
        <v>3056</v>
      </c>
      <c r="C15" t="s">
        <v>581</v>
      </c>
      <c r="D15" t="s">
        <v>2727</v>
      </c>
      <c r="E15" t="s">
        <v>1678</v>
      </c>
      <c r="F15" t="s">
        <v>956</v>
      </c>
      <c r="G15" t="s">
        <v>2728</v>
      </c>
      <c r="H15">
        <v>1.0</v>
      </c>
      <c r="I15">
        <v>11.0</v>
      </c>
      <c r="J15">
        <v>1.0</v>
      </c>
      <c r="K15">
        <v>0.0</v>
      </c>
      <c r="L15">
        <v>0.0</v>
      </c>
      <c r="M15">
        <v>0.0</v>
      </c>
      <c r="N15">
        <v>2.0</v>
      </c>
      <c r="O15">
        <v>4.0</v>
      </c>
      <c r="P15">
        <v>0.0</v>
      </c>
      <c r="Q15">
        <v>0.0</v>
      </c>
      <c r="R15" t="s">
        <v>2746</v>
      </c>
      <c r="S15" t="s">
        <v>2747</v>
      </c>
      <c r="T15" t="s">
        <v>2702</v>
      </c>
      <c r="U15" t="s">
        <v>2731</v>
      </c>
      <c r="V15" t="s">
        <v>2704</v>
      </c>
      <c r="W15" t="s">
        <v>1547</v>
      </c>
      <c r="X15" t="s">
        <v>3046</v>
      </c>
      <c r="Y15" t="s">
        <v>3047</v>
      </c>
      <c r="Z15" t="s">
        <v>3047</v>
      </c>
      <c r="AA15">
        <v>3.0</v>
      </c>
      <c r="AB15">
        <v>2.0</v>
      </c>
      <c r="AC15" t="s">
        <v>2415</v>
      </c>
    </row>
    <row r="16">
      <c r="A16" t="s">
        <v>3057</v>
      </c>
      <c r="B16" t="s">
        <v>3058</v>
      </c>
      <c r="C16" t="s">
        <v>584</v>
      </c>
      <c r="D16" t="s">
        <v>2727</v>
      </c>
      <c r="E16" t="s">
        <v>1678</v>
      </c>
      <c r="F16" t="s">
        <v>956</v>
      </c>
      <c r="G16" t="s">
        <v>2728</v>
      </c>
      <c r="H16">
        <v>2.0</v>
      </c>
      <c r="I16">
        <v>14.0</v>
      </c>
      <c r="J16">
        <v>2.0</v>
      </c>
      <c r="K16">
        <v>0.0</v>
      </c>
      <c r="L16">
        <v>0.0</v>
      </c>
      <c r="M16">
        <v>0.0</v>
      </c>
      <c r="N16">
        <v>2.0</v>
      </c>
      <c r="O16">
        <v>5.0</v>
      </c>
      <c r="P16">
        <v>0.0</v>
      </c>
      <c r="Q16">
        <v>0.0</v>
      </c>
      <c r="R16" t="s">
        <v>2750</v>
      </c>
      <c r="S16" t="s">
        <v>2751</v>
      </c>
      <c r="T16" t="s">
        <v>2702</v>
      </c>
      <c r="U16" t="s">
        <v>2731</v>
      </c>
      <c r="V16" t="s">
        <v>2704</v>
      </c>
      <c r="W16" t="s">
        <v>1547</v>
      </c>
      <c r="X16" t="s">
        <v>3046</v>
      </c>
      <c r="Y16" t="s">
        <v>3047</v>
      </c>
      <c r="Z16" t="s">
        <v>3047</v>
      </c>
      <c r="AA16">
        <v>3.0</v>
      </c>
      <c r="AB16">
        <v>2.0</v>
      </c>
      <c r="AC16" t="s">
        <v>2415</v>
      </c>
    </row>
    <row r="17">
      <c r="A17" t="s">
        <v>3059</v>
      </c>
      <c r="B17" t="s">
        <v>3060</v>
      </c>
      <c r="C17" t="s">
        <v>569</v>
      </c>
      <c r="D17" t="s">
        <v>2754</v>
      </c>
      <c r="E17" t="s">
        <v>1678</v>
      </c>
      <c r="F17" t="s">
        <v>956</v>
      </c>
      <c r="G17" t="s">
        <v>2755</v>
      </c>
      <c r="H17">
        <v>2.0</v>
      </c>
      <c r="I17">
        <v>1.0</v>
      </c>
      <c r="J17">
        <v>1.0</v>
      </c>
      <c r="K17">
        <v>0.0</v>
      </c>
      <c r="L17">
        <v>0.0</v>
      </c>
      <c r="M17">
        <v>0.0</v>
      </c>
      <c r="N17">
        <v>0.0</v>
      </c>
      <c r="O17">
        <v>0.0</v>
      </c>
      <c r="P17">
        <v>0.0</v>
      </c>
      <c r="Q17">
        <v>0.0</v>
      </c>
      <c r="R17" t="s">
        <v>2756</v>
      </c>
      <c r="S17" t="s">
        <v>2757</v>
      </c>
      <c r="T17" t="s">
        <v>2702</v>
      </c>
      <c r="U17" t="s">
        <v>2758</v>
      </c>
      <c r="V17" t="s">
        <v>2704</v>
      </c>
      <c r="W17" t="s">
        <v>1547</v>
      </c>
      <c r="X17" t="s">
        <v>3061</v>
      </c>
      <c r="Y17" t="s">
        <v>3062</v>
      </c>
      <c r="Z17" t="s">
        <v>1602</v>
      </c>
      <c r="AA17">
        <v>0.0</v>
      </c>
      <c r="AB17">
        <v>0.0</v>
      </c>
      <c r="AC17" t="s">
        <v>2707</v>
      </c>
    </row>
    <row r="18">
      <c r="A18" t="s">
        <v>3063</v>
      </c>
      <c r="B18" t="s">
        <v>3064</v>
      </c>
      <c r="C18" t="s">
        <v>572</v>
      </c>
      <c r="D18" t="s">
        <v>2754</v>
      </c>
      <c r="E18" t="s">
        <v>1678</v>
      </c>
      <c r="F18" t="s">
        <v>956</v>
      </c>
      <c r="G18" t="s">
        <v>2755</v>
      </c>
      <c r="H18">
        <v>2.0</v>
      </c>
      <c r="I18">
        <v>2.0</v>
      </c>
      <c r="J18">
        <v>1.0</v>
      </c>
      <c r="K18">
        <v>0.0</v>
      </c>
      <c r="L18">
        <v>0.0</v>
      </c>
      <c r="M18">
        <v>1.0</v>
      </c>
      <c r="N18">
        <v>0.0</v>
      </c>
      <c r="O18">
        <v>0.0</v>
      </c>
      <c r="P18">
        <v>0.0</v>
      </c>
      <c r="Q18">
        <v>0.0</v>
      </c>
      <c r="R18" t="s">
        <v>2756</v>
      </c>
      <c r="S18" t="s">
        <v>2757</v>
      </c>
      <c r="T18" t="s">
        <v>2702</v>
      </c>
      <c r="U18" t="s">
        <v>2758</v>
      </c>
      <c r="V18" t="s">
        <v>2704</v>
      </c>
      <c r="W18" t="s">
        <v>1547</v>
      </c>
      <c r="X18" t="s">
        <v>3061</v>
      </c>
      <c r="Y18" t="s">
        <v>3062</v>
      </c>
      <c r="Z18" t="s">
        <v>3061</v>
      </c>
      <c r="AA18">
        <v>2.0</v>
      </c>
      <c r="AB18">
        <v>1.0</v>
      </c>
      <c r="AC18" t="s">
        <v>3065</v>
      </c>
    </row>
    <row r="19">
      <c r="A19" t="s">
        <v>3066</v>
      </c>
      <c r="B19" t="s">
        <v>3067</v>
      </c>
      <c r="C19" t="s">
        <v>575</v>
      </c>
      <c r="D19" t="s">
        <v>2754</v>
      </c>
      <c r="E19" t="s">
        <v>1678</v>
      </c>
      <c r="F19" t="s">
        <v>956</v>
      </c>
      <c r="G19" t="s">
        <v>2755</v>
      </c>
      <c r="H19">
        <v>3.0</v>
      </c>
      <c r="I19">
        <v>3.0</v>
      </c>
      <c r="J19">
        <v>2.0</v>
      </c>
      <c r="K19">
        <v>0.0</v>
      </c>
      <c r="L19">
        <v>0.0</v>
      </c>
      <c r="M19">
        <v>1.0</v>
      </c>
      <c r="N19">
        <v>0.0</v>
      </c>
      <c r="O19">
        <v>0.0</v>
      </c>
      <c r="P19">
        <v>0.0</v>
      </c>
      <c r="Q19">
        <v>0.0</v>
      </c>
      <c r="R19" t="s">
        <v>2766</v>
      </c>
      <c r="S19" t="s">
        <v>2757</v>
      </c>
      <c r="T19" t="s">
        <v>2702</v>
      </c>
      <c r="U19" t="s">
        <v>2758</v>
      </c>
      <c r="V19" t="s">
        <v>2704</v>
      </c>
      <c r="W19" t="s">
        <v>1547</v>
      </c>
      <c r="X19" t="s">
        <v>3061</v>
      </c>
      <c r="Y19" t="s">
        <v>3062</v>
      </c>
      <c r="Z19" t="s">
        <v>3061</v>
      </c>
      <c r="AA19">
        <v>2.0</v>
      </c>
      <c r="AB19">
        <v>1.0</v>
      </c>
      <c r="AC19" t="s">
        <v>3065</v>
      </c>
    </row>
    <row r="20">
      <c r="A20" t="s">
        <v>3068</v>
      </c>
      <c r="B20" t="s">
        <v>3069</v>
      </c>
      <c r="C20" t="s">
        <v>578</v>
      </c>
      <c r="D20" t="s">
        <v>2754</v>
      </c>
      <c r="E20" t="s">
        <v>1678</v>
      </c>
      <c r="F20" t="s">
        <v>956</v>
      </c>
      <c r="G20" t="s">
        <v>2755</v>
      </c>
      <c r="H20">
        <v>4.0</v>
      </c>
      <c r="I20">
        <v>4.0</v>
      </c>
      <c r="J20">
        <v>3.0</v>
      </c>
      <c r="K20">
        <v>0.0</v>
      </c>
      <c r="L20">
        <v>0.0</v>
      </c>
      <c r="M20">
        <v>1.0</v>
      </c>
      <c r="N20">
        <v>0.0</v>
      </c>
      <c r="O20">
        <v>1.0</v>
      </c>
      <c r="P20">
        <v>0.0</v>
      </c>
      <c r="Q20">
        <v>0.0</v>
      </c>
      <c r="R20" t="s">
        <v>2766</v>
      </c>
      <c r="S20" t="s">
        <v>2757</v>
      </c>
      <c r="T20" t="s">
        <v>2702</v>
      </c>
      <c r="U20" t="s">
        <v>2758</v>
      </c>
      <c r="V20" t="s">
        <v>2704</v>
      </c>
      <c r="W20" t="s">
        <v>1547</v>
      </c>
      <c r="X20" t="s">
        <v>3061</v>
      </c>
      <c r="Y20" t="s">
        <v>3062</v>
      </c>
      <c r="Z20" t="s">
        <v>3062</v>
      </c>
      <c r="AA20">
        <v>3.0</v>
      </c>
      <c r="AB20">
        <v>3.0</v>
      </c>
      <c r="AC20" t="s">
        <v>3070</v>
      </c>
    </row>
    <row r="21" ht="15.75" customHeight="1">
      <c r="A21" t="s">
        <v>3071</v>
      </c>
      <c r="B21" t="s">
        <v>3072</v>
      </c>
      <c r="C21" t="s">
        <v>581</v>
      </c>
      <c r="D21" t="s">
        <v>2754</v>
      </c>
      <c r="E21" t="s">
        <v>1678</v>
      </c>
      <c r="F21" t="s">
        <v>956</v>
      </c>
      <c r="G21" t="s">
        <v>2755</v>
      </c>
      <c r="H21">
        <v>6.0</v>
      </c>
      <c r="I21">
        <v>6.0</v>
      </c>
      <c r="J21">
        <v>4.0</v>
      </c>
      <c r="K21">
        <v>0.0</v>
      </c>
      <c r="L21">
        <v>0.0</v>
      </c>
      <c r="M21">
        <v>2.0</v>
      </c>
      <c r="N21">
        <v>0.0</v>
      </c>
      <c r="O21">
        <v>1.0</v>
      </c>
      <c r="P21">
        <v>0.0</v>
      </c>
      <c r="Q21">
        <v>0.0</v>
      </c>
      <c r="R21" t="s">
        <v>2772</v>
      </c>
      <c r="S21" t="s">
        <v>2773</v>
      </c>
      <c r="T21" t="s">
        <v>2702</v>
      </c>
      <c r="U21" t="s">
        <v>2758</v>
      </c>
      <c r="V21" t="s">
        <v>2704</v>
      </c>
      <c r="W21" t="s">
        <v>1547</v>
      </c>
      <c r="X21" t="s">
        <v>3061</v>
      </c>
      <c r="Y21" t="s">
        <v>3062</v>
      </c>
      <c r="Z21" t="s">
        <v>3062</v>
      </c>
      <c r="AA21">
        <v>3.0</v>
      </c>
      <c r="AB21">
        <v>3.0</v>
      </c>
      <c r="AC21" t="s">
        <v>3070</v>
      </c>
    </row>
    <row r="22" ht="15.75" customHeight="1">
      <c r="A22" t="s">
        <v>3073</v>
      </c>
      <c r="B22" t="s">
        <v>3074</v>
      </c>
      <c r="C22" t="s">
        <v>584</v>
      </c>
      <c r="D22" t="s">
        <v>2754</v>
      </c>
      <c r="E22" t="s">
        <v>1678</v>
      </c>
      <c r="F22" t="s">
        <v>956</v>
      </c>
      <c r="G22" t="s">
        <v>2755</v>
      </c>
      <c r="H22">
        <v>8.0</v>
      </c>
      <c r="I22">
        <v>8.0</v>
      </c>
      <c r="J22">
        <v>5.0</v>
      </c>
      <c r="K22">
        <v>0.0</v>
      </c>
      <c r="L22">
        <v>0.0</v>
      </c>
      <c r="M22">
        <v>2.0</v>
      </c>
      <c r="N22">
        <v>0.0</v>
      </c>
      <c r="O22">
        <v>2.0</v>
      </c>
      <c r="P22">
        <v>0.0</v>
      </c>
      <c r="Q22">
        <v>0.0</v>
      </c>
      <c r="R22" t="s">
        <v>2776</v>
      </c>
      <c r="S22" t="s">
        <v>2773</v>
      </c>
      <c r="T22" t="s">
        <v>2702</v>
      </c>
      <c r="U22" t="s">
        <v>2758</v>
      </c>
      <c r="V22" t="s">
        <v>2704</v>
      </c>
      <c r="W22" t="s">
        <v>1547</v>
      </c>
      <c r="X22" t="s">
        <v>3061</v>
      </c>
      <c r="Y22" t="s">
        <v>3062</v>
      </c>
      <c r="Z22" t="s">
        <v>3062</v>
      </c>
      <c r="AA22">
        <v>3.0</v>
      </c>
      <c r="AB22">
        <v>3.0</v>
      </c>
      <c r="AC22" t="s">
        <v>3070</v>
      </c>
    </row>
    <row r="23" ht="15.75" customHeight="1">
      <c r="A23" t="s">
        <v>3075</v>
      </c>
      <c r="B23" t="s">
        <v>3076</v>
      </c>
      <c r="C23" t="s">
        <v>569</v>
      </c>
      <c r="D23" t="s">
        <v>2779</v>
      </c>
      <c r="E23" t="s">
        <v>1678</v>
      </c>
      <c r="F23" t="s">
        <v>2780</v>
      </c>
      <c r="G23" t="s">
        <v>2781</v>
      </c>
      <c r="H23">
        <v>1.0</v>
      </c>
      <c r="I23">
        <v>1.0</v>
      </c>
      <c r="J23">
        <v>0.0</v>
      </c>
      <c r="K23">
        <v>0.0</v>
      </c>
      <c r="L23">
        <v>1.0</v>
      </c>
      <c r="M23">
        <v>0.0</v>
      </c>
      <c r="N23">
        <v>0.0</v>
      </c>
      <c r="O23">
        <v>0.0</v>
      </c>
      <c r="P23">
        <v>0.0</v>
      </c>
      <c r="Q23">
        <v>0.0</v>
      </c>
      <c r="R23" t="s">
        <v>2782</v>
      </c>
      <c r="S23" t="s">
        <v>2783</v>
      </c>
      <c r="T23" t="s">
        <v>2702</v>
      </c>
      <c r="U23" t="s">
        <v>2784</v>
      </c>
      <c r="V23" t="s">
        <v>2704</v>
      </c>
      <c r="W23" t="s">
        <v>1547</v>
      </c>
      <c r="X23" t="s">
        <v>3077</v>
      </c>
      <c r="Y23" t="s">
        <v>3078</v>
      </c>
      <c r="Z23" t="s">
        <v>1602</v>
      </c>
      <c r="AA23">
        <v>0.0</v>
      </c>
      <c r="AB23">
        <v>0.0</v>
      </c>
      <c r="AC23" t="s">
        <v>2707</v>
      </c>
    </row>
    <row r="24" ht="15.75" customHeight="1">
      <c r="A24" t="s">
        <v>3079</v>
      </c>
      <c r="B24" t="s">
        <v>3080</v>
      </c>
      <c r="C24" t="s">
        <v>572</v>
      </c>
      <c r="D24" t="s">
        <v>2779</v>
      </c>
      <c r="E24" t="s">
        <v>1678</v>
      </c>
      <c r="F24" t="s">
        <v>2780</v>
      </c>
      <c r="G24" t="s">
        <v>2781</v>
      </c>
      <c r="H24">
        <v>1.0</v>
      </c>
      <c r="I24">
        <v>2.0</v>
      </c>
      <c r="J24">
        <v>0.0</v>
      </c>
      <c r="K24">
        <v>0.0</v>
      </c>
      <c r="L24">
        <v>1.0</v>
      </c>
      <c r="M24">
        <v>0.0</v>
      </c>
      <c r="N24">
        <v>0.0</v>
      </c>
      <c r="O24">
        <v>0.0</v>
      </c>
      <c r="P24">
        <v>1.0</v>
      </c>
      <c r="Q24">
        <v>0.0</v>
      </c>
      <c r="R24" t="s">
        <v>2782</v>
      </c>
      <c r="S24" t="s">
        <v>2783</v>
      </c>
      <c r="T24" t="s">
        <v>2702</v>
      </c>
      <c r="U24" t="s">
        <v>2784</v>
      </c>
      <c r="V24" t="s">
        <v>2704</v>
      </c>
      <c r="W24" t="s">
        <v>1547</v>
      </c>
      <c r="X24" t="s">
        <v>3077</v>
      </c>
      <c r="Y24" t="s">
        <v>3078</v>
      </c>
      <c r="Z24" t="s">
        <v>3077</v>
      </c>
      <c r="AA24">
        <v>2.0</v>
      </c>
      <c r="AB24">
        <v>1.0</v>
      </c>
      <c r="AC24" t="s">
        <v>3081</v>
      </c>
    </row>
    <row r="25" ht="15.75" customHeight="1">
      <c r="A25" t="s">
        <v>3082</v>
      </c>
      <c r="B25" t="s">
        <v>3083</v>
      </c>
      <c r="C25" t="s">
        <v>575</v>
      </c>
      <c r="D25" t="s">
        <v>2779</v>
      </c>
      <c r="E25" t="s">
        <v>1678</v>
      </c>
      <c r="F25" t="s">
        <v>2780</v>
      </c>
      <c r="G25" t="s">
        <v>2781</v>
      </c>
      <c r="H25">
        <v>2.0</v>
      </c>
      <c r="I25">
        <v>3.0</v>
      </c>
      <c r="J25">
        <v>0.0</v>
      </c>
      <c r="K25">
        <v>0.0</v>
      </c>
      <c r="L25">
        <v>2.0</v>
      </c>
      <c r="M25">
        <v>0.0</v>
      </c>
      <c r="N25">
        <v>0.0</v>
      </c>
      <c r="O25">
        <v>0.0</v>
      </c>
      <c r="P25">
        <v>1.0</v>
      </c>
      <c r="Q25">
        <v>0.0</v>
      </c>
      <c r="R25" t="s">
        <v>2792</v>
      </c>
      <c r="S25" t="s">
        <v>2783</v>
      </c>
      <c r="T25" t="s">
        <v>2702</v>
      </c>
      <c r="U25" t="s">
        <v>2784</v>
      </c>
      <c r="V25" t="s">
        <v>2704</v>
      </c>
      <c r="W25" t="s">
        <v>1547</v>
      </c>
      <c r="X25" t="s">
        <v>3077</v>
      </c>
      <c r="Y25" t="s">
        <v>3078</v>
      </c>
      <c r="Z25" t="s">
        <v>3077</v>
      </c>
      <c r="AA25">
        <v>2.0</v>
      </c>
      <c r="AB25">
        <v>1.0</v>
      </c>
      <c r="AC25" t="s">
        <v>3081</v>
      </c>
    </row>
    <row r="26" ht="15.75" customHeight="1">
      <c r="A26" t="s">
        <v>3084</v>
      </c>
      <c r="B26" t="s">
        <v>3085</v>
      </c>
      <c r="C26" t="s">
        <v>578</v>
      </c>
      <c r="D26" t="s">
        <v>2779</v>
      </c>
      <c r="E26" t="s">
        <v>1678</v>
      </c>
      <c r="F26" t="s">
        <v>2780</v>
      </c>
      <c r="G26" t="s">
        <v>2781</v>
      </c>
      <c r="H26">
        <v>2.0</v>
      </c>
      <c r="I26">
        <v>4.0</v>
      </c>
      <c r="J26">
        <v>0.0</v>
      </c>
      <c r="K26">
        <v>0.0</v>
      </c>
      <c r="L26">
        <v>3.0</v>
      </c>
      <c r="M26">
        <v>0.0</v>
      </c>
      <c r="N26">
        <v>0.0</v>
      </c>
      <c r="O26">
        <v>1.0</v>
      </c>
      <c r="P26">
        <v>1.0</v>
      </c>
      <c r="Q26">
        <v>0.0</v>
      </c>
      <c r="R26" t="s">
        <v>2792</v>
      </c>
      <c r="S26" t="s">
        <v>2783</v>
      </c>
      <c r="T26" t="s">
        <v>2702</v>
      </c>
      <c r="U26" t="s">
        <v>2784</v>
      </c>
      <c r="V26" t="s">
        <v>2704</v>
      </c>
      <c r="W26" t="s">
        <v>1547</v>
      </c>
      <c r="X26" t="s">
        <v>3077</v>
      </c>
      <c r="Y26" t="s">
        <v>3078</v>
      </c>
      <c r="Z26" t="s">
        <v>3078</v>
      </c>
      <c r="AA26">
        <v>3.0</v>
      </c>
      <c r="AB26">
        <v>3.0</v>
      </c>
      <c r="AC26" t="s">
        <v>3086</v>
      </c>
    </row>
    <row r="27" ht="15.75" customHeight="1">
      <c r="A27" t="s">
        <v>3087</v>
      </c>
      <c r="B27" t="s">
        <v>3088</v>
      </c>
      <c r="C27" t="s">
        <v>581</v>
      </c>
      <c r="D27" t="s">
        <v>2779</v>
      </c>
      <c r="E27" t="s">
        <v>1678</v>
      </c>
      <c r="F27" t="s">
        <v>2780</v>
      </c>
      <c r="G27" t="s">
        <v>2781</v>
      </c>
      <c r="H27">
        <v>4.0</v>
      </c>
      <c r="I27">
        <v>6.0</v>
      </c>
      <c r="J27">
        <v>0.0</v>
      </c>
      <c r="K27">
        <v>0.0</v>
      </c>
      <c r="L27">
        <v>4.0</v>
      </c>
      <c r="M27">
        <v>0.0</v>
      </c>
      <c r="N27">
        <v>0.0</v>
      </c>
      <c r="O27">
        <v>1.0</v>
      </c>
      <c r="P27">
        <v>2.0</v>
      </c>
      <c r="Q27">
        <v>0.0</v>
      </c>
      <c r="R27" t="s">
        <v>2798</v>
      </c>
      <c r="S27" t="s">
        <v>2799</v>
      </c>
      <c r="T27" t="s">
        <v>2702</v>
      </c>
      <c r="U27" t="s">
        <v>2784</v>
      </c>
      <c r="V27" t="s">
        <v>2704</v>
      </c>
      <c r="W27" t="s">
        <v>1547</v>
      </c>
      <c r="X27" t="s">
        <v>3077</v>
      </c>
      <c r="Y27" t="s">
        <v>3078</v>
      </c>
      <c r="Z27" t="s">
        <v>3078</v>
      </c>
      <c r="AA27">
        <v>3.0</v>
      </c>
      <c r="AB27">
        <v>3.0</v>
      </c>
      <c r="AC27" t="s">
        <v>3086</v>
      </c>
    </row>
    <row r="28" ht="15.75" customHeight="1">
      <c r="A28" t="s">
        <v>3089</v>
      </c>
      <c r="B28" t="s">
        <v>3090</v>
      </c>
      <c r="C28" t="s">
        <v>584</v>
      </c>
      <c r="D28" t="s">
        <v>2779</v>
      </c>
      <c r="E28" t="s">
        <v>1678</v>
      </c>
      <c r="F28" t="s">
        <v>2780</v>
      </c>
      <c r="G28" t="s">
        <v>2781</v>
      </c>
      <c r="H28">
        <v>5.0</v>
      </c>
      <c r="I28">
        <v>8.0</v>
      </c>
      <c r="J28">
        <v>0.0</v>
      </c>
      <c r="K28">
        <v>0.0</v>
      </c>
      <c r="L28">
        <v>5.0</v>
      </c>
      <c r="M28">
        <v>0.0</v>
      </c>
      <c r="N28">
        <v>0.0</v>
      </c>
      <c r="O28">
        <v>2.0</v>
      </c>
      <c r="P28">
        <v>2.0</v>
      </c>
      <c r="Q28">
        <v>0.0</v>
      </c>
      <c r="R28" t="s">
        <v>2802</v>
      </c>
      <c r="S28" t="s">
        <v>2799</v>
      </c>
      <c r="T28" t="s">
        <v>2702</v>
      </c>
      <c r="U28" t="s">
        <v>2784</v>
      </c>
      <c r="V28" t="s">
        <v>2704</v>
      </c>
      <c r="W28" t="s">
        <v>1547</v>
      </c>
      <c r="X28" t="s">
        <v>3077</v>
      </c>
      <c r="Y28" t="s">
        <v>3078</v>
      </c>
      <c r="Z28" t="s">
        <v>3078</v>
      </c>
      <c r="AA28">
        <v>3.0</v>
      </c>
      <c r="AB28">
        <v>3.0</v>
      </c>
      <c r="AC28" t="s">
        <v>3086</v>
      </c>
    </row>
    <row r="29" ht="15.75" customHeight="1">
      <c r="A29" t="s">
        <v>3091</v>
      </c>
      <c r="B29" t="s">
        <v>3092</v>
      </c>
      <c r="C29" t="s">
        <v>569</v>
      </c>
      <c r="D29" t="s">
        <v>2805</v>
      </c>
      <c r="E29" t="s">
        <v>1678</v>
      </c>
      <c r="F29" t="s">
        <v>956</v>
      </c>
      <c r="G29" t="s">
        <v>2806</v>
      </c>
      <c r="H29">
        <v>3.0</v>
      </c>
      <c r="I29">
        <v>0.0</v>
      </c>
      <c r="J29">
        <v>0.0</v>
      </c>
      <c r="K29">
        <v>1.0</v>
      </c>
      <c r="L29">
        <v>0.0</v>
      </c>
      <c r="M29">
        <v>0.0</v>
      </c>
      <c r="N29">
        <v>0.0</v>
      </c>
      <c r="O29">
        <v>0.0</v>
      </c>
      <c r="P29">
        <v>0.0</v>
      </c>
      <c r="Q29">
        <v>0.0</v>
      </c>
      <c r="R29" t="s">
        <v>2807</v>
      </c>
      <c r="S29" t="s">
        <v>2808</v>
      </c>
      <c r="T29" t="s">
        <v>2702</v>
      </c>
      <c r="U29" t="s">
        <v>2809</v>
      </c>
      <c r="V29" t="s">
        <v>2704</v>
      </c>
      <c r="W29" t="s">
        <v>1547</v>
      </c>
      <c r="X29" t="s">
        <v>3093</v>
      </c>
      <c r="Y29" t="s">
        <v>3094</v>
      </c>
      <c r="Z29" t="s">
        <v>1602</v>
      </c>
      <c r="AA29">
        <v>0.0</v>
      </c>
      <c r="AB29">
        <v>0.0</v>
      </c>
      <c r="AC29" t="s">
        <v>2707</v>
      </c>
    </row>
    <row r="30" ht="15.75" customHeight="1">
      <c r="A30" t="s">
        <v>3095</v>
      </c>
      <c r="B30" t="s">
        <v>3096</v>
      </c>
      <c r="C30" t="s">
        <v>572</v>
      </c>
      <c r="D30" t="s">
        <v>2805</v>
      </c>
      <c r="E30" t="s">
        <v>1678</v>
      </c>
      <c r="F30" t="s">
        <v>956</v>
      </c>
      <c r="G30" t="s">
        <v>2806</v>
      </c>
      <c r="H30">
        <v>3.0</v>
      </c>
      <c r="I30">
        <v>1.0</v>
      </c>
      <c r="J30">
        <v>0.0</v>
      </c>
      <c r="K30">
        <v>1.0</v>
      </c>
      <c r="L30">
        <v>0.0</v>
      </c>
      <c r="M30">
        <v>1.0</v>
      </c>
      <c r="N30">
        <v>0.0</v>
      </c>
      <c r="O30">
        <v>0.0</v>
      </c>
      <c r="P30">
        <v>0.0</v>
      </c>
      <c r="Q30">
        <v>0.0</v>
      </c>
      <c r="R30" t="s">
        <v>2807</v>
      </c>
      <c r="S30" t="s">
        <v>2808</v>
      </c>
      <c r="T30" t="s">
        <v>2702</v>
      </c>
      <c r="U30" t="s">
        <v>2809</v>
      </c>
      <c r="V30" t="s">
        <v>2704</v>
      </c>
      <c r="W30" t="s">
        <v>1547</v>
      </c>
      <c r="X30" t="s">
        <v>3093</v>
      </c>
      <c r="Y30" t="s">
        <v>3094</v>
      </c>
      <c r="Z30" t="s">
        <v>3093</v>
      </c>
      <c r="AA30">
        <v>2.0</v>
      </c>
      <c r="AB30">
        <v>1.0</v>
      </c>
      <c r="AC30" t="s">
        <v>3097</v>
      </c>
    </row>
    <row r="31" ht="15.75" customHeight="1">
      <c r="A31" t="s">
        <v>3098</v>
      </c>
      <c r="B31" t="s">
        <v>3099</v>
      </c>
      <c r="C31" t="s">
        <v>575</v>
      </c>
      <c r="D31" t="s">
        <v>2805</v>
      </c>
      <c r="E31" t="s">
        <v>1678</v>
      </c>
      <c r="F31" t="s">
        <v>956</v>
      </c>
      <c r="G31" t="s">
        <v>2806</v>
      </c>
      <c r="H31">
        <v>5.0</v>
      </c>
      <c r="I31">
        <v>1.0</v>
      </c>
      <c r="J31">
        <v>0.0</v>
      </c>
      <c r="K31">
        <v>2.0</v>
      </c>
      <c r="L31">
        <v>0.0</v>
      </c>
      <c r="M31">
        <v>1.0</v>
      </c>
      <c r="N31">
        <v>0.0</v>
      </c>
      <c r="O31">
        <v>0.0</v>
      </c>
      <c r="P31">
        <v>0.0</v>
      </c>
      <c r="Q31">
        <v>0.0</v>
      </c>
      <c r="R31" t="s">
        <v>2817</v>
      </c>
      <c r="S31" t="s">
        <v>2808</v>
      </c>
      <c r="T31" t="s">
        <v>2702</v>
      </c>
      <c r="U31" t="s">
        <v>2809</v>
      </c>
      <c r="V31" t="s">
        <v>2704</v>
      </c>
      <c r="W31" t="s">
        <v>1547</v>
      </c>
      <c r="X31" t="s">
        <v>3093</v>
      </c>
      <c r="Y31" t="s">
        <v>3094</v>
      </c>
      <c r="Z31" t="s">
        <v>3093</v>
      </c>
      <c r="AA31">
        <v>2.0</v>
      </c>
      <c r="AB31">
        <v>1.0</v>
      </c>
      <c r="AC31" t="s">
        <v>3097</v>
      </c>
    </row>
    <row r="32" ht="15.75" customHeight="1">
      <c r="A32" t="s">
        <v>3100</v>
      </c>
      <c r="B32" t="s">
        <v>3101</v>
      </c>
      <c r="C32" t="s">
        <v>578</v>
      </c>
      <c r="D32" t="s">
        <v>2805</v>
      </c>
      <c r="E32" t="s">
        <v>1678</v>
      </c>
      <c r="F32" t="s">
        <v>956</v>
      </c>
      <c r="G32" t="s">
        <v>2806</v>
      </c>
      <c r="H32">
        <v>6.0</v>
      </c>
      <c r="I32">
        <v>2.0</v>
      </c>
      <c r="J32">
        <v>1.0</v>
      </c>
      <c r="K32">
        <v>3.0</v>
      </c>
      <c r="L32">
        <v>0.0</v>
      </c>
      <c r="M32">
        <v>1.0</v>
      </c>
      <c r="N32">
        <v>0.0</v>
      </c>
      <c r="O32">
        <v>0.0</v>
      </c>
      <c r="P32">
        <v>0.0</v>
      </c>
      <c r="Q32">
        <v>0.0</v>
      </c>
      <c r="R32" t="s">
        <v>2817</v>
      </c>
      <c r="S32" t="s">
        <v>2820</v>
      </c>
      <c r="T32" t="s">
        <v>2702</v>
      </c>
      <c r="U32" t="s">
        <v>2809</v>
      </c>
      <c r="V32" t="s">
        <v>2704</v>
      </c>
      <c r="W32" t="s">
        <v>1547</v>
      </c>
      <c r="X32" t="s">
        <v>3093</v>
      </c>
      <c r="Y32" t="s">
        <v>3094</v>
      </c>
      <c r="Z32" t="s">
        <v>3094</v>
      </c>
      <c r="AA32">
        <v>3.0</v>
      </c>
      <c r="AB32">
        <v>2.0</v>
      </c>
      <c r="AC32" t="s">
        <v>3102</v>
      </c>
    </row>
    <row r="33" ht="15.75" customHeight="1">
      <c r="A33" t="s">
        <v>3103</v>
      </c>
      <c r="B33" t="s">
        <v>3104</v>
      </c>
      <c r="C33" t="s">
        <v>581</v>
      </c>
      <c r="D33" t="s">
        <v>2805</v>
      </c>
      <c r="E33" t="s">
        <v>1678</v>
      </c>
      <c r="F33" t="s">
        <v>956</v>
      </c>
      <c r="G33" t="s">
        <v>2806</v>
      </c>
      <c r="H33">
        <v>9.0</v>
      </c>
      <c r="I33">
        <v>3.0</v>
      </c>
      <c r="J33">
        <v>1.0</v>
      </c>
      <c r="K33">
        <v>4.0</v>
      </c>
      <c r="L33">
        <v>0.0</v>
      </c>
      <c r="M33">
        <v>2.0</v>
      </c>
      <c r="N33">
        <v>0.0</v>
      </c>
      <c r="O33">
        <v>0.0</v>
      </c>
      <c r="P33">
        <v>0.0</v>
      </c>
      <c r="Q33">
        <v>0.0</v>
      </c>
      <c r="R33" t="s">
        <v>2824</v>
      </c>
      <c r="S33" t="s">
        <v>2825</v>
      </c>
      <c r="T33" t="s">
        <v>2702</v>
      </c>
      <c r="U33" t="s">
        <v>2809</v>
      </c>
      <c r="V33" t="s">
        <v>2704</v>
      </c>
      <c r="W33" t="s">
        <v>1547</v>
      </c>
      <c r="X33" t="s">
        <v>3093</v>
      </c>
      <c r="Y33" t="s">
        <v>3094</v>
      </c>
      <c r="Z33" t="s">
        <v>3094</v>
      </c>
      <c r="AA33">
        <v>3.0</v>
      </c>
      <c r="AB33">
        <v>2.0</v>
      </c>
      <c r="AC33" t="s">
        <v>3102</v>
      </c>
    </row>
    <row r="34" ht="15.75" customHeight="1">
      <c r="A34" t="s">
        <v>3105</v>
      </c>
      <c r="B34" t="s">
        <v>3106</v>
      </c>
      <c r="C34" t="s">
        <v>584</v>
      </c>
      <c r="D34" t="s">
        <v>2805</v>
      </c>
      <c r="E34" t="s">
        <v>1678</v>
      </c>
      <c r="F34" t="s">
        <v>956</v>
      </c>
      <c r="G34" t="s">
        <v>2806</v>
      </c>
      <c r="H34">
        <v>12.0</v>
      </c>
      <c r="I34">
        <v>4.0</v>
      </c>
      <c r="J34">
        <v>2.0</v>
      </c>
      <c r="K34">
        <v>5.0</v>
      </c>
      <c r="L34">
        <v>0.0</v>
      </c>
      <c r="M34">
        <v>2.0</v>
      </c>
      <c r="N34">
        <v>0.0</v>
      </c>
      <c r="O34">
        <v>0.0</v>
      </c>
      <c r="P34">
        <v>0.0</v>
      </c>
      <c r="Q34">
        <v>0.0</v>
      </c>
      <c r="R34" t="s">
        <v>2828</v>
      </c>
      <c r="S34" t="s">
        <v>2825</v>
      </c>
      <c r="T34" t="s">
        <v>2702</v>
      </c>
      <c r="U34" t="s">
        <v>2809</v>
      </c>
      <c r="V34" t="s">
        <v>2704</v>
      </c>
      <c r="W34" t="s">
        <v>1547</v>
      </c>
      <c r="X34" t="s">
        <v>3093</v>
      </c>
      <c r="Y34" t="s">
        <v>3094</v>
      </c>
      <c r="Z34" t="s">
        <v>3094</v>
      </c>
      <c r="AA34">
        <v>3.0</v>
      </c>
      <c r="AB34">
        <v>2.0</v>
      </c>
      <c r="AC34" t="s">
        <v>3102</v>
      </c>
    </row>
    <row r="35" ht="15.75" customHeight="1">
      <c r="A35" t="s">
        <v>3107</v>
      </c>
      <c r="B35" t="s">
        <v>3108</v>
      </c>
      <c r="C35" t="s">
        <v>569</v>
      </c>
      <c r="D35" t="s">
        <v>2831</v>
      </c>
      <c r="E35" t="s">
        <v>1678</v>
      </c>
      <c r="F35" t="s">
        <v>2780</v>
      </c>
      <c r="G35" t="s">
        <v>2832</v>
      </c>
      <c r="H35">
        <v>0.0</v>
      </c>
      <c r="I35">
        <v>2.0</v>
      </c>
      <c r="J35">
        <v>0.0</v>
      </c>
      <c r="K35">
        <v>0.0</v>
      </c>
      <c r="L35">
        <v>0.0</v>
      </c>
      <c r="M35">
        <v>0.0</v>
      </c>
      <c r="N35">
        <v>1.0</v>
      </c>
      <c r="O35">
        <v>0.0</v>
      </c>
      <c r="P35">
        <v>0.0</v>
      </c>
      <c r="Q35">
        <v>0.0</v>
      </c>
      <c r="R35" t="s">
        <v>2833</v>
      </c>
      <c r="S35" t="s">
        <v>2834</v>
      </c>
      <c r="T35" t="s">
        <v>2702</v>
      </c>
      <c r="U35" t="s">
        <v>2835</v>
      </c>
      <c r="V35" t="s">
        <v>2704</v>
      </c>
      <c r="W35" t="s">
        <v>1547</v>
      </c>
      <c r="X35" t="s">
        <v>3109</v>
      </c>
      <c r="Y35" t="s">
        <v>3110</v>
      </c>
      <c r="Z35" t="s">
        <v>1602</v>
      </c>
      <c r="AA35">
        <v>0.0</v>
      </c>
      <c r="AB35">
        <v>0.0</v>
      </c>
      <c r="AC35" t="s">
        <v>2707</v>
      </c>
    </row>
    <row r="36" ht="15.75" customHeight="1">
      <c r="A36" t="s">
        <v>3111</v>
      </c>
      <c r="B36" t="s">
        <v>3112</v>
      </c>
      <c r="C36" t="s">
        <v>572</v>
      </c>
      <c r="D36" t="s">
        <v>2831</v>
      </c>
      <c r="E36" t="s">
        <v>1678</v>
      </c>
      <c r="F36" t="s">
        <v>2780</v>
      </c>
      <c r="G36" t="s">
        <v>2832</v>
      </c>
      <c r="H36">
        <v>0.0</v>
      </c>
      <c r="I36">
        <v>3.0</v>
      </c>
      <c r="J36">
        <v>0.0</v>
      </c>
      <c r="K36">
        <v>0.0</v>
      </c>
      <c r="L36">
        <v>0.0</v>
      </c>
      <c r="M36">
        <v>0.0</v>
      </c>
      <c r="N36">
        <v>1.0</v>
      </c>
      <c r="O36">
        <v>0.0</v>
      </c>
      <c r="P36">
        <v>1.0</v>
      </c>
      <c r="Q36">
        <v>0.0</v>
      </c>
      <c r="R36" t="s">
        <v>2833</v>
      </c>
      <c r="S36" t="s">
        <v>2834</v>
      </c>
      <c r="T36" t="s">
        <v>2702</v>
      </c>
      <c r="U36" t="s">
        <v>2835</v>
      </c>
      <c r="V36" t="s">
        <v>2704</v>
      </c>
      <c r="W36" t="s">
        <v>1547</v>
      </c>
      <c r="X36" t="s">
        <v>3109</v>
      </c>
      <c r="Y36" t="s">
        <v>3110</v>
      </c>
      <c r="Z36" t="s">
        <v>3109</v>
      </c>
      <c r="AA36">
        <v>2.0</v>
      </c>
      <c r="AB36">
        <v>1.0</v>
      </c>
      <c r="AC36" t="s">
        <v>2887</v>
      </c>
    </row>
    <row r="37" ht="15.75" customHeight="1">
      <c r="A37" t="s">
        <v>3113</v>
      </c>
      <c r="B37" t="s">
        <v>3114</v>
      </c>
      <c r="C37" t="s">
        <v>575</v>
      </c>
      <c r="D37" t="s">
        <v>2831</v>
      </c>
      <c r="E37" t="s">
        <v>1678</v>
      </c>
      <c r="F37" t="s">
        <v>2780</v>
      </c>
      <c r="G37" t="s">
        <v>2832</v>
      </c>
      <c r="H37">
        <v>1.0</v>
      </c>
      <c r="I37">
        <v>4.0</v>
      </c>
      <c r="J37">
        <v>0.0</v>
      </c>
      <c r="K37">
        <v>0.0</v>
      </c>
      <c r="L37">
        <v>0.0</v>
      </c>
      <c r="M37">
        <v>0.0</v>
      </c>
      <c r="N37">
        <v>2.0</v>
      </c>
      <c r="O37">
        <v>0.0</v>
      </c>
      <c r="P37">
        <v>1.0</v>
      </c>
      <c r="Q37">
        <v>0.0</v>
      </c>
      <c r="R37" t="s">
        <v>2843</v>
      </c>
      <c r="S37" t="s">
        <v>2834</v>
      </c>
      <c r="T37" t="s">
        <v>2702</v>
      </c>
      <c r="U37" t="s">
        <v>2835</v>
      </c>
      <c r="V37" t="s">
        <v>2704</v>
      </c>
      <c r="W37" t="s">
        <v>1547</v>
      </c>
      <c r="X37" t="s">
        <v>3109</v>
      </c>
      <c r="Y37" t="s">
        <v>3110</v>
      </c>
      <c r="Z37" t="s">
        <v>3109</v>
      </c>
      <c r="AA37">
        <v>2.0</v>
      </c>
      <c r="AB37">
        <v>1.0</v>
      </c>
      <c r="AC37" t="s">
        <v>2887</v>
      </c>
    </row>
    <row r="38" ht="15.75" customHeight="1">
      <c r="A38" t="s">
        <v>3115</v>
      </c>
      <c r="B38" t="s">
        <v>3116</v>
      </c>
      <c r="C38" t="s">
        <v>578</v>
      </c>
      <c r="D38" t="s">
        <v>2831</v>
      </c>
      <c r="E38" t="s">
        <v>1678</v>
      </c>
      <c r="F38" t="s">
        <v>2780</v>
      </c>
      <c r="G38" t="s">
        <v>2832</v>
      </c>
      <c r="H38">
        <v>1.0</v>
      </c>
      <c r="I38">
        <v>5.0</v>
      </c>
      <c r="J38">
        <v>0.0</v>
      </c>
      <c r="K38">
        <v>0.0</v>
      </c>
      <c r="L38">
        <v>0.0</v>
      </c>
      <c r="M38">
        <v>0.0</v>
      </c>
      <c r="N38">
        <v>3.0</v>
      </c>
      <c r="O38">
        <v>1.0</v>
      </c>
      <c r="P38">
        <v>1.0</v>
      </c>
      <c r="Q38">
        <v>0.0</v>
      </c>
      <c r="R38" t="s">
        <v>2843</v>
      </c>
      <c r="S38" t="s">
        <v>2834</v>
      </c>
      <c r="T38" t="s">
        <v>2702</v>
      </c>
      <c r="U38" t="s">
        <v>2835</v>
      </c>
      <c r="V38" t="s">
        <v>2704</v>
      </c>
      <c r="W38" t="s">
        <v>1547</v>
      </c>
      <c r="X38" t="s">
        <v>3109</v>
      </c>
      <c r="Y38" t="s">
        <v>3110</v>
      </c>
      <c r="Z38" t="s">
        <v>3110</v>
      </c>
      <c r="AA38">
        <v>3.0</v>
      </c>
      <c r="AB38">
        <v>2.0</v>
      </c>
      <c r="AC38" t="s">
        <v>3117</v>
      </c>
    </row>
    <row r="39" ht="15.75" customHeight="1">
      <c r="A39" t="s">
        <v>3118</v>
      </c>
      <c r="B39" t="s">
        <v>3119</v>
      </c>
      <c r="C39" t="s">
        <v>581</v>
      </c>
      <c r="D39" t="s">
        <v>2831</v>
      </c>
      <c r="E39" t="s">
        <v>1678</v>
      </c>
      <c r="F39" t="s">
        <v>2780</v>
      </c>
      <c r="G39" t="s">
        <v>2832</v>
      </c>
      <c r="H39">
        <v>2.0</v>
      </c>
      <c r="I39">
        <v>8.0</v>
      </c>
      <c r="J39">
        <v>0.0</v>
      </c>
      <c r="K39">
        <v>0.0</v>
      </c>
      <c r="L39">
        <v>0.0</v>
      </c>
      <c r="M39">
        <v>0.0</v>
      </c>
      <c r="N39">
        <v>4.0</v>
      </c>
      <c r="O39">
        <v>1.0</v>
      </c>
      <c r="P39">
        <v>2.0</v>
      </c>
      <c r="Q39">
        <v>0.0</v>
      </c>
      <c r="R39" t="s">
        <v>2849</v>
      </c>
      <c r="S39" t="s">
        <v>2834</v>
      </c>
      <c r="T39" t="s">
        <v>2702</v>
      </c>
      <c r="U39" t="s">
        <v>2835</v>
      </c>
      <c r="V39" t="s">
        <v>2704</v>
      </c>
      <c r="W39" t="s">
        <v>1547</v>
      </c>
      <c r="X39" t="s">
        <v>3109</v>
      </c>
      <c r="Y39" t="s">
        <v>3110</v>
      </c>
      <c r="Z39" t="s">
        <v>3110</v>
      </c>
      <c r="AA39">
        <v>3.0</v>
      </c>
      <c r="AB39">
        <v>2.0</v>
      </c>
      <c r="AC39" t="s">
        <v>3117</v>
      </c>
    </row>
    <row r="40" ht="15.75" customHeight="1">
      <c r="A40" t="s">
        <v>3120</v>
      </c>
      <c r="B40" t="s">
        <v>3121</v>
      </c>
      <c r="C40" t="s">
        <v>584</v>
      </c>
      <c r="D40" t="s">
        <v>2831</v>
      </c>
      <c r="E40" t="s">
        <v>1678</v>
      </c>
      <c r="F40" t="s">
        <v>2780</v>
      </c>
      <c r="G40" t="s">
        <v>2832</v>
      </c>
      <c r="H40">
        <v>3.0</v>
      </c>
      <c r="I40">
        <v>10.0</v>
      </c>
      <c r="J40">
        <v>0.0</v>
      </c>
      <c r="K40">
        <v>0.0</v>
      </c>
      <c r="L40">
        <v>0.0</v>
      </c>
      <c r="M40">
        <v>0.0</v>
      </c>
      <c r="N40">
        <v>5.0</v>
      </c>
      <c r="O40">
        <v>2.0</v>
      </c>
      <c r="P40">
        <v>2.0</v>
      </c>
      <c r="Q40">
        <v>0.0</v>
      </c>
      <c r="R40" t="s">
        <v>2852</v>
      </c>
      <c r="S40" t="s">
        <v>2834</v>
      </c>
      <c r="T40" t="s">
        <v>2702</v>
      </c>
      <c r="U40" t="s">
        <v>2835</v>
      </c>
      <c r="V40" t="s">
        <v>2704</v>
      </c>
      <c r="W40" t="s">
        <v>1547</v>
      </c>
      <c r="X40" t="s">
        <v>3109</v>
      </c>
      <c r="Y40" t="s">
        <v>3110</v>
      </c>
      <c r="Z40" t="s">
        <v>3110</v>
      </c>
      <c r="AA40">
        <v>3.0</v>
      </c>
      <c r="AB40">
        <v>2.0</v>
      </c>
      <c r="AC40" t="s">
        <v>3117</v>
      </c>
    </row>
    <row r="41" ht="15.75" customHeight="1">
      <c r="A41" t="s">
        <v>3122</v>
      </c>
      <c r="B41" t="s">
        <v>3123</v>
      </c>
      <c r="C41" t="s">
        <v>569</v>
      </c>
      <c r="D41" t="s">
        <v>2855</v>
      </c>
      <c r="E41" t="s">
        <v>1678</v>
      </c>
      <c r="F41" t="s">
        <v>956</v>
      </c>
      <c r="G41" t="s">
        <v>2856</v>
      </c>
      <c r="H41">
        <v>1.0</v>
      </c>
      <c r="I41">
        <v>2.0</v>
      </c>
      <c r="J41">
        <v>1.0</v>
      </c>
      <c r="K41">
        <v>0.0</v>
      </c>
      <c r="L41">
        <v>0.0</v>
      </c>
      <c r="M41">
        <v>0.0</v>
      </c>
      <c r="N41">
        <v>0.0</v>
      </c>
      <c r="O41">
        <v>0.0</v>
      </c>
      <c r="P41">
        <v>0.0</v>
      </c>
      <c r="Q41">
        <v>0.0</v>
      </c>
      <c r="R41" t="s">
        <v>2857</v>
      </c>
      <c r="S41" t="s">
        <v>2858</v>
      </c>
      <c r="T41" t="s">
        <v>2702</v>
      </c>
      <c r="U41" t="s">
        <v>2859</v>
      </c>
      <c r="V41" t="s">
        <v>2704</v>
      </c>
      <c r="W41" t="s">
        <v>1547</v>
      </c>
      <c r="X41" t="s">
        <v>3124</v>
      </c>
      <c r="Y41" t="s">
        <v>3125</v>
      </c>
      <c r="Z41" t="s">
        <v>1602</v>
      </c>
      <c r="AA41">
        <v>0.0</v>
      </c>
      <c r="AB41">
        <v>0.0</v>
      </c>
      <c r="AC41" t="s">
        <v>2707</v>
      </c>
    </row>
    <row r="42" ht="15.75" customHeight="1">
      <c r="A42" t="s">
        <v>3126</v>
      </c>
      <c r="B42" t="s">
        <v>3127</v>
      </c>
      <c r="C42" t="s">
        <v>572</v>
      </c>
      <c r="D42" t="s">
        <v>2855</v>
      </c>
      <c r="E42" t="s">
        <v>1678</v>
      </c>
      <c r="F42" t="s">
        <v>956</v>
      </c>
      <c r="G42" t="s">
        <v>2856</v>
      </c>
      <c r="H42">
        <v>2.0</v>
      </c>
      <c r="I42">
        <v>2.0</v>
      </c>
      <c r="J42">
        <v>1.0</v>
      </c>
      <c r="K42">
        <v>0.0</v>
      </c>
      <c r="L42">
        <v>0.0</v>
      </c>
      <c r="M42">
        <v>0.0</v>
      </c>
      <c r="N42">
        <v>0.0</v>
      </c>
      <c r="O42">
        <v>1.0</v>
      </c>
      <c r="P42">
        <v>0.0</v>
      </c>
      <c r="Q42">
        <v>0.0</v>
      </c>
      <c r="R42" t="s">
        <v>2857</v>
      </c>
      <c r="S42" t="s">
        <v>2858</v>
      </c>
      <c r="T42" t="s">
        <v>2702</v>
      </c>
      <c r="U42" t="s">
        <v>2859</v>
      </c>
      <c r="V42" t="s">
        <v>2704</v>
      </c>
      <c r="W42" t="s">
        <v>1547</v>
      </c>
      <c r="X42" t="s">
        <v>3124</v>
      </c>
      <c r="Y42" t="s">
        <v>3125</v>
      </c>
      <c r="Z42" t="s">
        <v>3124</v>
      </c>
      <c r="AA42">
        <v>2.0</v>
      </c>
      <c r="AB42">
        <v>1.0</v>
      </c>
      <c r="AC42" t="s">
        <v>2763</v>
      </c>
    </row>
    <row r="43" ht="15.75" customHeight="1">
      <c r="A43" t="s">
        <v>3128</v>
      </c>
      <c r="B43" t="s">
        <v>3129</v>
      </c>
      <c r="C43" t="s">
        <v>575</v>
      </c>
      <c r="D43" t="s">
        <v>2855</v>
      </c>
      <c r="E43" t="s">
        <v>1678</v>
      </c>
      <c r="F43" t="s">
        <v>956</v>
      </c>
      <c r="G43" t="s">
        <v>2856</v>
      </c>
      <c r="H43">
        <v>2.0</v>
      </c>
      <c r="I43">
        <v>4.0</v>
      </c>
      <c r="J43">
        <v>2.0</v>
      </c>
      <c r="K43">
        <v>0.0</v>
      </c>
      <c r="L43">
        <v>0.0</v>
      </c>
      <c r="M43">
        <v>0.0</v>
      </c>
      <c r="N43">
        <v>0.0</v>
      </c>
      <c r="O43">
        <v>1.0</v>
      </c>
      <c r="P43">
        <v>0.0</v>
      </c>
      <c r="Q43">
        <v>0.0</v>
      </c>
      <c r="R43" t="s">
        <v>2866</v>
      </c>
      <c r="S43" t="s">
        <v>2867</v>
      </c>
      <c r="T43" t="s">
        <v>2702</v>
      </c>
      <c r="U43" t="s">
        <v>2859</v>
      </c>
      <c r="V43" t="s">
        <v>2704</v>
      </c>
      <c r="W43" t="s">
        <v>1547</v>
      </c>
      <c r="X43" t="s">
        <v>3124</v>
      </c>
      <c r="Y43" t="s">
        <v>3125</v>
      </c>
      <c r="Z43" t="s">
        <v>3124</v>
      </c>
      <c r="AA43">
        <v>2.0</v>
      </c>
      <c r="AB43">
        <v>1.0</v>
      </c>
      <c r="AC43" t="s">
        <v>2763</v>
      </c>
    </row>
    <row r="44" ht="15.75" customHeight="1">
      <c r="A44" t="s">
        <v>3130</v>
      </c>
      <c r="B44" t="s">
        <v>3131</v>
      </c>
      <c r="C44" t="s">
        <v>578</v>
      </c>
      <c r="D44" t="s">
        <v>2855</v>
      </c>
      <c r="E44" t="s">
        <v>1678</v>
      </c>
      <c r="F44" t="s">
        <v>956</v>
      </c>
      <c r="G44" t="s">
        <v>2856</v>
      </c>
      <c r="H44">
        <v>3.0</v>
      </c>
      <c r="I44">
        <v>5.0</v>
      </c>
      <c r="J44">
        <v>3.0</v>
      </c>
      <c r="K44">
        <v>0.0</v>
      </c>
      <c r="L44">
        <v>0.0</v>
      </c>
      <c r="M44">
        <v>1.0</v>
      </c>
      <c r="N44">
        <v>0.0</v>
      </c>
      <c r="O44">
        <v>1.0</v>
      </c>
      <c r="P44">
        <v>0.0</v>
      </c>
      <c r="Q44">
        <v>0.0</v>
      </c>
      <c r="R44" t="s">
        <v>2866</v>
      </c>
      <c r="S44" t="s">
        <v>2867</v>
      </c>
      <c r="T44" t="s">
        <v>2702</v>
      </c>
      <c r="U44" t="s">
        <v>2859</v>
      </c>
      <c r="V44" t="s">
        <v>2704</v>
      </c>
      <c r="W44" t="s">
        <v>1547</v>
      </c>
      <c r="X44" t="s">
        <v>3124</v>
      </c>
      <c r="Y44" t="s">
        <v>3125</v>
      </c>
      <c r="Z44" t="s">
        <v>3125</v>
      </c>
      <c r="AA44">
        <v>3.0</v>
      </c>
      <c r="AB44">
        <v>3.0</v>
      </c>
      <c r="AC44" t="s">
        <v>3070</v>
      </c>
    </row>
    <row r="45" ht="15.75" customHeight="1">
      <c r="A45" t="s">
        <v>3132</v>
      </c>
      <c r="B45" t="s">
        <v>3133</v>
      </c>
      <c r="C45" t="s">
        <v>581</v>
      </c>
      <c r="D45" t="s">
        <v>2855</v>
      </c>
      <c r="E45" t="s">
        <v>1678</v>
      </c>
      <c r="F45" t="s">
        <v>956</v>
      </c>
      <c r="G45" t="s">
        <v>2856</v>
      </c>
      <c r="H45">
        <v>5.0</v>
      </c>
      <c r="I45">
        <v>7.0</v>
      </c>
      <c r="J45">
        <v>4.0</v>
      </c>
      <c r="K45">
        <v>0.0</v>
      </c>
      <c r="L45">
        <v>0.0</v>
      </c>
      <c r="M45">
        <v>1.0</v>
      </c>
      <c r="N45">
        <v>0.0</v>
      </c>
      <c r="O45">
        <v>2.0</v>
      </c>
      <c r="P45">
        <v>0.0</v>
      </c>
      <c r="Q45">
        <v>0.0</v>
      </c>
      <c r="R45" t="s">
        <v>2866</v>
      </c>
      <c r="S45" t="s">
        <v>2872</v>
      </c>
      <c r="T45" t="s">
        <v>2702</v>
      </c>
      <c r="U45" t="s">
        <v>2859</v>
      </c>
      <c r="V45" t="s">
        <v>2704</v>
      </c>
      <c r="W45" t="s">
        <v>1547</v>
      </c>
      <c r="X45" t="s">
        <v>3124</v>
      </c>
      <c r="Y45" t="s">
        <v>3125</v>
      </c>
      <c r="Z45" t="s">
        <v>3125</v>
      </c>
      <c r="AA45">
        <v>3.0</v>
      </c>
      <c r="AB45">
        <v>3.0</v>
      </c>
      <c r="AC45" t="s">
        <v>3070</v>
      </c>
    </row>
    <row r="46" ht="15.75" customHeight="1">
      <c r="A46" t="s">
        <v>3134</v>
      </c>
      <c r="B46" t="s">
        <v>3135</v>
      </c>
      <c r="C46" t="s">
        <v>584</v>
      </c>
      <c r="D46" t="s">
        <v>2855</v>
      </c>
      <c r="E46" t="s">
        <v>1678</v>
      </c>
      <c r="F46" t="s">
        <v>956</v>
      </c>
      <c r="G46" t="s">
        <v>2856</v>
      </c>
      <c r="H46">
        <v>6.0</v>
      </c>
      <c r="I46">
        <v>10.0</v>
      </c>
      <c r="J46">
        <v>5.0</v>
      </c>
      <c r="K46">
        <v>0.0</v>
      </c>
      <c r="L46">
        <v>0.0</v>
      </c>
      <c r="M46">
        <v>2.0</v>
      </c>
      <c r="N46">
        <v>0.0</v>
      </c>
      <c r="O46">
        <v>2.0</v>
      </c>
      <c r="P46">
        <v>0.0</v>
      </c>
      <c r="Q46">
        <v>0.0</v>
      </c>
      <c r="R46" t="s">
        <v>2866</v>
      </c>
      <c r="S46" t="s">
        <v>2875</v>
      </c>
      <c r="T46" t="s">
        <v>2702</v>
      </c>
      <c r="U46" t="s">
        <v>2859</v>
      </c>
      <c r="V46" t="s">
        <v>2704</v>
      </c>
      <c r="W46" t="s">
        <v>1547</v>
      </c>
      <c r="X46" t="s">
        <v>3124</v>
      </c>
      <c r="Y46" t="s">
        <v>3125</v>
      </c>
      <c r="Z46" t="s">
        <v>3125</v>
      </c>
      <c r="AA46">
        <v>3.0</v>
      </c>
      <c r="AB46">
        <v>3.0</v>
      </c>
      <c r="AC46" t="s">
        <v>3070</v>
      </c>
    </row>
    <row r="47" ht="15.75" customHeight="1">
      <c r="A47" t="s">
        <v>3136</v>
      </c>
      <c r="B47" t="s">
        <v>3137</v>
      </c>
      <c r="C47" t="s">
        <v>569</v>
      </c>
      <c r="D47" t="s">
        <v>2878</v>
      </c>
      <c r="E47" t="s">
        <v>1678</v>
      </c>
      <c r="F47" t="s">
        <v>956</v>
      </c>
      <c r="G47" t="s">
        <v>2879</v>
      </c>
      <c r="H47">
        <v>0.0</v>
      </c>
      <c r="I47">
        <v>3.0</v>
      </c>
      <c r="J47">
        <v>0.0</v>
      </c>
      <c r="K47">
        <v>0.0</v>
      </c>
      <c r="L47">
        <v>0.0</v>
      </c>
      <c r="M47">
        <v>0.0</v>
      </c>
      <c r="N47">
        <v>0.0</v>
      </c>
      <c r="O47">
        <v>1.0</v>
      </c>
      <c r="P47">
        <v>0.0</v>
      </c>
      <c r="Q47">
        <v>0.0</v>
      </c>
      <c r="R47" t="s">
        <v>2880</v>
      </c>
      <c r="S47" t="s">
        <v>2881</v>
      </c>
      <c r="T47" t="s">
        <v>2702</v>
      </c>
      <c r="U47" t="s">
        <v>2882</v>
      </c>
      <c r="V47" t="s">
        <v>2704</v>
      </c>
      <c r="W47" t="s">
        <v>1547</v>
      </c>
      <c r="X47" t="s">
        <v>3138</v>
      </c>
      <c r="Y47" t="s">
        <v>3139</v>
      </c>
      <c r="Z47" t="s">
        <v>1602</v>
      </c>
      <c r="AA47">
        <v>0.0</v>
      </c>
      <c r="AB47">
        <v>0.0</v>
      </c>
      <c r="AC47" t="s">
        <v>2707</v>
      </c>
    </row>
    <row r="48" ht="15.75" customHeight="1">
      <c r="A48" t="s">
        <v>3140</v>
      </c>
      <c r="B48" t="s">
        <v>3141</v>
      </c>
      <c r="C48" t="s">
        <v>572</v>
      </c>
      <c r="D48" t="s">
        <v>2878</v>
      </c>
      <c r="E48" t="s">
        <v>1678</v>
      </c>
      <c r="F48" t="s">
        <v>956</v>
      </c>
      <c r="G48" t="s">
        <v>2879</v>
      </c>
      <c r="H48">
        <v>1.0</v>
      </c>
      <c r="I48">
        <v>3.0</v>
      </c>
      <c r="J48">
        <v>0.0</v>
      </c>
      <c r="K48">
        <v>0.0</v>
      </c>
      <c r="L48">
        <v>0.0</v>
      </c>
      <c r="M48">
        <v>0.0</v>
      </c>
      <c r="N48">
        <v>1.0</v>
      </c>
      <c r="O48">
        <v>1.0</v>
      </c>
      <c r="P48">
        <v>0.0</v>
      </c>
      <c r="Q48">
        <v>0.0</v>
      </c>
      <c r="R48" t="s">
        <v>2880</v>
      </c>
      <c r="S48" t="s">
        <v>2881</v>
      </c>
      <c r="T48" t="s">
        <v>2702</v>
      </c>
      <c r="U48" t="s">
        <v>2882</v>
      </c>
      <c r="V48" t="s">
        <v>2704</v>
      </c>
      <c r="W48" t="s">
        <v>1547</v>
      </c>
      <c r="X48" t="s">
        <v>3138</v>
      </c>
      <c r="Y48" t="s">
        <v>3139</v>
      </c>
      <c r="Z48" t="s">
        <v>3138</v>
      </c>
      <c r="AA48">
        <v>2.0</v>
      </c>
      <c r="AB48">
        <v>1.0</v>
      </c>
      <c r="AC48" t="s">
        <v>2887</v>
      </c>
    </row>
    <row r="49" ht="15.75" customHeight="1">
      <c r="A49" t="s">
        <v>3142</v>
      </c>
      <c r="B49" t="s">
        <v>3143</v>
      </c>
      <c r="C49" t="s">
        <v>575</v>
      </c>
      <c r="D49" t="s">
        <v>2878</v>
      </c>
      <c r="E49" t="s">
        <v>1678</v>
      </c>
      <c r="F49" t="s">
        <v>956</v>
      </c>
      <c r="G49" t="s">
        <v>2879</v>
      </c>
      <c r="H49">
        <v>1.0</v>
      </c>
      <c r="I49">
        <v>5.0</v>
      </c>
      <c r="J49">
        <v>0.0</v>
      </c>
      <c r="K49">
        <v>0.0</v>
      </c>
      <c r="L49">
        <v>0.0</v>
      </c>
      <c r="M49">
        <v>0.0</v>
      </c>
      <c r="N49">
        <v>1.0</v>
      </c>
      <c r="O49">
        <v>2.0</v>
      </c>
      <c r="P49">
        <v>0.0</v>
      </c>
      <c r="Q49">
        <v>0.0</v>
      </c>
      <c r="R49" t="s">
        <v>2890</v>
      </c>
      <c r="S49" t="s">
        <v>2881</v>
      </c>
      <c r="T49" t="s">
        <v>2702</v>
      </c>
      <c r="U49" t="s">
        <v>2882</v>
      </c>
      <c r="V49" t="s">
        <v>2704</v>
      </c>
      <c r="W49" t="s">
        <v>1547</v>
      </c>
      <c r="X49" t="s">
        <v>3138</v>
      </c>
      <c r="Y49" t="s">
        <v>3139</v>
      </c>
      <c r="Z49" t="s">
        <v>3138</v>
      </c>
      <c r="AA49">
        <v>2.0</v>
      </c>
      <c r="AB49">
        <v>1.0</v>
      </c>
      <c r="AC49" t="s">
        <v>2887</v>
      </c>
    </row>
    <row r="50" ht="15.75" customHeight="1">
      <c r="A50" t="s">
        <v>3144</v>
      </c>
      <c r="B50" t="s">
        <v>3145</v>
      </c>
      <c r="C50" t="s">
        <v>578</v>
      </c>
      <c r="D50" t="s">
        <v>2878</v>
      </c>
      <c r="E50" t="s">
        <v>1678</v>
      </c>
      <c r="F50" t="s">
        <v>956</v>
      </c>
      <c r="G50" t="s">
        <v>2879</v>
      </c>
      <c r="H50">
        <v>2.0</v>
      </c>
      <c r="I50">
        <v>6.0</v>
      </c>
      <c r="J50">
        <v>1.0</v>
      </c>
      <c r="K50">
        <v>0.0</v>
      </c>
      <c r="L50">
        <v>0.0</v>
      </c>
      <c r="M50">
        <v>0.0</v>
      </c>
      <c r="N50">
        <v>1.0</v>
      </c>
      <c r="O50">
        <v>3.0</v>
      </c>
      <c r="P50">
        <v>0.0</v>
      </c>
      <c r="Q50">
        <v>0.0</v>
      </c>
      <c r="R50" t="s">
        <v>2890</v>
      </c>
      <c r="S50" t="s">
        <v>2881</v>
      </c>
      <c r="T50" t="s">
        <v>2702</v>
      </c>
      <c r="U50" t="s">
        <v>2882</v>
      </c>
      <c r="V50" t="s">
        <v>2704</v>
      </c>
      <c r="W50" t="s">
        <v>1547</v>
      </c>
      <c r="X50" t="s">
        <v>3138</v>
      </c>
      <c r="Y50" t="s">
        <v>3139</v>
      </c>
      <c r="Z50" t="s">
        <v>3139</v>
      </c>
      <c r="AA50">
        <v>3.0</v>
      </c>
      <c r="AB50">
        <v>2.0</v>
      </c>
      <c r="AC50" t="s">
        <v>3146</v>
      </c>
    </row>
    <row r="51" ht="15.75" customHeight="1">
      <c r="A51" t="s">
        <v>3147</v>
      </c>
      <c r="B51" t="s">
        <v>3148</v>
      </c>
      <c r="C51" t="s">
        <v>581</v>
      </c>
      <c r="D51" t="s">
        <v>2878</v>
      </c>
      <c r="E51" t="s">
        <v>1678</v>
      </c>
      <c r="F51" t="s">
        <v>956</v>
      </c>
      <c r="G51" t="s">
        <v>2879</v>
      </c>
      <c r="H51">
        <v>3.0</v>
      </c>
      <c r="I51">
        <v>9.0</v>
      </c>
      <c r="J51">
        <v>1.0</v>
      </c>
      <c r="K51">
        <v>0.0</v>
      </c>
      <c r="L51">
        <v>0.0</v>
      </c>
      <c r="M51">
        <v>0.0</v>
      </c>
      <c r="N51">
        <v>2.0</v>
      </c>
      <c r="O51">
        <v>4.0</v>
      </c>
      <c r="P51">
        <v>0.0</v>
      </c>
      <c r="Q51">
        <v>0.0</v>
      </c>
      <c r="R51" t="s">
        <v>2896</v>
      </c>
      <c r="S51" t="s">
        <v>2881</v>
      </c>
      <c r="T51" t="s">
        <v>2702</v>
      </c>
      <c r="U51" t="s">
        <v>2882</v>
      </c>
      <c r="V51" t="s">
        <v>2704</v>
      </c>
      <c r="W51" t="s">
        <v>1547</v>
      </c>
      <c r="X51" t="s">
        <v>3138</v>
      </c>
      <c r="Y51" t="s">
        <v>3139</v>
      </c>
      <c r="Z51" t="s">
        <v>3139</v>
      </c>
      <c r="AA51">
        <v>3.0</v>
      </c>
      <c r="AB51">
        <v>2.0</v>
      </c>
      <c r="AC51" t="s">
        <v>3146</v>
      </c>
    </row>
    <row r="52" ht="15.75" customHeight="1">
      <c r="A52" t="s">
        <v>3149</v>
      </c>
      <c r="B52" t="s">
        <v>3150</v>
      </c>
      <c r="C52" t="s">
        <v>584</v>
      </c>
      <c r="D52" t="s">
        <v>2878</v>
      </c>
      <c r="E52" t="s">
        <v>1678</v>
      </c>
      <c r="F52" t="s">
        <v>956</v>
      </c>
      <c r="G52" t="s">
        <v>2879</v>
      </c>
      <c r="H52">
        <v>4.0</v>
      </c>
      <c r="I52">
        <v>12.0</v>
      </c>
      <c r="J52">
        <v>2.0</v>
      </c>
      <c r="K52">
        <v>0.0</v>
      </c>
      <c r="L52">
        <v>0.0</v>
      </c>
      <c r="M52">
        <v>0.0</v>
      </c>
      <c r="N52">
        <v>2.0</v>
      </c>
      <c r="O52">
        <v>5.0</v>
      </c>
      <c r="P52">
        <v>0.0</v>
      </c>
      <c r="Q52">
        <v>0.0</v>
      </c>
      <c r="R52" t="s">
        <v>2899</v>
      </c>
      <c r="S52" t="s">
        <v>2881</v>
      </c>
      <c r="T52" t="s">
        <v>2702</v>
      </c>
      <c r="U52" t="s">
        <v>2882</v>
      </c>
      <c r="V52" t="s">
        <v>2704</v>
      </c>
      <c r="W52" t="s">
        <v>1547</v>
      </c>
      <c r="X52" t="s">
        <v>3138</v>
      </c>
      <c r="Y52" t="s">
        <v>3139</v>
      </c>
      <c r="Z52" t="s">
        <v>3139</v>
      </c>
      <c r="AA52">
        <v>3.0</v>
      </c>
      <c r="AB52">
        <v>2.0</v>
      </c>
      <c r="AC52" t="s">
        <v>3146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2" width="8.71"/>
  </cols>
  <sheetData>
    <row r="1">
      <c r="A1" t="s">
        <v>3151</v>
      </c>
    </row>
    <row r="4">
      <c r="A4" t="s">
        <v>2468</v>
      </c>
      <c r="B4" t="s">
        <v>2469</v>
      </c>
      <c r="C4" t="s">
        <v>133</v>
      </c>
      <c r="D4" t="s">
        <v>2104</v>
      </c>
      <c r="E4" t="s">
        <v>1970</v>
      </c>
      <c r="F4" t="s">
        <v>82</v>
      </c>
      <c r="G4" t="s">
        <v>89</v>
      </c>
      <c r="H4" t="s">
        <v>94</v>
      </c>
      <c r="I4" t="s">
        <v>106</v>
      </c>
      <c r="J4" t="s">
        <v>98</v>
      </c>
      <c r="K4" t="s">
        <v>111</v>
      </c>
      <c r="L4" t="s">
        <v>101</v>
      </c>
      <c r="M4" t="s">
        <v>919</v>
      </c>
      <c r="N4" t="s">
        <v>3152</v>
      </c>
      <c r="O4" t="s">
        <v>2347</v>
      </c>
      <c r="P4" t="s">
        <v>6</v>
      </c>
      <c r="Q4" t="s">
        <v>2691</v>
      </c>
      <c r="R4" t="s">
        <v>2692</v>
      </c>
      <c r="S4" t="s">
        <v>2310</v>
      </c>
      <c r="T4" t="s">
        <v>2693</v>
      </c>
      <c r="U4" t="s">
        <v>1180</v>
      </c>
      <c r="V4" t="s">
        <v>2694</v>
      </c>
    </row>
    <row r="5">
      <c r="A5" t="s">
        <v>3153</v>
      </c>
      <c r="B5" t="s">
        <v>3154</v>
      </c>
      <c r="C5" t="s">
        <v>569</v>
      </c>
      <c r="D5" t="s">
        <v>1680</v>
      </c>
      <c r="E5" t="s">
        <v>3154</v>
      </c>
      <c r="F5">
        <v>0.0</v>
      </c>
      <c r="G5">
        <v>0.0</v>
      </c>
      <c r="H5">
        <v>0.0</v>
      </c>
      <c r="I5">
        <v>0.0</v>
      </c>
      <c r="J5">
        <v>0.0</v>
      </c>
      <c r="K5">
        <v>0.0</v>
      </c>
      <c r="L5">
        <v>1.0</v>
      </c>
      <c r="M5">
        <v>0.0</v>
      </c>
      <c r="N5">
        <v>0.0</v>
      </c>
      <c r="O5" t="s">
        <v>3155</v>
      </c>
      <c r="P5" t="s">
        <v>3156</v>
      </c>
      <c r="Q5" t="s">
        <v>3157</v>
      </c>
      <c r="R5" t="s">
        <v>3158</v>
      </c>
      <c r="S5" t="s">
        <v>1602</v>
      </c>
      <c r="T5">
        <v>0.0</v>
      </c>
      <c r="U5">
        <v>0.0</v>
      </c>
      <c r="V5" t="s">
        <v>2707</v>
      </c>
    </row>
    <row r="6">
      <c r="A6" t="s">
        <v>3159</v>
      </c>
      <c r="B6" t="s">
        <v>3160</v>
      </c>
      <c r="C6" t="s">
        <v>572</v>
      </c>
      <c r="D6" t="s">
        <v>1680</v>
      </c>
      <c r="E6" t="s">
        <v>3154</v>
      </c>
      <c r="F6">
        <v>0.0</v>
      </c>
      <c r="G6">
        <v>0.0</v>
      </c>
      <c r="H6">
        <v>0.0</v>
      </c>
      <c r="I6">
        <v>0.0</v>
      </c>
      <c r="J6">
        <v>0.0</v>
      </c>
      <c r="K6">
        <v>0.0</v>
      </c>
      <c r="L6">
        <v>1.0</v>
      </c>
      <c r="M6">
        <v>0.0</v>
      </c>
      <c r="N6">
        <v>0.0</v>
      </c>
      <c r="O6" t="s">
        <v>3155</v>
      </c>
      <c r="P6" t="s">
        <v>3156</v>
      </c>
      <c r="Q6" t="s">
        <v>3157</v>
      </c>
      <c r="R6" t="s">
        <v>3158</v>
      </c>
      <c r="S6" t="s">
        <v>3157</v>
      </c>
      <c r="T6">
        <v>2.0</v>
      </c>
      <c r="U6">
        <v>0.0</v>
      </c>
      <c r="V6" t="s">
        <v>3161</v>
      </c>
    </row>
    <row r="7">
      <c r="A7" t="s">
        <v>3162</v>
      </c>
      <c r="B7" t="s">
        <v>3163</v>
      </c>
      <c r="C7" t="s">
        <v>575</v>
      </c>
      <c r="D7" t="s">
        <v>1680</v>
      </c>
      <c r="E7" t="s">
        <v>3154</v>
      </c>
      <c r="F7">
        <v>0.0</v>
      </c>
      <c r="G7">
        <v>0.0</v>
      </c>
      <c r="H7">
        <v>1.0</v>
      </c>
      <c r="I7">
        <v>0.0</v>
      </c>
      <c r="J7">
        <v>0.0</v>
      </c>
      <c r="K7">
        <v>0.0</v>
      </c>
      <c r="L7">
        <v>1.0</v>
      </c>
      <c r="M7">
        <v>0.0</v>
      </c>
      <c r="N7">
        <v>0.0</v>
      </c>
      <c r="O7" t="s">
        <v>3155</v>
      </c>
      <c r="P7" t="s">
        <v>3156</v>
      </c>
      <c r="Q7" t="s">
        <v>3157</v>
      </c>
      <c r="R7" t="s">
        <v>3158</v>
      </c>
      <c r="S7" t="s">
        <v>3157</v>
      </c>
      <c r="T7">
        <v>2.0</v>
      </c>
      <c r="U7">
        <v>0.0</v>
      </c>
      <c r="V7" t="s">
        <v>3161</v>
      </c>
    </row>
    <row r="8">
      <c r="A8" t="s">
        <v>3164</v>
      </c>
      <c r="B8" t="s">
        <v>3165</v>
      </c>
      <c r="C8" t="s">
        <v>578</v>
      </c>
      <c r="D8" t="s">
        <v>1680</v>
      </c>
      <c r="E8" t="s">
        <v>3154</v>
      </c>
      <c r="F8">
        <v>0.0</v>
      </c>
      <c r="G8">
        <v>0.0</v>
      </c>
      <c r="H8">
        <v>1.0</v>
      </c>
      <c r="I8">
        <v>0.0</v>
      </c>
      <c r="J8">
        <v>0.0</v>
      </c>
      <c r="K8">
        <v>0.0</v>
      </c>
      <c r="L8">
        <v>2.0</v>
      </c>
      <c r="M8">
        <v>0.0</v>
      </c>
      <c r="N8">
        <v>0.0</v>
      </c>
      <c r="O8" t="s">
        <v>3155</v>
      </c>
      <c r="P8" t="s">
        <v>3156</v>
      </c>
      <c r="Q8" t="s">
        <v>3157</v>
      </c>
      <c r="R8" t="s">
        <v>3158</v>
      </c>
      <c r="S8" t="s">
        <v>3158</v>
      </c>
      <c r="T8">
        <v>3.0</v>
      </c>
      <c r="U8">
        <v>1.0</v>
      </c>
      <c r="V8" t="s">
        <v>3166</v>
      </c>
    </row>
    <row r="9">
      <c r="A9" t="s">
        <v>3167</v>
      </c>
      <c r="B9" t="s">
        <v>3168</v>
      </c>
      <c r="C9" t="s">
        <v>581</v>
      </c>
      <c r="D9" t="s">
        <v>1680</v>
      </c>
      <c r="E9" t="s">
        <v>3154</v>
      </c>
      <c r="F9">
        <v>0.0</v>
      </c>
      <c r="G9">
        <v>0.0</v>
      </c>
      <c r="H9">
        <v>1.0</v>
      </c>
      <c r="I9">
        <v>0.0</v>
      </c>
      <c r="J9">
        <v>0.0</v>
      </c>
      <c r="K9">
        <v>1.0</v>
      </c>
      <c r="L9">
        <v>2.0</v>
      </c>
      <c r="M9">
        <v>0.0</v>
      </c>
      <c r="N9">
        <v>0.0</v>
      </c>
      <c r="O9" t="s">
        <v>3155</v>
      </c>
      <c r="P9" t="s">
        <v>3156</v>
      </c>
      <c r="Q9" t="s">
        <v>3157</v>
      </c>
      <c r="R9" t="s">
        <v>3158</v>
      </c>
      <c r="S9" t="s">
        <v>3158</v>
      </c>
      <c r="T9">
        <v>3.0</v>
      </c>
      <c r="U9">
        <v>1.0</v>
      </c>
      <c r="V9" t="s">
        <v>3166</v>
      </c>
    </row>
    <row r="10">
      <c r="A10" t="s">
        <v>3169</v>
      </c>
      <c r="B10" t="s">
        <v>3170</v>
      </c>
      <c r="C10" t="s">
        <v>584</v>
      </c>
      <c r="D10" t="s">
        <v>1680</v>
      </c>
      <c r="E10" t="s">
        <v>3154</v>
      </c>
      <c r="F10">
        <v>0.0</v>
      </c>
      <c r="G10">
        <v>0.0</v>
      </c>
      <c r="H10">
        <v>1.0</v>
      </c>
      <c r="I10">
        <v>0.0</v>
      </c>
      <c r="J10">
        <v>0.0</v>
      </c>
      <c r="K10">
        <v>1.0</v>
      </c>
      <c r="L10">
        <v>3.0</v>
      </c>
      <c r="M10">
        <v>0.0</v>
      </c>
      <c r="N10">
        <v>0.0</v>
      </c>
      <c r="O10" t="s">
        <v>3155</v>
      </c>
      <c r="P10" t="s">
        <v>3156</v>
      </c>
      <c r="Q10" t="s">
        <v>3157</v>
      </c>
      <c r="R10" t="s">
        <v>3158</v>
      </c>
      <c r="S10" t="s">
        <v>3158</v>
      </c>
      <c r="T10">
        <v>3.0</v>
      </c>
      <c r="U10">
        <v>1.0</v>
      </c>
      <c r="V10" t="s">
        <v>3166</v>
      </c>
    </row>
    <row r="11">
      <c r="A11" t="s">
        <v>3171</v>
      </c>
      <c r="B11" t="s">
        <v>3172</v>
      </c>
      <c r="C11" t="s">
        <v>569</v>
      </c>
      <c r="D11" t="s">
        <v>1680</v>
      </c>
      <c r="E11" t="s">
        <v>3172</v>
      </c>
      <c r="F11">
        <v>0.0</v>
      </c>
      <c r="G11">
        <v>1.0</v>
      </c>
      <c r="H11">
        <v>0.0</v>
      </c>
      <c r="I11">
        <v>0.0</v>
      </c>
      <c r="J11">
        <v>0.0</v>
      </c>
      <c r="K11">
        <v>0.0</v>
      </c>
      <c r="L11">
        <v>0.0</v>
      </c>
      <c r="M11">
        <v>0.0</v>
      </c>
      <c r="N11">
        <v>0.0</v>
      </c>
      <c r="O11" t="s">
        <v>3173</v>
      </c>
      <c r="P11" t="s">
        <v>3156</v>
      </c>
      <c r="Q11" t="s">
        <v>3174</v>
      </c>
      <c r="R11" t="s">
        <v>3175</v>
      </c>
      <c r="S11" t="s">
        <v>1602</v>
      </c>
      <c r="T11">
        <v>0.0</v>
      </c>
      <c r="U11">
        <v>0.0</v>
      </c>
      <c r="V11" t="s">
        <v>2707</v>
      </c>
    </row>
    <row r="12">
      <c r="A12" t="s">
        <v>3176</v>
      </c>
      <c r="B12" t="s">
        <v>3177</v>
      </c>
      <c r="C12" t="s">
        <v>572</v>
      </c>
      <c r="D12" t="s">
        <v>1680</v>
      </c>
      <c r="E12" t="s">
        <v>3172</v>
      </c>
      <c r="F12">
        <v>0.0</v>
      </c>
      <c r="G12">
        <v>1.0</v>
      </c>
      <c r="H12">
        <v>0.0</v>
      </c>
      <c r="I12">
        <v>0.0</v>
      </c>
      <c r="J12">
        <v>0.0</v>
      </c>
      <c r="K12">
        <v>0.0</v>
      </c>
      <c r="L12">
        <v>0.0</v>
      </c>
      <c r="M12">
        <v>0.0</v>
      </c>
      <c r="N12">
        <v>0.0</v>
      </c>
      <c r="O12" t="s">
        <v>3173</v>
      </c>
      <c r="P12" t="s">
        <v>3156</v>
      </c>
      <c r="Q12" t="s">
        <v>3174</v>
      </c>
      <c r="R12" t="s">
        <v>3175</v>
      </c>
      <c r="S12" t="s">
        <v>3174</v>
      </c>
      <c r="T12">
        <v>2.0</v>
      </c>
      <c r="U12">
        <v>0.0</v>
      </c>
      <c r="V12" t="s">
        <v>2971</v>
      </c>
    </row>
    <row r="13">
      <c r="A13" t="s">
        <v>3178</v>
      </c>
      <c r="B13" t="s">
        <v>3179</v>
      </c>
      <c r="C13" t="s">
        <v>575</v>
      </c>
      <c r="D13" t="s">
        <v>1680</v>
      </c>
      <c r="E13" t="s">
        <v>3172</v>
      </c>
      <c r="F13">
        <v>0.0</v>
      </c>
      <c r="G13">
        <v>1.0</v>
      </c>
      <c r="H13">
        <v>0.0</v>
      </c>
      <c r="I13">
        <v>1.0</v>
      </c>
      <c r="J13">
        <v>0.0</v>
      </c>
      <c r="K13">
        <v>0.0</v>
      </c>
      <c r="L13">
        <v>0.0</v>
      </c>
      <c r="M13">
        <v>0.0</v>
      </c>
      <c r="N13">
        <v>0.0</v>
      </c>
      <c r="O13" t="s">
        <v>3173</v>
      </c>
      <c r="P13" t="s">
        <v>3156</v>
      </c>
      <c r="Q13" t="s">
        <v>3174</v>
      </c>
      <c r="R13" t="s">
        <v>3175</v>
      </c>
      <c r="S13" t="s">
        <v>3174</v>
      </c>
      <c r="T13">
        <v>2.0</v>
      </c>
      <c r="U13">
        <v>0.0</v>
      </c>
      <c r="V13" t="s">
        <v>2971</v>
      </c>
    </row>
    <row r="14">
      <c r="A14" t="s">
        <v>3180</v>
      </c>
      <c r="B14" t="s">
        <v>3181</v>
      </c>
      <c r="C14" t="s">
        <v>578</v>
      </c>
      <c r="D14" t="s">
        <v>1680</v>
      </c>
      <c r="E14" t="s">
        <v>3172</v>
      </c>
      <c r="F14">
        <v>0.0</v>
      </c>
      <c r="G14">
        <v>2.0</v>
      </c>
      <c r="H14">
        <v>0.0</v>
      </c>
      <c r="I14">
        <v>1.0</v>
      </c>
      <c r="J14">
        <v>0.0</v>
      </c>
      <c r="K14">
        <v>0.0</v>
      </c>
      <c r="L14">
        <v>0.0</v>
      </c>
      <c r="M14">
        <v>0.0</v>
      </c>
      <c r="N14">
        <v>0.0</v>
      </c>
      <c r="O14" t="s">
        <v>3173</v>
      </c>
      <c r="P14" t="s">
        <v>3156</v>
      </c>
      <c r="Q14" t="s">
        <v>3174</v>
      </c>
      <c r="R14" t="s">
        <v>3175</v>
      </c>
      <c r="S14" t="s">
        <v>3175</v>
      </c>
      <c r="T14">
        <v>3.0</v>
      </c>
      <c r="U14">
        <v>1.0</v>
      </c>
      <c r="V14" t="s">
        <v>3182</v>
      </c>
    </row>
    <row r="15">
      <c r="A15" t="s">
        <v>3183</v>
      </c>
      <c r="B15" t="s">
        <v>3184</v>
      </c>
      <c r="C15" t="s">
        <v>581</v>
      </c>
      <c r="D15" t="s">
        <v>1680</v>
      </c>
      <c r="E15" t="s">
        <v>3172</v>
      </c>
      <c r="F15">
        <v>1.0</v>
      </c>
      <c r="G15">
        <v>2.0</v>
      </c>
      <c r="H15">
        <v>0.0</v>
      </c>
      <c r="I15">
        <v>1.0</v>
      </c>
      <c r="J15">
        <v>0.0</v>
      </c>
      <c r="K15">
        <v>0.0</v>
      </c>
      <c r="L15">
        <v>0.0</v>
      </c>
      <c r="M15">
        <v>0.0</v>
      </c>
      <c r="N15">
        <v>0.0</v>
      </c>
      <c r="O15" t="s">
        <v>3173</v>
      </c>
      <c r="P15" t="s">
        <v>3156</v>
      </c>
      <c r="Q15" t="s">
        <v>3174</v>
      </c>
      <c r="R15" t="s">
        <v>3175</v>
      </c>
      <c r="S15" t="s">
        <v>3175</v>
      </c>
      <c r="T15">
        <v>3.0</v>
      </c>
      <c r="U15">
        <v>1.0</v>
      </c>
      <c r="V15" t="s">
        <v>3182</v>
      </c>
    </row>
    <row r="16">
      <c r="A16" t="s">
        <v>3185</v>
      </c>
      <c r="B16" t="s">
        <v>3186</v>
      </c>
      <c r="C16" t="s">
        <v>584</v>
      </c>
      <c r="D16" t="s">
        <v>1680</v>
      </c>
      <c r="E16" t="s">
        <v>3172</v>
      </c>
      <c r="F16">
        <v>1.0</v>
      </c>
      <c r="G16">
        <v>3.0</v>
      </c>
      <c r="H16">
        <v>0.0</v>
      </c>
      <c r="I16">
        <v>1.0</v>
      </c>
      <c r="J16">
        <v>0.0</v>
      </c>
      <c r="K16">
        <v>0.0</v>
      </c>
      <c r="L16">
        <v>0.0</v>
      </c>
      <c r="M16">
        <v>0.0</v>
      </c>
      <c r="N16">
        <v>0.0</v>
      </c>
      <c r="O16" t="s">
        <v>3173</v>
      </c>
      <c r="P16" t="s">
        <v>3156</v>
      </c>
      <c r="Q16" t="s">
        <v>3174</v>
      </c>
      <c r="R16" t="s">
        <v>3175</v>
      </c>
      <c r="S16" t="s">
        <v>3175</v>
      </c>
      <c r="T16">
        <v>3.0</v>
      </c>
      <c r="U16">
        <v>1.0</v>
      </c>
      <c r="V16" t="s">
        <v>3182</v>
      </c>
    </row>
    <row r="17">
      <c r="A17" t="s">
        <v>3187</v>
      </c>
      <c r="B17" t="s">
        <v>3188</v>
      </c>
      <c r="C17" t="s">
        <v>569</v>
      </c>
      <c r="D17" t="s">
        <v>1680</v>
      </c>
      <c r="E17" t="s">
        <v>3188</v>
      </c>
      <c r="F17">
        <v>0.0</v>
      </c>
      <c r="G17">
        <v>0.0</v>
      </c>
      <c r="H17">
        <v>0.0</v>
      </c>
      <c r="I17">
        <v>0.0</v>
      </c>
      <c r="J17">
        <v>1.0</v>
      </c>
      <c r="K17">
        <v>0.0</v>
      </c>
      <c r="L17">
        <v>0.0</v>
      </c>
      <c r="M17">
        <v>0.0</v>
      </c>
      <c r="N17">
        <v>0.0</v>
      </c>
      <c r="O17" t="s">
        <v>3189</v>
      </c>
      <c r="P17" t="s">
        <v>3156</v>
      </c>
      <c r="Q17" t="s">
        <v>3190</v>
      </c>
      <c r="R17" t="s">
        <v>3191</v>
      </c>
      <c r="S17" t="s">
        <v>1602</v>
      </c>
      <c r="T17">
        <v>0.0</v>
      </c>
      <c r="U17">
        <v>0.0</v>
      </c>
      <c r="V17" t="s">
        <v>2707</v>
      </c>
    </row>
    <row r="18">
      <c r="A18" t="s">
        <v>3192</v>
      </c>
      <c r="B18" t="s">
        <v>3193</v>
      </c>
      <c r="C18" t="s">
        <v>572</v>
      </c>
      <c r="D18" t="s">
        <v>1680</v>
      </c>
      <c r="E18" t="s">
        <v>3188</v>
      </c>
      <c r="F18">
        <v>0.0</v>
      </c>
      <c r="G18">
        <v>0.0</v>
      </c>
      <c r="H18">
        <v>0.0</v>
      </c>
      <c r="I18">
        <v>0.0</v>
      </c>
      <c r="J18">
        <v>1.0</v>
      </c>
      <c r="K18">
        <v>0.0</v>
      </c>
      <c r="L18">
        <v>0.0</v>
      </c>
      <c r="M18">
        <v>0.0</v>
      </c>
      <c r="N18">
        <v>0.0</v>
      </c>
      <c r="O18" t="s">
        <v>3189</v>
      </c>
      <c r="P18" t="s">
        <v>3156</v>
      </c>
      <c r="Q18" t="s">
        <v>3190</v>
      </c>
      <c r="R18" t="s">
        <v>3191</v>
      </c>
      <c r="S18" t="s">
        <v>3190</v>
      </c>
      <c r="T18">
        <v>2.0</v>
      </c>
      <c r="U18">
        <v>1.0</v>
      </c>
      <c r="V18" t="s">
        <v>2840</v>
      </c>
    </row>
    <row r="19">
      <c r="A19" t="s">
        <v>3194</v>
      </c>
      <c r="B19" t="s">
        <v>3195</v>
      </c>
      <c r="C19" t="s">
        <v>575</v>
      </c>
      <c r="D19" t="s">
        <v>1680</v>
      </c>
      <c r="E19" t="s">
        <v>3188</v>
      </c>
      <c r="F19">
        <v>0.0</v>
      </c>
      <c r="G19">
        <v>0.0</v>
      </c>
      <c r="H19">
        <v>0.0</v>
      </c>
      <c r="I19">
        <v>0.0</v>
      </c>
      <c r="J19">
        <v>1.0</v>
      </c>
      <c r="K19">
        <v>1.0</v>
      </c>
      <c r="L19">
        <v>0.0</v>
      </c>
      <c r="M19">
        <v>0.0</v>
      </c>
      <c r="N19">
        <v>0.0</v>
      </c>
      <c r="O19" t="s">
        <v>3189</v>
      </c>
      <c r="P19" t="s">
        <v>3156</v>
      </c>
      <c r="Q19" t="s">
        <v>3190</v>
      </c>
      <c r="R19" t="s">
        <v>3191</v>
      </c>
      <c r="S19" t="s">
        <v>3190</v>
      </c>
      <c r="T19">
        <v>2.0</v>
      </c>
      <c r="U19">
        <v>1.0</v>
      </c>
      <c r="V19" t="s">
        <v>2840</v>
      </c>
    </row>
    <row r="20">
      <c r="A20" t="s">
        <v>3196</v>
      </c>
      <c r="B20" t="s">
        <v>3197</v>
      </c>
      <c r="C20" t="s">
        <v>578</v>
      </c>
      <c r="D20" t="s">
        <v>1680</v>
      </c>
      <c r="E20" t="s">
        <v>3188</v>
      </c>
      <c r="F20">
        <v>0.0</v>
      </c>
      <c r="G20">
        <v>0.0</v>
      </c>
      <c r="H20">
        <v>0.0</v>
      </c>
      <c r="I20">
        <v>0.0</v>
      </c>
      <c r="J20">
        <v>2.0</v>
      </c>
      <c r="K20">
        <v>1.0</v>
      </c>
      <c r="L20">
        <v>0.0</v>
      </c>
      <c r="M20">
        <v>0.0</v>
      </c>
      <c r="N20">
        <v>0.0</v>
      </c>
      <c r="O20" t="s">
        <v>3189</v>
      </c>
      <c r="P20" t="s">
        <v>3156</v>
      </c>
      <c r="Q20" t="s">
        <v>3190</v>
      </c>
      <c r="R20" t="s">
        <v>3191</v>
      </c>
      <c r="S20" t="s">
        <v>3191</v>
      </c>
      <c r="T20">
        <v>3.0</v>
      </c>
      <c r="U20">
        <v>2.0</v>
      </c>
      <c r="V20" t="s">
        <v>3198</v>
      </c>
    </row>
    <row r="21" ht="15.75" customHeight="1">
      <c r="A21" t="s">
        <v>3199</v>
      </c>
      <c r="B21" t="s">
        <v>3200</v>
      </c>
      <c r="C21" t="s">
        <v>581</v>
      </c>
      <c r="D21" t="s">
        <v>1680</v>
      </c>
      <c r="E21" t="s">
        <v>3188</v>
      </c>
      <c r="F21">
        <v>0.0</v>
      </c>
      <c r="G21">
        <v>0.0</v>
      </c>
      <c r="H21">
        <v>0.0</v>
      </c>
      <c r="I21">
        <v>0.0</v>
      </c>
      <c r="J21">
        <v>2.0</v>
      </c>
      <c r="K21">
        <v>1.0</v>
      </c>
      <c r="L21">
        <v>1.0</v>
      </c>
      <c r="M21">
        <v>0.0</v>
      </c>
      <c r="N21">
        <v>0.0</v>
      </c>
      <c r="O21" t="s">
        <v>3189</v>
      </c>
      <c r="P21" t="s">
        <v>3156</v>
      </c>
      <c r="Q21" t="s">
        <v>3190</v>
      </c>
      <c r="R21" t="s">
        <v>3191</v>
      </c>
      <c r="S21" t="s">
        <v>3191</v>
      </c>
      <c r="T21">
        <v>3.0</v>
      </c>
      <c r="U21">
        <v>2.0</v>
      </c>
      <c r="V21" t="s">
        <v>3198</v>
      </c>
    </row>
    <row r="22" ht="15.75" customHeight="1">
      <c r="A22" t="s">
        <v>3201</v>
      </c>
      <c r="B22" t="s">
        <v>3202</v>
      </c>
      <c r="C22" t="s">
        <v>584</v>
      </c>
      <c r="D22" t="s">
        <v>1680</v>
      </c>
      <c r="E22" t="s">
        <v>3188</v>
      </c>
      <c r="F22">
        <v>0.0</v>
      </c>
      <c r="G22">
        <v>0.0</v>
      </c>
      <c r="H22">
        <v>0.0</v>
      </c>
      <c r="I22">
        <v>0.0</v>
      </c>
      <c r="J22">
        <v>3.0</v>
      </c>
      <c r="K22">
        <v>1.0</v>
      </c>
      <c r="L22">
        <v>1.0</v>
      </c>
      <c r="M22">
        <v>0.0</v>
      </c>
      <c r="N22">
        <v>0.0</v>
      </c>
      <c r="O22" t="s">
        <v>3189</v>
      </c>
      <c r="P22" t="s">
        <v>3156</v>
      </c>
      <c r="Q22" t="s">
        <v>3190</v>
      </c>
      <c r="R22" t="s">
        <v>3191</v>
      </c>
      <c r="S22" t="s">
        <v>3191</v>
      </c>
      <c r="T22">
        <v>3.0</v>
      </c>
      <c r="U22">
        <v>2.0</v>
      </c>
      <c r="V22" t="s">
        <v>3198</v>
      </c>
    </row>
    <row r="23" ht="15.75" customHeight="1">
      <c r="A23" t="s">
        <v>3203</v>
      </c>
      <c r="B23" t="s">
        <v>3204</v>
      </c>
      <c r="C23" t="s">
        <v>569</v>
      </c>
      <c r="D23" t="s">
        <v>1680</v>
      </c>
      <c r="E23" t="s">
        <v>3204</v>
      </c>
      <c r="F23">
        <v>1.0</v>
      </c>
      <c r="G23">
        <v>0.0</v>
      </c>
      <c r="H23">
        <v>0.0</v>
      </c>
      <c r="I23">
        <v>0.0</v>
      </c>
      <c r="J23">
        <v>0.0</v>
      </c>
      <c r="K23">
        <v>0.0</v>
      </c>
      <c r="L23">
        <v>0.0</v>
      </c>
      <c r="M23">
        <v>0.0</v>
      </c>
      <c r="N23">
        <v>0.0</v>
      </c>
      <c r="O23" t="s">
        <v>3205</v>
      </c>
      <c r="P23" t="s">
        <v>3156</v>
      </c>
      <c r="Q23" t="s">
        <v>3206</v>
      </c>
      <c r="R23" t="s">
        <v>3207</v>
      </c>
      <c r="S23" t="s">
        <v>1602</v>
      </c>
      <c r="T23">
        <v>0.0</v>
      </c>
      <c r="U23">
        <v>0.0</v>
      </c>
      <c r="V23" t="s">
        <v>2707</v>
      </c>
    </row>
    <row r="24" ht="15.75" customHeight="1">
      <c r="A24" t="s">
        <v>3208</v>
      </c>
      <c r="B24" t="s">
        <v>3209</v>
      </c>
      <c r="C24" t="s">
        <v>572</v>
      </c>
      <c r="D24" t="s">
        <v>1680</v>
      </c>
      <c r="E24" t="s">
        <v>3204</v>
      </c>
      <c r="F24">
        <v>1.0</v>
      </c>
      <c r="G24">
        <v>0.0</v>
      </c>
      <c r="H24">
        <v>0.0</v>
      </c>
      <c r="I24">
        <v>0.0</v>
      </c>
      <c r="J24">
        <v>0.0</v>
      </c>
      <c r="K24">
        <v>0.0</v>
      </c>
      <c r="L24">
        <v>0.0</v>
      </c>
      <c r="M24">
        <v>0.0</v>
      </c>
      <c r="N24">
        <v>0.0</v>
      </c>
      <c r="O24" t="s">
        <v>3205</v>
      </c>
      <c r="P24" t="s">
        <v>3156</v>
      </c>
      <c r="Q24" t="s">
        <v>3206</v>
      </c>
      <c r="R24" t="s">
        <v>3207</v>
      </c>
      <c r="S24" t="s">
        <v>3206</v>
      </c>
      <c r="T24">
        <v>2.0</v>
      </c>
      <c r="U24">
        <v>1.0</v>
      </c>
      <c r="V24" t="s">
        <v>2939</v>
      </c>
    </row>
    <row r="25" ht="15.75" customHeight="1">
      <c r="A25" t="s">
        <v>3210</v>
      </c>
      <c r="B25" t="s">
        <v>3211</v>
      </c>
      <c r="C25" t="s">
        <v>575</v>
      </c>
      <c r="D25" t="s">
        <v>1680</v>
      </c>
      <c r="E25" t="s">
        <v>3204</v>
      </c>
      <c r="F25">
        <v>1.0</v>
      </c>
      <c r="G25">
        <v>0.0</v>
      </c>
      <c r="H25">
        <v>0.0</v>
      </c>
      <c r="I25">
        <v>0.0</v>
      </c>
      <c r="J25">
        <v>0.0</v>
      </c>
      <c r="K25">
        <v>1.0</v>
      </c>
      <c r="L25">
        <v>0.0</v>
      </c>
      <c r="M25">
        <v>0.0</v>
      </c>
      <c r="N25">
        <v>0.0</v>
      </c>
      <c r="O25" t="s">
        <v>3205</v>
      </c>
      <c r="P25" t="s">
        <v>3156</v>
      </c>
      <c r="Q25" t="s">
        <v>3206</v>
      </c>
      <c r="R25" t="s">
        <v>3207</v>
      </c>
      <c r="S25" t="s">
        <v>3206</v>
      </c>
      <c r="T25">
        <v>2.0</v>
      </c>
      <c r="U25">
        <v>1.0</v>
      </c>
      <c r="V25" t="s">
        <v>2939</v>
      </c>
    </row>
    <row r="26" ht="15.75" customHeight="1">
      <c r="A26" t="s">
        <v>3212</v>
      </c>
      <c r="B26" t="s">
        <v>3213</v>
      </c>
      <c r="C26" t="s">
        <v>578</v>
      </c>
      <c r="D26" t="s">
        <v>1680</v>
      </c>
      <c r="E26" t="s">
        <v>3204</v>
      </c>
      <c r="F26">
        <v>2.0</v>
      </c>
      <c r="G26">
        <v>0.0</v>
      </c>
      <c r="H26">
        <v>0.0</v>
      </c>
      <c r="I26">
        <v>0.0</v>
      </c>
      <c r="J26">
        <v>0.0</v>
      </c>
      <c r="K26">
        <v>1.0</v>
      </c>
      <c r="L26">
        <v>0.0</v>
      </c>
      <c r="M26">
        <v>0.0</v>
      </c>
      <c r="N26">
        <v>0.0</v>
      </c>
      <c r="O26" t="s">
        <v>3205</v>
      </c>
      <c r="P26" t="s">
        <v>3156</v>
      </c>
      <c r="Q26" t="s">
        <v>3206</v>
      </c>
      <c r="R26" t="s">
        <v>3207</v>
      </c>
      <c r="S26" t="s">
        <v>3207</v>
      </c>
      <c r="T26">
        <v>3.0</v>
      </c>
      <c r="U26">
        <v>1.0</v>
      </c>
      <c r="V26" t="s">
        <v>3006</v>
      </c>
    </row>
    <row r="27" ht="15.75" customHeight="1">
      <c r="A27" t="s">
        <v>3214</v>
      </c>
      <c r="B27" t="s">
        <v>3215</v>
      </c>
      <c r="C27" t="s">
        <v>581</v>
      </c>
      <c r="D27" t="s">
        <v>1680</v>
      </c>
      <c r="E27" t="s">
        <v>3204</v>
      </c>
      <c r="F27">
        <v>2.0</v>
      </c>
      <c r="G27">
        <v>0.0</v>
      </c>
      <c r="H27">
        <v>0.0</v>
      </c>
      <c r="I27">
        <v>1.0</v>
      </c>
      <c r="J27">
        <v>0.0</v>
      </c>
      <c r="K27">
        <v>1.0</v>
      </c>
      <c r="L27">
        <v>0.0</v>
      </c>
      <c r="M27">
        <v>0.0</v>
      </c>
      <c r="N27">
        <v>0.0</v>
      </c>
      <c r="O27" t="s">
        <v>3205</v>
      </c>
      <c r="P27" t="s">
        <v>3156</v>
      </c>
      <c r="Q27" t="s">
        <v>3206</v>
      </c>
      <c r="R27" t="s">
        <v>3207</v>
      </c>
      <c r="S27" t="s">
        <v>3207</v>
      </c>
      <c r="T27">
        <v>3.0</v>
      </c>
      <c r="U27">
        <v>1.0</v>
      </c>
      <c r="V27" t="s">
        <v>3006</v>
      </c>
    </row>
    <row r="28" ht="15.75" customHeight="1">
      <c r="A28" t="s">
        <v>3216</v>
      </c>
      <c r="B28" t="s">
        <v>3217</v>
      </c>
      <c r="C28" t="s">
        <v>584</v>
      </c>
      <c r="D28" t="s">
        <v>1680</v>
      </c>
      <c r="E28" t="s">
        <v>3204</v>
      </c>
      <c r="F28">
        <v>3.0</v>
      </c>
      <c r="G28">
        <v>0.0</v>
      </c>
      <c r="H28">
        <v>0.0</v>
      </c>
      <c r="I28">
        <v>1.0</v>
      </c>
      <c r="J28">
        <v>0.0</v>
      </c>
      <c r="K28">
        <v>1.0</v>
      </c>
      <c r="L28">
        <v>0.0</v>
      </c>
      <c r="M28">
        <v>0.0</v>
      </c>
      <c r="N28">
        <v>0.0</v>
      </c>
      <c r="O28" t="s">
        <v>3205</v>
      </c>
      <c r="P28" t="s">
        <v>3156</v>
      </c>
      <c r="Q28" t="s">
        <v>3206</v>
      </c>
      <c r="R28" t="s">
        <v>3207</v>
      </c>
      <c r="S28" t="s">
        <v>3207</v>
      </c>
      <c r="T28">
        <v>3.0</v>
      </c>
      <c r="U28">
        <v>1.0</v>
      </c>
      <c r="V28" t="s">
        <v>3006</v>
      </c>
    </row>
    <row r="29" ht="15.75" customHeight="1">
      <c r="A29" t="s">
        <v>3218</v>
      </c>
      <c r="B29" t="s">
        <v>3219</v>
      </c>
      <c r="C29" t="s">
        <v>569</v>
      </c>
      <c r="D29" t="s">
        <v>1681</v>
      </c>
      <c r="E29" t="s">
        <v>3219</v>
      </c>
      <c r="F29">
        <v>0.0</v>
      </c>
      <c r="G29">
        <v>0.0</v>
      </c>
      <c r="H29">
        <v>1.0</v>
      </c>
      <c r="I29">
        <v>0.0</v>
      </c>
      <c r="J29">
        <v>0.0</v>
      </c>
      <c r="K29">
        <v>0.0</v>
      </c>
      <c r="L29">
        <v>0.0</v>
      </c>
      <c r="M29">
        <v>0.0</v>
      </c>
      <c r="N29">
        <v>0.0</v>
      </c>
      <c r="O29" t="s">
        <v>3220</v>
      </c>
      <c r="P29" t="s">
        <v>3156</v>
      </c>
      <c r="Q29" t="s">
        <v>3221</v>
      </c>
      <c r="R29" t="s">
        <v>3222</v>
      </c>
      <c r="S29" t="s">
        <v>1602</v>
      </c>
      <c r="T29">
        <v>0.0</v>
      </c>
      <c r="U29">
        <v>0.0</v>
      </c>
      <c r="V29" t="s">
        <v>2707</v>
      </c>
    </row>
    <row r="30" ht="15.75" customHeight="1">
      <c r="A30" t="s">
        <v>3223</v>
      </c>
      <c r="B30" t="s">
        <v>3224</v>
      </c>
      <c r="C30" t="s">
        <v>572</v>
      </c>
      <c r="D30" t="s">
        <v>1681</v>
      </c>
      <c r="E30" t="s">
        <v>3219</v>
      </c>
      <c r="F30">
        <v>0.0</v>
      </c>
      <c r="G30">
        <v>0.0</v>
      </c>
      <c r="H30">
        <v>1.0</v>
      </c>
      <c r="I30">
        <v>0.0</v>
      </c>
      <c r="J30">
        <v>0.0</v>
      </c>
      <c r="K30">
        <v>0.0</v>
      </c>
      <c r="L30">
        <v>0.0</v>
      </c>
      <c r="M30">
        <v>0.0</v>
      </c>
      <c r="N30">
        <v>0.0</v>
      </c>
      <c r="O30" t="s">
        <v>3220</v>
      </c>
      <c r="P30" t="s">
        <v>3156</v>
      </c>
      <c r="Q30" t="s">
        <v>3221</v>
      </c>
      <c r="R30" t="s">
        <v>3222</v>
      </c>
      <c r="S30" t="s">
        <v>3221</v>
      </c>
      <c r="T30">
        <v>2.0</v>
      </c>
      <c r="U30">
        <v>0.0</v>
      </c>
      <c r="V30" t="s">
        <v>2955</v>
      </c>
    </row>
    <row r="31" ht="15.75" customHeight="1">
      <c r="A31" t="s">
        <v>3225</v>
      </c>
      <c r="B31" t="s">
        <v>3226</v>
      </c>
      <c r="C31" t="s">
        <v>575</v>
      </c>
      <c r="D31" t="s">
        <v>1681</v>
      </c>
      <c r="E31" t="s">
        <v>3219</v>
      </c>
      <c r="F31">
        <v>0.0</v>
      </c>
      <c r="G31">
        <v>0.0</v>
      </c>
      <c r="H31">
        <v>1.0</v>
      </c>
      <c r="I31">
        <v>0.0</v>
      </c>
      <c r="J31">
        <v>0.0</v>
      </c>
      <c r="K31">
        <v>0.0</v>
      </c>
      <c r="L31">
        <v>1.0</v>
      </c>
      <c r="M31">
        <v>1.0</v>
      </c>
      <c r="N31">
        <v>0.0</v>
      </c>
      <c r="O31" t="s">
        <v>3220</v>
      </c>
      <c r="P31" t="s">
        <v>3156</v>
      </c>
      <c r="Q31" t="s">
        <v>3221</v>
      </c>
      <c r="R31" t="s">
        <v>3222</v>
      </c>
      <c r="S31" t="s">
        <v>3221</v>
      </c>
      <c r="T31">
        <v>2.0</v>
      </c>
      <c r="U31">
        <v>0.0</v>
      </c>
      <c r="V31" t="s">
        <v>2955</v>
      </c>
    </row>
    <row r="32" ht="15.75" customHeight="1">
      <c r="A32" t="s">
        <v>3227</v>
      </c>
      <c r="B32" t="s">
        <v>3228</v>
      </c>
      <c r="C32" t="s">
        <v>578</v>
      </c>
      <c r="D32" t="s">
        <v>1681</v>
      </c>
      <c r="E32" t="s">
        <v>3219</v>
      </c>
      <c r="F32">
        <v>0.0</v>
      </c>
      <c r="G32">
        <v>0.0</v>
      </c>
      <c r="H32">
        <v>2.0</v>
      </c>
      <c r="I32">
        <v>0.0</v>
      </c>
      <c r="J32">
        <v>0.0</v>
      </c>
      <c r="K32">
        <v>0.0</v>
      </c>
      <c r="L32">
        <v>1.0</v>
      </c>
      <c r="M32">
        <v>2.0</v>
      </c>
      <c r="N32">
        <v>0.0</v>
      </c>
      <c r="O32" t="s">
        <v>3220</v>
      </c>
      <c r="P32" t="s">
        <v>3156</v>
      </c>
      <c r="Q32" t="s">
        <v>3221</v>
      </c>
      <c r="R32" t="s">
        <v>3222</v>
      </c>
      <c r="S32" t="s">
        <v>3222</v>
      </c>
      <c r="T32">
        <v>3.0</v>
      </c>
      <c r="U32">
        <v>1.0</v>
      </c>
      <c r="V32" t="s">
        <v>3229</v>
      </c>
    </row>
    <row r="33" ht="15.75" customHeight="1">
      <c r="A33" t="s">
        <v>3230</v>
      </c>
      <c r="B33" t="s">
        <v>3231</v>
      </c>
      <c r="C33" t="s">
        <v>581</v>
      </c>
      <c r="D33" t="s">
        <v>1681</v>
      </c>
      <c r="E33" t="s">
        <v>3219</v>
      </c>
      <c r="F33">
        <v>1.0</v>
      </c>
      <c r="G33">
        <v>0.0</v>
      </c>
      <c r="H33">
        <v>2.0</v>
      </c>
      <c r="I33">
        <v>0.0</v>
      </c>
      <c r="J33">
        <v>0.0</v>
      </c>
      <c r="K33">
        <v>0.0</v>
      </c>
      <c r="L33">
        <v>1.0</v>
      </c>
      <c r="M33">
        <v>3.0</v>
      </c>
      <c r="N33">
        <v>0.0</v>
      </c>
      <c r="O33" t="s">
        <v>3220</v>
      </c>
      <c r="P33" t="s">
        <v>3156</v>
      </c>
      <c r="Q33" t="s">
        <v>3221</v>
      </c>
      <c r="R33" t="s">
        <v>3222</v>
      </c>
      <c r="S33" t="s">
        <v>3222</v>
      </c>
      <c r="T33">
        <v>3.0</v>
      </c>
      <c r="U33">
        <v>1.0</v>
      </c>
      <c r="V33" t="s">
        <v>3229</v>
      </c>
    </row>
    <row r="34" ht="15.75" customHeight="1">
      <c r="A34" t="s">
        <v>3232</v>
      </c>
      <c r="B34" t="s">
        <v>3233</v>
      </c>
      <c r="C34" t="s">
        <v>584</v>
      </c>
      <c r="D34" t="s">
        <v>1681</v>
      </c>
      <c r="E34" t="s">
        <v>3219</v>
      </c>
      <c r="F34">
        <v>1.0</v>
      </c>
      <c r="G34">
        <v>0.0</v>
      </c>
      <c r="H34">
        <v>3.0</v>
      </c>
      <c r="I34">
        <v>0.0</v>
      </c>
      <c r="J34">
        <v>0.0</v>
      </c>
      <c r="K34">
        <v>0.0</v>
      </c>
      <c r="L34">
        <v>1.0</v>
      </c>
      <c r="M34">
        <v>4.0</v>
      </c>
      <c r="N34">
        <v>0.0</v>
      </c>
      <c r="O34" t="s">
        <v>3220</v>
      </c>
      <c r="P34" t="s">
        <v>3156</v>
      </c>
      <c r="Q34" t="s">
        <v>3221</v>
      </c>
      <c r="R34" t="s">
        <v>3222</v>
      </c>
      <c r="S34" t="s">
        <v>3222</v>
      </c>
      <c r="T34">
        <v>3.0</v>
      </c>
      <c r="U34">
        <v>1.0</v>
      </c>
      <c r="V34" t="s">
        <v>3229</v>
      </c>
    </row>
    <row r="35" ht="15.75" customHeight="1">
      <c r="A35" t="s">
        <v>3234</v>
      </c>
      <c r="B35" t="s">
        <v>3235</v>
      </c>
      <c r="C35" t="s">
        <v>569</v>
      </c>
      <c r="D35" t="s">
        <v>1681</v>
      </c>
      <c r="E35" t="s">
        <v>3235</v>
      </c>
      <c r="F35">
        <v>0.0</v>
      </c>
      <c r="G35">
        <v>1.0</v>
      </c>
      <c r="H35">
        <v>0.0</v>
      </c>
      <c r="I35">
        <v>0.0</v>
      </c>
      <c r="J35">
        <v>0.0</v>
      </c>
      <c r="K35">
        <v>0.0</v>
      </c>
      <c r="L35">
        <v>0.0</v>
      </c>
      <c r="M35">
        <v>0.0</v>
      </c>
      <c r="N35">
        <v>0.0</v>
      </c>
      <c r="O35" t="s">
        <v>3236</v>
      </c>
      <c r="P35" t="s">
        <v>3156</v>
      </c>
      <c r="Q35" t="s">
        <v>3237</v>
      </c>
      <c r="R35" t="s">
        <v>3238</v>
      </c>
      <c r="S35" t="s">
        <v>1602</v>
      </c>
      <c r="T35">
        <v>0.0</v>
      </c>
      <c r="U35">
        <v>0.0</v>
      </c>
      <c r="V35" t="s">
        <v>2707</v>
      </c>
    </row>
    <row r="36" ht="15.75" customHeight="1">
      <c r="A36" t="s">
        <v>3239</v>
      </c>
      <c r="B36" t="s">
        <v>3240</v>
      </c>
      <c r="C36" t="s">
        <v>572</v>
      </c>
      <c r="D36" t="s">
        <v>1681</v>
      </c>
      <c r="E36" t="s">
        <v>3235</v>
      </c>
      <c r="F36">
        <v>0.0</v>
      </c>
      <c r="G36">
        <v>1.0</v>
      </c>
      <c r="H36">
        <v>0.0</v>
      </c>
      <c r="I36">
        <v>0.0</v>
      </c>
      <c r="J36">
        <v>0.0</v>
      </c>
      <c r="K36">
        <v>0.0</v>
      </c>
      <c r="L36">
        <v>0.0</v>
      </c>
      <c r="M36">
        <v>0.0</v>
      </c>
      <c r="N36">
        <v>0.0</v>
      </c>
      <c r="O36" t="s">
        <v>3236</v>
      </c>
      <c r="P36" t="s">
        <v>3156</v>
      </c>
      <c r="Q36" t="s">
        <v>3237</v>
      </c>
      <c r="R36" t="s">
        <v>3238</v>
      </c>
      <c r="S36" t="s">
        <v>3237</v>
      </c>
      <c r="T36">
        <v>2.0</v>
      </c>
      <c r="U36">
        <v>0.0</v>
      </c>
      <c r="V36" t="s">
        <v>2971</v>
      </c>
    </row>
    <row r="37" ht="15.75" customHeight="1">
      <c r="A37" t="s">
        <v>3241</v>
      </c>
      <c r="B37" t="s">
        <v>3242</v>
      </c>
      <c r="C37" t="s">
        <v>575</v>
      </c>
      <c r="D37" t="s">
        <v>1681</v>
      </c>
      <c r="E37" t="s">
        <v>3235</v>
      </c>
      <c r="F37">
        <v>1.0</v>
      </c>
      <c r="G37">
        <v>1.0</v>
      </c>
      <c r="H37">
        <v>0.0</v>
      </c>
      <c r="I37">
        <v>0.0</v>
      </c>
      <c r="J37">
        <v>0.0</v>
      </c>
      <c r="K37">
        <v>0.0</v>
      </c>
      <c r="L37">
        <v>0.0</v>
      </c>
      <c r="M37">
        <v>0.0</v>
      </c>
      <c r="N37">
        <v>0.0</v>
      </c>
      <c r="O37" t="s">
        <v>3236</v>
      </c>
      <c r="P37" t="s">
        <v>3156</v>
      </c>
      <c r="Q37" t="s">
        <v>3237</v>
      </c>
      <c r="R37" t="s">
        <v>3238</v>
      </c>
      <c r="S37" t="s">
        <v>3237</v>
      </c>
      <c r="T37">
        <v>2.0</v>
      </c>
      <c r="U37">
        <v>0.0</v>
      </c>
      <c r="V37" t="s">
        <v>2971</v>
      </c>
    </row>
    <row r="38" ht="15.75" customHeight="1">
      <c r="A38" t="s">
        <v>3243</v>
      </c>
      <c r="B38" t="s">
        <v>3244</v>
      </c>
      <c r="C38" t="s">
        <v>578</v>
      </c>
      <c r="D38" t="s">
        <v>1681</v>
      </c>
      <c r="E38" t="s">
        <v>3235</v>
      </c>
      <c r="F38">
        <v>1.0</v>
      </c>
      <c r="G38">
        <v>2.0</v>
      </c>
      <c r="H38">
        <v>0.0</v>
      </c>
      <c r="I38">
        <v>0.0</v>
      </c>
      <c r="J38">
        <v>0.0</v>
      </c>
      <c r="K38">
        <v>0.0</v>
      </c>
      <c r="L38">
        <v>0.0</v>
      </c>
      <c r="M38">
        <v>0.0</v>
      </c>
      <c r="N38">
        <v>0.0</v>
      </c>
      <c r="O38" t="s">
        <v>3236</v>
      </c>
      <c r="P38" t="s">
        <v>3156</v>
      </c>
      <c r="Q38" t="s">
        <v>3237</v>
      </c>
      <c r="R38" t="s">
        <v>3238</v>
      </c>
      <c r="S38" t="s">
        <v>3238</v>
      </c>
      <c r="T38">
        <v>3.0</v>
      </c>
      <c r="U38">
        <v>2.0</v>
      </c>
      <c r="V38" t="s">
        <v>3245</v>
      </c>
    </row>
    <row r="39" ht="15.75" customHeight="1">
      <c r="A39" t="s">
        <v>3246</v>
      </c>
      <c r="B39" t="s">
        <v>3247</v>
      </c>
      <c r="C39" t="s">
        <v>581</v>
      </c>
      <c r="D39" t="s">
        <v>1681</v>
      </c>
      <c r="E39" t="s">
        <v>3235</v>
      </c>
      <c r="F39">
        <v>1.0</v>
      </c>
      <c r="G39">
        <v>2.0</v>
      </c>
      <c r="H39">
        <v>0.0</v>
      </c>
      <c r="I39">
        <v>1.0</v>
      </c>
      <c r="J39">
        <v>0.0</v>
      </c>
      <c r="K39">
        <v>0.0</v>
      </c>
      <c r="L39">
        <v>0.0</v>
      </c>
      <c r="M39">
        <v>0.0</v>
      </c>
      <c r="N39">
        <v>0.0</v>
      </c>
      <c r="O39" t="s">
        <v>3236</v>
      </c>
      <c r="P39" t="s">
        <v>3156</v>
      </c>
      <c r="Q39" t="s">
        <v>3237</v>
      </c>
      <c r="R39" t="s">
        <v>3238</v>
      </c>
      <c r="S39" t="s">
        <v>3238</v>
      </c>
      <c r="T39">
        <v>3.0</v>
      </c>
      <c r="U39">
        <v>2.0</v>
      </c>
      <c r="V39" t="s">
        <v>3245</v>
      </c>
    </row>
    <row r="40" ht="15.75" customHeight="1">
      <c r="A40" t="s">
        <v>3248</v>
      </c>
      <c r="B40" t="s">
        <v>3249</v>
      </c>
      <c r="C40" t="s">
        <v>584</v>
      </c>
      <c r="D40" t="s">
        <v>1681</v>
      </c>
      <c r="E40" t="s">
        <v>3235</v>
      </c>
      <c r="F40">
        <v>1.0</v>
      </c>
      <c r="G40">
        <v>3.0</v>
      </c>
      <c r="H40">
        <v>0.0</v>
      </c>
      <c r="I40">
        <v>1.0</v>
      </c>
      <c r="J40">
        <v>0.0</v>
      </c>
      <c r="K40">
        <v>0.0</v>
      </c>
      <c r="L40">
        <v>0.0</v>
      </c>
      <c r="M40">
        <v>0.0</v>
      </c>
      <c r="N40">
        <v>0.0</v>
      </c>
      <c r="O40" t="s">
        <v>3236</v>
      </c>
      <c r="P40" t="s">
        <v>3156</v>
      </c>
      <c r="Q40" t="s">
        <v>3237</v>
      </c>
      <c r="R40" t="s">
        <v>3238</v>
      </c>
      <c r="S40" t="s">
        <v>3238</v>
      </c>
      <c r="T40">
        <v>3.0</v>
      </c>
      <c r="U40">
        <v>2.0</v>
      </c>
      <c r="V40" t="s">
        <v>3245</v>
      </c>
    </row>
    <row r="41" ht="15.75" customHeight="1">
      <c r="A41" t="s">
        <v>3250</v>
      </c>
      <c r="B41" t="s">
        <v>3251</v>
      </c>
      <c r="C41" t="s">
        <v>569</v>
      </c>
      <c r="D41" t="s">
        <v>1681</v>
      </c>
      <c r="E41" t="s">
        <v>3251</v>
      </c>
      <c r="F41">
        <v>0.0</v>
      </c>
      <c r="G41">
        <v>0.0</v>
      </c>
      <c r="H41">
        <v>0.0</v>
      </c>
      <c r="I41">
        <v>0.0</v>
      </c>
      <c r="J41">
        <v>1.0</v>
      </c>
      <c r="K41">
        <v>0.0</v>
      </c>
      <c r="L41">
        <v>0.0</v>
      </c>
      <c r="M41">
        <v>0.0</v>
      </c>
      <c r="N41">
        <v>0.0</v>
      </c>
      <c r="O41" t="s">
        <v>3252</v>
      </c>
      <c r="P41" t="s">
        <v>3156</v>
      </c>
      <c r="Q41" t="s">
        <v>3253</v>
      </c>
      <c r="R41" t="s">
        <v>3254</v>
      </c>
      <c r="S41" t="s">
        <v>1602</v>
      </c>
      <c r="T41">
        <v>0.0</v>
      </c>
      <c r="U41">
        <v>0.0</v>
      </c>
      <c r="V41" t="s">
        <v>2707</v>
      </c>
    </row>
    <row r="42" ht="15.75" customHeight="1">
      <c r="A42" t="s">
        <v>3255</v>
      </c>
      <c r="B42" t="s">
        <v>3256</v>
      </c>
      <c r="C42" t="s">
        <v>572</v>
      </c>
      <c r="D42" t="s">
        <v>1681</v>
      </c>
      <c r="E42" t="s">
        <v>3251</v>
      </c>
      <c r="F42">
        <v>0.0</v>
      </c>
      <c r="G42">
        <v>0.0</v>
      </c>
      <c r="H42">
        <v>0.0</v>
      </c>
      <c r="I42">
        <v>0.0</v>
      </c>
      <c r="J42">
        <v>1.0</v>
      </c>
      <c r="K42">
        <v>0.0</v>
      </c>
      <c r="L42">
        <v>0.0</v>
      </c>
      <c r="M42">
        <v>0.0</v>
      </c>
      <c r="N42">
        <v>0.0</v>
      </c>
      <c r="O42" t="s">
        <v>3252</v>
      </c>
      <c r="P42" t="s">
        <v>3156</v>
      </c>
      <c r="Q42" t="s">
        <v>3253</v>
      </c>
      <c r="R42" t="s">
        <v>3254</v>
      </c>
      <c r="S42" t="s">
        <v>3253</v>
      </c>
      <c r="T42">
        <v>2.0</v>
      </c>
      <c r="U42">
        <v>0.0</v>
      </c>
      <c r="V42" t="s">
        <v>2987</v>
      </c>
    </row>
    <row r="43" ht="15.75" customHeight="1">
      <c r="A43" t="s">
        <v>3257</v>
      </c>
      <c r="B43" t="s">
        <v>3258</v>
      </c>
      <c r="C43" t="s">
        <v>575</v>
      </c>
      <c r="D43" t="s">
        <v>1681</v>
      </c>
      <c r="E43" t="s">
        <v>3251</v>
      </c>
      <c r="F43">
        <v>0.0</v>
      </c>
      <c r="G43">
        <v>0.0</v>
      </c>
      <c r="H43">
        <v>0.0</v>
      </c>
      <c r="I43">
        <v>0.0</v>
      </c>
      <c r="J43">
        <v>1.0</v>
      </c>
      <c r="K43">
        <v>1.0</v>
      </c>
      <c r="L43">
        <v>0.0</v>
      </c>
      <c r="M43">
        <v>0.0</v>
      </c>
      <c r="N43">
        <v>0.0</v>
      </c>
      <c r="O43" t="s">
        <v>3252</v>
      </c>
      <c r="P43" t="s">
        <v>3156</v>
      </c>
      <c r="Q43" t="s">
        <v>3253</v>
      </c>
      <c r="R43" t="s">
        <v>3254</v>
      </c>
      <c r="S43" t="s">
        <v>3253</v>
      </c>
      <c r="T43">
        <v>2.0</v>
      </c>
      <c r="U43">
        <v>0.0</v>
      </c>
      <c r="V43" t="s">
        <v>2987</v>
      </c>
    </row>
    <row r="44" ht="15.75" customHeight="1">
      <c r="A44" t="s">
        <v>3259</v>
      </c>
      <c r="B44" t="s">
        <v>3260</v>
      </c>
      <c r="C44" t="s">
        <v>578</v>
      </c>
      <c r="D44" t="s">
        <v>1681</v>
      </c>
      <c r="E44" t="s">
        <v>3251</v>
      </c>
      <c r="F44">
        <v>0.0</v>
      </c>
      <c r="G44">
        <v>0.0</v>
      </c>
      <c r="H44">
        <v>0.0</v>
      </c>
      <c r="I44">
        <v>0.0</v>
      </c>
      <c r="J44">
        <v>2.0</v>
      </c>
      <c r="K44">
        <v>1.0</v>
      </c>
      <c r="L44">
        <v>0.0</v>
      </c>
      <c r="M44">
        <v>0.0</v>
      </c>
      <c r="N44">
        <v>0.0</v>
      </c>
      <c r="O44" t="s">
        <v>3252</v>
      </c>
      <c r="P44" t="s">
        <v>3156</v>
      </c>
      <c r="Q44" t="s">
        <v>3253</v>
      </c>
      <c r="R44" t="s">
        <v>3254</v>
      </c>
      <c r="S44" t="s">
        <v>3254</v>
      </c>
      <c r="T44">
        <v>3.0</v>
      </c>
      <c r="U44">
        <v>2.0</v>
      </c>
      <c r="V44" t="s">
        <v>3198</v>
      </c>
    </row>
    <row r="45" ht="15.75" customHeight="1">
      <c r="A45" t="s">
        <v>3261</v>
      </c>
      <c r="B45" t="s">
        <v>3262</v>
      </c>
      <c r="C45" t="s">
        <v>581</v>
      </c>
      <c r="D45" t="s">
        <v>1681</v>
      </c>
      <c r="E45" t="s">
        <v>3251</v>
      </c>
      <c r="F45">
        <v>1.0</v>
      </c>
      <c r="G45">
        <v>0.0</v>
      </c>
      <c r="H45">
        <v>0.0</v>
      </c>
      <c r="I45">
        <v>0.0</v>
      </c>
      <c r="J45">
        <v>2.0</v>
      </c>
      <c r="K45">
        <v>1.0</v>
      </c>
      <c r="L45">
        <v>0.0</v>
      </c>
      <c r="M45">
        <v>0.0</v>
      </c>
      <c r="N45">
        <v>0.0</v>
      </c>
      <c r="O45" t="s">
        <v>3252</v>
      </c>
      <c r="P45" t="s">
        <v>3156</v>
      </c>
      <c r="Q45" t="s">
        <v>3253</v>
      </c>
      <c r="R45" t="s">
        <v>3254</v>
      </c>
      <c r="S45" t="s">
        <v>3254</v>
      </c>
      <c r="T45">
        <v>3.0</v>
      </c>
      <c r="U45">
        <v>2.0</v>
      </c>
      <c r="V45" t="s">
        <v>3198</v>
      </c>
    </row>
    <row r="46" ht="15.75" customHeight="1">
      <c r="A46" t="s">
        <v>3263</v>
      </c>
      <c r="B46" t="s">
        <v>3264</v>
      </c>
      <c r="C46" t="s">
        <v>584</v>
      </c>
      <c r="D46" t="s">
        <v>1681</v>
      </c>
      <c r="E46" t="s">
        <v>3251</v>
      </c>
      <c r="F46">
        <v>1.0</v>
      </c>
      <c r="G46">
        <v>0.0</v>
      </c>
      <c r="H46">
        <v>0.0</v>
      </c>
      <c r="I46">
        <v>0.0</v>
      </c>
      <c r="J46">
        <v>3.0</v>
      </c>
      <c r="K46">
        <v>1.0</v>
      </c>
      <c r="L46">
        <v>0.0</v>
      </c>
      <c r="M46">
        <v>0.0</v>
      </c>
      <c r="N46">
        <v>0.0</v>
      </c>
      <c r="O46" t="s">
        <v>3252</v>
      </c>
      <c r="P46" t="s">
        <v>3156</v>
      </c>
      <c r="Q46" t="s">
        <v>3253</v>
      </c>
      <c r="R46" t="s">
        <v>3254</v>
      </c>
      <c r="S46" t="s">
        <v>3254</v>
      </c>
      <c r="T46">
        <v>3.0</v>
      </c>
      <c r="U46">
        <v>2.0</v>
      </c>
      <c r="V46" t="s">
        <v>3198</v>
      </c>
    </row>
    <row r="47" ht="15.75" customHeight="1">
      <c r="A47" t="s">
        <v>3265</v>
      </c>
      <c r="B47" t="s">
        <v>3266</v>
      </c>
      <c r="C47" t="s">
        <v>569</v>
      </c>
      <c r="D47" t="s">
        <v>1681</v>
      </c>
      <c r="E47" t="s">
        <v>3266</v>
      </c>
      <c r="F47">
        <v>0.0</v>
      </c>
      <c r="G47">
        <v>0.0</v>
      </c>
      <c r="H47">
        <v>0.0</v>
      </c>
      <c r="I47">
        <v>1.0</v>
      </c>
      <c r="J47">
        <v>0.0</v>
      </c>
      <c r="K47">
        <v>0.0</v>
      </c>
      <c r="L47">
        <v>0.0</v>
      </c>
      <c r="M47">
        <v>0.0</v>
      </c>
      <c r="N47">
        <v>0.0</v>
      </c>
      <c r="O47" t="s">
        <v>3267</v>
      </c>
      <c r="P47" t="s">
        <v>3156</v>
      </c>
      <c r="Q47" t="s">
        <v>3268</v>
      </c>
      <c r="R47" t="s">
        <v>3269</v>
      </c>
      <c r="S47" t="s">
        <v>1602</v>
      </c>
      <c r="T47">
        <v>0.0</v>
      </c>
      <c r="U47">
        <v>0.0</v>
      </c>
      <c r="V47" t="s">
        <v>2707</v>
      </c>
    </row>
    <row r="48" ht="15.75" customHeight="1">
      <c r="A48" t="s">
        <v>3270</v>
      </c>
      <c r="B48" t="s">
        <v>3271</v>
      </c>
      <c r="C48" t="s">
        <v>572</v>
      </c>
      <c r="D48" t="s">
        <v>1681</v>
      </c>
      <c r="E48" t="s">
        <v>3266</v>
      </c>
      <c r="F48">
        <v>0.0</v>
      </c>
      <c r="G48">
        <v>0.0</v>
      </c>
      <c r="H48">
        <v>0.0</v>
      </c>
      <c r="I48">
        <v>1.0</v>
      </c>
      <c r="J48">
        <v>0.0</v>
      </c>
      <c r="K48">
        <v>0.0</v>
      </c>
      <c r="L48">
        <v>0.0</v>
      </c>
      <c r="M48">
        <v>0.0</v>
      </c>
      <c r="N48">
        <v>0.0</v>
      </c>
      <c r="O48" t="s">
        <v>3267</v>
      </c>
      <c r="P48" t="s">
        <v>3156</v>
      </c>
      <c r="Q48" t="s">
        <v>3268</v>
      </c>
      <c r="R48" t="s">
        <v>3269</v>
      </c>
      <c r="S48" t="s">
        <v>3268</v>
      </c>
      <c r="T48">
        <v>2.0</v>
      </c>
      <c r="U48">
        <v>1.0</v>
      </c>
      <c r="V48" t="s">
        <v>2939</v>
      </c>
    </row>
    <row r="49" ht="15.75" customHeight="1">
      <c r="A49" t="s">
        <v>3272</v>
      </c>
      <c r="B49" t="s">
        <v>3273</v>
      </c>
      <c r="C49" t="s">
        <v>575</v>
      </c>
      <c r="D49" t="s">
        <v>1681</v>
      </c>
      <c r="E49" t="s">
        <v>3266</v>
      </c>
      <c r="F49">
        <v>0.0</v>
      </c>
      <c r="G49">
        <v>0.0</v>
      </c>
      <c r="H49">
        <v>0.0</v>
      </c>
      <c r="I49">
        <v>1.0</v>
      </c>
      <c r="J49">
        <v>0.0</v>
      </c>
      <c r="K49">
        <v>1.0</v>
      </c>
      <c r="L49">
        <v>0.0</v>
      </c>
      <c r="M49">
        <v>0.0</v>
      </c>
      <c r="N49">
        <v>5.0</v>
      </c>
      <c r="O49" t="s">
        <v>3267</v>
      </c>
      <c r="P49" t="s">
        <v>3156</v>
      </c>
      <c r="Q49" t="s">
        <v>3268</v>
      </c>
      <c r="R49" t="s">
        <v>3269</v>
      </c>
      <c r="S49" t="s">
        <v>3268</v>
      </c>
      <c r="T49">
        <v>2.0</v>
      </c>
      <c r="U49">
        <v>1.0</v>
      </c>
      <c r="V49" t="s">
        <v>2939</v>
      </c>
    </row>
    <row r="50" ht="15.75" customHeight="1">
      <c r="A50" t="s">
        <v>3274</v>
      </c>
      <c r="B50" t="s">
        <v>3275</v>
      </c>
      <c r="C50" t="s">
        <v>578</v>
      </c>
      <c r="D50" t="s">
        <v>1681</v>
      </c>
      <c r="E50" t="s">
        <v>3266</v>
      </c>
      <c r="F50">
        <v>0.0</v>
      </c>
      <c r="G50">
        <v>0.0</v>
      </c>
      <c r="H50">
        <v>0.0</v>
      </c>
      <c r="I50">
        <v>2.0</v>
      </c>
      <c r="J50">
        <v>0.0</v>
      </c>
      <c r="K50">
        <v>1.0</v>
      </c>
      <c r="L50">
        <v>0.0</v>
      </c>
      <c r="M50">
        <v>0.0</v>
      </c>
      <c r="N50">
        <v>10.0</v>
      </c>
      <c r="O50" t="s">
        <v>3267</v>
      </c>
      <c r="P50" t="s">
        <v>3156</v>
      </c>
      <c r="Q50" t="s">
        <v>3268</v>
      </c>
      <c r="R50" t="s">
        <v>3269</v>
      </c>
      <c r="S50" t="s">
        <v>3269</v>
      </c>
      <c r="T50">
        <v>3.0</v>
      </c>
      <c r="U50">
        <v>3.0</v>
      </c>
      <c r="V50" t="s">
        <v>2769</v>
      </c>
    </row>
    <row r="51" ht="15.75" customHeight="1">
      <c r="A51" t="s">
        <v>3276</v>
      </c>
      <c r="B51" t="s">
        <v>3277</v>
      </c>
      <c r="C51" t="s">
        <v>581</v>
      </c>
      <c r="D51" t="s">
        <v>1681</v>
      </c>
      <c r="E51" t="s">
        <v>3266</v>
      </c>
      <c r="F51">
        <v>1.0</v>
      </c>
      <c r="G51">
        <v>0.0</v>
      </c>
      <c r="H51">
        <v>0.0</v>
      </c>
      <c r="I51">
        <v>2.0</v>
      </c>
      <c r="J51">
        <v>0.0</v>
      </c>
      <c r="K51">
        <v>1.0</v>
      </c>
      <c r="L51">
        <v>0.0</v>
      </c>
      <c r="M51">
        <v>0.0</v>
      </c>
      <c r="N51">
        <v>15.0</v>
      </c>
      <c r="O51" t="s">
        <v>3267</v>
      </c>
      <c r="P51" t="s">
        <v>3156</v>
      </c>
      <c r="Q51" t="s">
        <v>3268</v>
      </c>
      <c r="R51" t="s">
        <v>3269</v>
      </c>
      <c r="S51" t="s">
        <v>3269</v>
      </c>
      <c r="T51">
        <v>3.0</v>
      </c>
      <c r="U51">
        <v>3.0</v>
      </c>
      <c r="V51" t="s">
        <v>2769</v>
      </c>
    </row>
    <row r="52" ht="15.75" customHeight="1">
      <c r="A52" t="s">
        <v>3278</v>
      </c>
      <c r="B52" t="s">
        <v>3279</v>
      </c>
      <c r="C52" t="s">
        <v>584</v>
      </c>
      <c r="D52" t="s">
        <v>1681</v>
      </c>
      <c r="E52" t="s">
        <v>3266</v>
      </c>
      <c r="F52">
        <v>1.0</v>
      </c>
      <c r="G52">
        <v>0.0</v>
      </c>
      <c r="H52">
        <v>0.0</v>
      </c>
      <c r="I52">
        <v>3.0</v>
      </c>
      <c r="J52">
        <v>0.0</v>
      </c>
      <c r="K52">
        <v>1.0</v>
      </c>
      <c r="L52">
        <v>0.0</v>
      </c>
      <c r="M52">
        <v>0.0</v>
      </c>
      <c r="N52">
        <v>20.0</v>
      </c>
      <c r="O52" t="s">
        <v>3267</v>
      </c>
      <c r="P52" t="s">
        <v>3156</v>
      </c>
      <c r="Q52" t="s">
        <v>3268</v>
      </c>
      <c r="R52" t="s">
        <v>3269</v>
      </c>
      <c r="S52" t="s">
        <v>3269</v>
      </c>
      <c r="T52">
        <v>3.0</v>
      </c>
      <c r="U52">
        <v>3.0</v>
      </c>
      <c r="V52" t="s">
        <v>2769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1" width="8.71"/>
  </cols>
  <sheetData>
    <row r="1">
      <c r="A1" t="s">
        <v>3280</v>
      </c>
    </row>
    <row r="4">
      <c r="A4" t="s">
        <v>2684</v>
      </c>
      <c r="B4" t="s">
        <v>2685</v>
      </c>
      <c r="C4" t="s">
        <v>3281</v>
      </c>
      <c r="D4" t="s">
        <v>2686</v>
      </c>
      <c r="E4" t="s">
        <v>3282</v>
      </c>
      <c r="F4" t="s">
        <v>3283</v>
      </c>
      <c r="G4" t="s">
        <v>1679</v>
      </c>
      <c r="H4" t="s">
        <v>1678</v>
      </c>
      <c r="I4" t="s">
        <v>3284</v>
      </c>
      <c r="J4" t="s">
        <v>3285</v>
      </c>
    </row>
    <row r="5">
      <c r="A5" t="s">
        <v>2697</v>
      </c>
      <c r="B5" t="s">
        <v>2698</v>
      </c>
      <c r="C5" t="s">
        <v>3286</v>
      </c>
      <c r="D5" t="s">
        <v>2699</v>
      </c>
      <c r="E5" t="s">
        <v>3287</v>
      </c>
      <c r="F5" t="s">
        <v>2696</v>
      </c>
      <c r="G5" t="s">
        <v>2902</v>
      </c>
      <c r="H5" t="s">
        <v>3029</v>
      </c>
      <c r="I5" t="s">
        <v>2712</v>
      </c>
      <c r="J5" t="s">
        <v>2713</v>
      </c>
    </row>
    <row r="6">
      <c r="A6" t="s">
        <v>2727</v>
      </c>
      <c r="B6" t="s">
        <v>956</v>
      </c>
      <c r="C6" t="s">
        <v>3288</v>
      </c>
      <c r="D6" t="s">
        <v>2728</v>
      </c>
      <c r="E6" t="s">
        <v>3289</v>
      </c>
      <c r="F6" t="s">
        <v>2726</v>
      </c>
      <c r="G6" t="s">
        <v>2918</v>
      </c>
      <c r="H6" t="s">
        <v>3045</v>
      </c>
      <c r="I6" t="s">
        <v>2739</v>
      </c>
      <c r="J6" t="s">
        <v>2740</v>
      </c>
    </row>
    <row r="7">
      <c r="A7" t="s">
        <v>2754</v>
      </c>
      <c r="B7" t="s">
        <v>956</v>
      </c>
      <c r="C7" t="s">
        <v>3290</v>
      </c>
      <c r="D7" t="s">
        <v>2755</v>
      </c>
      <c r="E7" t="s">
        <v>3291</v>
      </c>
      <c r="F7" t="s">
        <v>2753</v>
      </c>
      <c r="G7" t="s">
        <v>2934</v>
      </c>
      <c r="H7" t="s">
        <v>3060</v>
      </c>
      <c r="I7" t="s">
        <v>2766</v>
      </c>
      <c r="J7" t="s">
        <v>2757</v>
      </c>
    </row>
    <row r="8">
      <c r="A8" t="s">
        <v>2779</v>
      </c>
      <c r="B8" t="s">
        <v>2780</v>
      </c>
      <c r="C8" t="s">
        <v>3292</v>
      </c>
      <c r="D8" t="s">
        <v>2781</v>
      </c>
      <c r="E8" t="s">
        <v>3293</v>
      </c>
      <c r="F8" t="s">
        <v>2778</v>
      </c>
      <c r="G8" t="s">
        <v>2950</v>
      </c>
      <c r="H8" t="s">
        <v>3076</v>
      </c>
      <c r="I8" t="s">
        <v>2792</v>
      </c>
      <c r="J8" t="s">
        <v>2783</v>
      </c>
    </row>
    <row r="9">
      <c r="A9" t="s">
        <v>2805</v>
      </c>
      <c r="B9" t="s">
        <v>956</v>
      </c>
      <c r="C9" t="s">
        <v>3294</v>
      </c>
      <c r="D9" t="s">
        <v>2806</v>
      </c>
      <c r="E9" t="s">
        <v>1650</v>
      </c>
      <c r="F9" t="s">
        <v>2804</v>
      </c>
      <c r="G9" t="s">
        <v>2966</v>
      </c>
      <c r="H9" t="s">
        <v>3092</v>
      </c>
      <c r="I9" t="s">
        <v>2817</v>
      </c>
      <c r="J9" t="s">
        <v>2808</v>
      </c>
    </row>
    <row r="10">
      <c r="A10" t="s">
        <v>2831</v>
      </c>
      <c r="B10" t="s">
        <v>2780</v>
      </c>
      <c r="C10" t="s">
        <v>3295</v>
      </c>
      <c r="D10" t="s">
        <v>2832</v>
      </c>
      <c r="E10" t="s">
        <v>3296</v>
      </c>
      <c r="F10" t="s">
        <v>2830</v>
      </c>
      <c r="G10" t="s">
        <v>2982</v>
      </c>
      <c r="H10" t="s">
        <v>3108</v>
      </c>
      <c r="I10" t="s">
        <v>2843</v>
      </c>
      <c r="J10" t="s">
        <v>2834</v>
      </c>
    </row>
    <row r="11">
      <c r="A11" t="s">
        <v>2855</v>
      </c>
      <c r="B11" t="s">
        <v>956</v>
      </c>
      <c r="C11" t="s">
        <v>3292</v>
      </c>
      <c r="D11" t="s">
        <v>2856</v>
      </c>
      <c r="E11" t="s">
        <v>3297</v>
      </c>
      <c r="F11" t="s">
        <v>2854</v>
      </c>
      <c r="G11" t="s">
        <v>2997</v>
      </c>
      <c r="H11" t="s">
        <v>3123</v>
      </c>
      <c r="I11" t="s">
        <v>2866</v>
      </c>
      <c r="J11" t="s">
        <v>2867</v>
      </c>
    </row>
    <row r="12">
      <c r="A12" t="s">
        <v>2878</v>
      </c>
      <c r="B12" t="s">
        <v>956</v>
      </c>
      <c r="C12" t="s">
        <v>3298</v>
      </c>
      <c r="D12" t="s">
        <v>2879</v>
      </c>
      <c r="E12" t="s">
        <v>3289</v>
      </c>
      <c r="F12" t="s">
        <v>2877</v>
      </c>
      <c r="G12" t="s">
        <v>3012</v>
      </c>
      <c r="H12" t="s">
        <v>3137</v>
      </c>
      <c r="I12" t="s">
        <v>2890</v>
      </c>
      <c r="J12" t="s">
        <v>2881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1" width="8.71"/>
  </cols>
  <sheetData>
    <row r="1">
      <c r="A1" t="s">
        <v>3299</v>
      </c>
    </row>
    <row r="4">
      <c r="A4" t="s">
        <v>3300</v>
      </c>
      <c r="B4" t="s">
        <v>3301</v>
      </c>
      <c r="C4" t="s">
        <v>3302</v>
      </c>
      <c r="D4" t="s">
        <v>3303</v>
      </c>
      <c r="F4" t="s">
        <v>3304</v>
      </c>
      <c r="G4" t="s">
        <v>3305</v>
      </c>
      <c r="H4" t="s">
        <v>3306</v>
      </c>
      <c r="I4" t="s">
        <v>3307</v>
      </c>
      <c r="J4" t="s">
        <v>3308</v>
      </c>
    </row>
    <row r="5">
      <c r="A5" t="s">
        <v>3309</v>
      </c>
      <c r="B5" t="s">
        <v>3310</v>
      </c>
      <c r="C5" t="s">
        <v>3311</v>
      </c>
      <c r="D5" t="s">
        <v>2698</v>
      </c>
      <c r="F5" t="s">
        <v>3312</v>
      </c>
      <c r="G5" t="s">
        <v>3313</v>
      </c>
      <c r="H5" t="s">
        <v>3314</v>
      </c>
      <c r="I5" t="s">
        <v>3315</v>
      </c>
      <c r="J5" t="s">
        <v>3316</v>
      </c>
    </row>
    <row r="6">
      <c r="A6" t="s">
        <v>3317</v>
      </c>
      <c r="B6" t="s">
        <v>3318</v>
      </c>
      <c r="C6" t="s">
        <v>3319</v>
      </c>
      <c r="D6" t="s">
        <v>956</v>
      </c>
      <c r="F6" t="s">
        <v>3320</v>
      </c>
      <c r="G6" t="s">
        <v>3321</v>
      </c>
      <c r="H6" t="s">
        <v>3322</v>
      </c>
      <c r="I6" t="s">
        <v>3323</v>
      </c>
      <c r="J6" t="s">
        <v>3316</v>
      </c>
    </row>
    <row r="7">
      <c r="A7" t="s">
        <v>3324</v>
      </c>
      <c r="B7" t="s">
        <v>3325</v>
      </c>
      <c r="C7" t="s">
        <v>3326</v>
      </c>
      <c r="D7" t="s">
        <v>2780</v>
      </c>
      <c r="F7" t="s">
        <v>256</v>
      </c>
      <c r="G7" t="s">
        <v>3327</v>
      </c>
      <c r="H7" t="s">
        <v>3328</v>
      </c>
      <c r="I7" t="s">
        <v>3329</v>
      </c>
      <c r="J7" t="s">
        <v>3316</v>
      </c>
    </row>
    <row r="8">
      <c r="A8" t="s">
        <v>3330</v>
      </c>
      <c r="B8" t="s">
        <v>3331</v>
      </c>
      <c r="C8" t="s">
        <v>3332</v>
      </c>
      <c r="D8" t="s">
        <v>956</v>
      </c>
      <c r="F8" t="s">
        <v>3333</v>
      </c>
      <c r="G8" t="s">
        <v>3334</v>
      </c>
      <c r="H8" t="s">
        <v>3335</v>
      </c>
      <c r="I8" t="s">
        <v>3336</v>
      </c>
      <c r="J8" t="s">
        <v>3316</v>
      </c>
    </row>
    <row r="9">
      <c r="A9" t="s">
        <v>3337</v>
      </c>
      <c r="B9" t="s">
        <v>3338</v>
      </c>
      <c r="C9" t="s">
        <v>3339</v>
      </c>
      <c r="D9" t="s">
        <v>2780</v>
      </c>
      <c r="F9" t="s">
        <v>3340</v>
      </c>
      <c r="G9" t="s">
        <v>288</v>
      </c>
      <c r="H9" t="s">
        <v>3341</v>
      </c>
      <c r="I9" t="s">
        <v>3342</v>
      </c>
      <c r="J9" t="s">
        <v>3316</v>
      </c>
    </row>
    <row r="10">
      <c r="A10" t="s">
        <v>2754</v>
      </c>
      <c r="B10" t="s">
        <v>235</v>
      </c>
      <c r="C10" t="s">
        <v>3291</v>
      </c>
      <c r="D10" t="s">
        <v>956</v>
      </c>
      <c r="F10" t="s">
        <v>3343</v>
      </c>
      <c r="G10" t="s">
        <v>3344</v>
      </c>
      <c r="H10" t="s">
        <v>3345</v>
      </c>
      <c r="I10" t="s">
        <v>3346</v>
      </c>
      <c r="J10" t="s">
        <v>3347</v>
      </c>
    </row>
    <row r="11">
      <c r="A11" t="s">
        <v>2779</v>
      </c>
      <c r="B11" t="s">
        <v>3348</v>
      </c>
      <c r="C11" t="s">
        <v>3326</v>
      </c>
      <c r="D11" t="s">
        <v>2780</v>
      </c>
      <c r="F11" t="s">
        <v>3349</v>
      </c>
      <c r="G11" t="s">
        <v>3350</v>
      </c>
      <c r="H11" t="s">
        <v>3351</v>
      </c>
      <c r="I11" t="s">
        <v>3352</v>
      </c>
      <c r="J11" t="s">
        <v>3347</v>
      </c>
    </row>
    <row r="12">
      <c r="A12" t="s">
        <v>3353</v>
      </c>
      <c r="B12" t="s">
        <v>3354</v>
      </c>
      <c r="C12" t="s">
        <v>3355</v>
      </c>
      <c r="D12" t="s">
        <v>956</v>
      </c>
    </row>
    <row r="15">
      <c r="A15" t="s">
        <v>3356</v>
      </c>
    </row>
    <row r="16">
      <c r="A16" t="s">
        <v>3357</v>
      </c>
    </row>
    <row r="17">
      <c r="A17" t="s">
        <v>538</v>
      </c>
      <c r="B17" t="s">
        <v>3358</v>
      </c>
    </row>
    <row r="18">
      <c r="A18" t="s">
        <v>3359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1" width="8.71"/>
  </cols>
  <sheetData>
    <row r="1">
      <c r="A1" t="s">
        <v>3360</v>
      </c>
    </row>
    <row r="4">
      <c r="A4" t="s">
        <v>3361</v>
      </c>
      <c r="B4" t="s">
        <v>564</v>
      </c>
      <c r="C4" t="s">
        <v>3362</v>
      </c>
      <c r="D4" t="s">
        <v>3363</v>
      </c>
      <c r="E4" t="s">
        <v>3364</v>
      </c>
      <c r="F4" t="s">
        <v>3365</v>
      </c>
      <c r="G4" t="s">
        <v>3366</v>
      </c>
      <c r="H4" t="s">
        <v>6</v>
      </c>
    </row>
    <row r="5">
      <c r="A5" t="s">
        <v>288</v>
      </c>
      <c r="B5" t="s">
        <v>3367</v>
      </c>
      <c r="C5" t="s">
        <v>1266</v>
      </c>
      <c r="D5" t="s">
        <v>3368</v>
      </c>
      <c r="E5" t="s">
        <v>3369</v>
      </c>
      <c r="F5" t="s">
        <v>3370</v>
      </c>
      <c r="G5" t="s">
        <v>3371</v>
      </c>
      <c r="H5" t="s">
        <v>3372</v>
      </c>
    </row>
    <row r="6">
      <c r="A6" t="s">
        <v>3313</v>
      </c>
      <c r="B6" t="s">
        <v>2175</v>
      </c>
      <c r="C6" t="s">
        <v>1223</v>
      </c>
      <c r="D6" t="s">
        <v>3373</v>
      </c>
      <c r="E6" t="s">
        <v>3374</v>
      </c>
      <c r="F6" t="s">
        <v>3375</v>
      </c>
      <c r="G6" t="s">
        <v>3376</v>
      </c>
    </row>
    <row r="7">
      <c r="A7" t="s">
        <v>3334</v>
      </c>
      <c r="B7" t="s">
        <v>2175</v>
      </c>
      <c r="C7" t="s">
        <v>1223</v>
      </c>
      <c r="D7" t="s">
        <v>3373</v>
      </c>
      <c r="E7" t="s">
        <v>3374</v>
      </c>
      <c r="F7" t="s">
        <v>3377</v>
      </c>
      <c r="G7" t="s">
        <v>3378</v>
      </c>
    </row>
    <row r="8">
      <c r="A8" t="s">
        <v>3379</v>
      </c>
      <c r="B8" t="s">
        <v>2175</v>
      </c>
      <c r="C8" t="s">
        <v>1223</v>
      </c>
      <c r="D8" t="s">
        <v>3380</v>
      </c>
      <c r="E8" t="s">
        <v>3381</v>
      </c>
      <c r="F8" t="s">
        <v>3382</v>
      </c>
      <c r="G8" t="s">
        <v>3383</v>
      </c>
      <c r="H8" t="s">
        <v>3384</v>
      </c>
    </row>
    <row r="9">
      <c r="A9" t="s">
        <v>3327</v>
      </c>
      <c r="B9" t="s">
        <v>2175</v>
      </c>
      <c r="C9" t="s">
        <v>1223</v>
      </c>
      <c r="D9" t="s">
        <v>3385</v>
      </c>
      <c r="E9" t="s">
        <v>3381</v>
      </c>
      <c r="F9" t="s">
        <v>3386</v>
      </c>
      <c r="G9" t="s">
        <v>3383</v>
      </c>
    </row>
    <row r="10">
      <c r="A10" t="s">
        <v>3387</v>
      </c>
      <c r="B10" t="s">
        <v>3367</v>
      </c>
      <c r="C10" t="s">
        <v>1266</v>
      </c>
      <c r="D10" t="s">
        <v>3388</v>
      </c>
      <c r="E10" t="s">
        <v>3389</v>
      </c>
      <c r="F10" t="s">
        <v>3390</v>
      </c>
      <c r="G10" t="s">
        <v>3391</v>
      </c>
      <c r="H10" t="s">
        <v>3392</v>
      </c>
    </row>
    <row r="11">
      <c r="A11" t="s">
        <v>3393</v>
      </c>
      <c r="B11" t="s">
        <v>2175</v>
      </c>
      <c r="C11" t="s">
        <v>1223</v>
      </c>
      <c r="D11" t="s">
        <v>3388</v>
      </c>
      <c r="E11" t="s">
        <v>3389</v>
      </c>
      <c r="F11" t="s">
        <v>3390</v>
      </c>
      <c r="G11" t="s">
        <v>3391</v>
      </c>
      <c r="H11" t="s">
        <v>3394</v>
      </c>
    </row>
    <row r="12">
      <c r="A12" t="s">
        <v>3395</v>
      </c>
      <c r="B12" t="s">
        <v>3396</v>
      </c>
      <c r="C12" t="s">
        <v>3397</v>
      </c>
      <c r="D12" t="s">
        <v>3398</v>
      </c>
      <c r="E12" t="s">
        <v>3399</v>
      </c>
      <c r="F12" t="s">
        <v>3400</v>
      </c>
      <c r="G12" t="s">
        <v>3391</v>
      </c>
    </row>
    <row r="13">
      <c r="A13" s="5" t="s">
        <v>3401</v>
      </c>
      <c r="B13" s="5" t="s">
        <v>3367</v>
      </c>
      <c r="C13" s="5" t="s">
        <v>1266</v>
      </c>
      <c r="D13" s="5" t="s">
        <v>3402</v>
      </c>
      <c r="E13" s="5" t="s">
        <v>3403</v>
      </c>
      <c r="F13" s="5" t="s">
        <v>3404</v>
      </c>
      <c r="G13" s="5" t="s">
        <v>3405</v>
      </c>
      <c r="H13" s="5" t="s">
        <v>3406</v>
      </c>
    </row>
    <row r="14">
      <c r="A14" s="5" t="s">
        <v>3407</v>
      </c>
      <c r="B14" s="5" t="s">
        <v>3367</v>
      </c>
      <c r="C14" s="5" t="s">
        <v>1266</v>
      </c>
      <c r="D14" s="5" t="s">
        <v>3402</v>
      </c>
      <c r="E14" s="5" t="s">
        <v>3408</v>
      </c>
      <c r="F14" s="5" t="s">
        <v>3409</v>
      </c>
      <c r="G14" s="5" t="s">
        <v>3405</v>
      </c>
      <c r="H14" s="5" t="s">
        <v>3410</v>
      </c>
    </row>
    <row r="15">
      <c r="A15" s="5" t="s">
        <v>3411</v>
      </c>
      <c r="B15" s="5" t="s">
        <v>3367</v>
      </c>
      <c r="C15" s="5" t="s">
        <v>1266</v>
      </c>
      <c r="D15" s="5" t="s">
        <v>3402</v>
      </c>
      <c r="E15" s="5" t="s">
        <v>3412</v>
      </c>
      <c r="F15" s="5" t="s">
        <v>3413</v>
      </c>
      <c r="G15" s="5" t="s">
        <v>3405</v>
      </c>
      <c r="H15" s="5" t="s">
        <v>3414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34" width="8.71"/>
  </cols>
  <sheetData>
    <row r="1">
      <c r="A1" t="s">
        <v>3415</v>
      </c>
    </row>
    <row r="4">
      <c r="A4" t="s">
        <v>2468</v>
      </c>
      <c r="B4" t="s">
        <v>2469</v>
      </c>
      <c r="C4" t="s">
        <v>133</v>
      </c>
      <c r="D4" t="s">
        <v>2104</v>
      </c>
      <c r="E4" t="s">
        <v>3416</v>
      </c>
      <c r="F4" t="s">
        <v>3417</v>
      </c>
      <c r="G4" t="s">
        <v>3418</v>
      </c>
      <c r="H4" t="s">
        <v>2333</v>
      </c>
      <c r="I4" t="s">
        <v>565</v>
      </c>
      <c r="J4" t="s">
        <v>2470</v>
      </c>
      <c r="K4" t="s">
        <v>2471</v>
      </c>
      <c r="L4" t="s">
        <v>1266</v>
      </c>
      <c r="M4" t="s">
        <v>1223</v>
      </c>
      <c r="N4" t="s">
        <v>82</v>
      </c>
      <c r="O4" t="s">
        <v>89</v>
      </c>
      <c r="P4" t="s">
        <v>94</v>
      </c>
      <c r="Q4" t="s">
        <v>106</v>
      </c>
      <c r="R4" t="s">
        <v>98</v>
      </c>
      <c r="S4" t="s">
        <v>111</v>
      </c>
      <c r="T4" t="s">
        <v>3419</v>
      </c>
      <c r="U4" t="s">
        <v>919</v>
      </c>
      <c r="V4" t="s">
        <v>2472</v>
      </c>
      <c r="W4" t="s">
        <v>2473</v>
      </c>
      <c r="X4" t="s">
        <v>3420</v>
      </c>
      <c r="Y4" t="s">
        <v>2336</v>
      </c>
      <c r="Z4" t="s">
        <v>2338</v>
      </c>
      <c r="AA4" t="s">
        <v>3421</v>
      </c>
      <c r="AB4" t="s">
        <v>2341</v>
      </c>
      <c r="AC4" t="s">
        <v>2343</v>
      </c>
      <c r="AD4" t="s">
        <v>1180</v>
      </c>
      <c r="AE4" t="s">
        <v>3422</v>
      </c>
      <c r="AF4" t="s">
        <v>3423</v>
      </c>
      <c r="AG4" t="s">
        <v>3424</v>
      </c>
      <c r="AH4" t="s">
        <v>6</v>
      </c>
    </row>
    <row r="5">
      <c r="A5" t="s">
        <v>2474</v>
      </c>
      <c r="B5" t="s">
        <v>1855</v>
      </c>
      <c r="C5" t="s">
        <v>569</v>
      </c>
      <c r="D5" t="s">
        <v>2109</v>
      </c>
      <c r="E5" t="s">
        <v>1855</v>
      </c>
      <c r="F5" t="s">
        <v>2349</v>
      </c>
      <c r="G5" t="s">
        <v>1856</v>
      </c>
      <c r="H5" t="s">
        <v>573</v>
      </c>
      <c r="I5" t="s">
        <v>94</v>
      </c>
      <c r="J5">
        <v>2.0</v>
      </c>
      <c r="K5">
        <v>3.0</v>
      </c>
      <c r="L5">
        <v>0.0</v>
      </c>
      <c r="M5">
        <v>0.0</v>
      </c>
      <c r="N5">
        <v>0.0</v>
      </c>
      <c r="O5">
        <v>0.0</v>
      </c>
      <c r="P5">
        <v>1.0</v>
      </c>
      <c r="Q5">
        <v>0.0</v>
      </c>
      <c r="R5">
        <v>0.0</v>
      </c>
      <c r="S5">
        <v>0.0</v>
      </c>
      <c r="T5">
        <v>0.0</v>
      </c>
      <c r="U5">
        <v>0.0</v>
      </c>
      <c r="V5">
        <v>0.0</v>
      </c>
      <c r="W5">
        <v>0.0</v>
      </c>
      <c r="X5" t="s">
        <v>2350</v>
      </c>
      <c r="Y5">
        <v>2.0</v>
      </c>
      <c r="Z5">
        <v>110.0</v>
      </c>
      <c r="AA5" t="s">
        <v>2352</v>
      </c>
      <c r="AB5">
        <v>3.0</v>
      </c>
      <c r="AC5">
        <v>120.0</v>
      </c>
      <c r="AD5">
        <v>1.0</v>
      </c>
      <c r="AE5" t="s">
        <v>2353</v>
      </c>
      <c r="AG5" t="s">
        <v>2354</v>
      </c>
      <c r="AH5" t="s">
        <v>3425</v>
      </c>
    </row>
    <row r="6">
      <c r="A6" t="s">
        <v>2476</v>
      </c>
      <c r="B6" t="s">
        <v>2477</v>
      </c>
      <c r="C6" t="s">
        <v>572</v>
      </c>
      <c r="D6" t="s">
        <v>2109</v>
      </c>
      <c r="E6" t="s">
        <v>1855</v>
      </c>
      <c r="F6" t="s">
        <v>2349</v>
      </c>
      <c r="G6" t="s">
        <v>1856</v>
      </c>
      <c r="H6" t="s">
        <v>573</v>
      </c>
      <c r="I6" t="s">
        <v>94</v>
      </c>
      <c r="J6">
        <v>3.0</v>
      </c>
      <c r="K6">
        <v>4.0</v>
      </c>
      <c r="L6">
        <v>0.0</v>
      </c>
      <c r="M6">
        <v>0.0</v>
      </c>
      <c r="N6">
        <v>0.0</v>
      </c>
      <c r="O6">
        <v>0.0</v>
      </c>
      <c r="P6">
        <v>1.0</v>
      </c>
      <c r="Q6">
        <v>0.0</v>
      </c>
      <c r="R6">
        <v>0.0</v>
      </c>
      <c r="S6">
        <v>0.0</v>
      </c>
      <c r="T6">
        <v>1.0</v>
      </c>
      <c r="U6">
        <v>0.0</v>
      </c>
      <c r="V6">
        <v>0.0</v>
      </c>
      <c r="W6">
        <v>0.0</v>
      </c>
      <c r="X6" t="s">
        <v>2350</v>
      </c>
      <c r="Y6">
        <v>2.0</v>
      </c>
      <c r="Z6">
        <v>110.0</v>
      </c>
      <c r="AA6" t="s">
        <v>2352</v>
      </c>
      <c r="AB6">
        <v>3.0</v>
      </c>
      <c r="AC6">
        <v>120.0</v>
      </c>
      <c r="AD6">
        <v>1.0</v>
      </c>
      <c r="AE6" t="s">
        <v>2353</v>
      </c>
      <c r="AG6" t="s">
        <v>2354</v>
      </c>
      <c r="AH6" t="s">
        <v>3425</v>
      </c>
    </row>
    <row r="7">
      <c r="A7" t="s">
        <v>2478</v>
      </c>
      <c r="B7" t="s">
        <v>2479</v>
      </c>
      <c r="C7" t="s">
        <v>575</v>
      </c>
      <c r="D7" t="s">
        <v>2109</v>
      </c>
      <c r="E7" t="s">
        <v>1855</v>
      </c>
      <c r="F7" t="s">
        <v>2349</v>
      </c>
      <c r="G7" t="s">
        <v>1856</v>
      </c>
      <c r="H7" t="s">
        <v>573</v>
      </c>
      <c r="I7" t="s">
        <v>94</v>
      </c>
      <c r="J7">
        <v>3.0</v>
      </c>
      <c r="K7">
        <v>5.0</v>
      </c>
      <c r="L7">
        <v>0.0</v>
      </c>
      <c r="M7">
        <v>0.0</v>
      </c>
      <c r="N7">
        <v>0.0</v>
      </c>
      <c r="O7">
        <v>0.0</v>
      </c>
      <c r="P7">
        <v>2.0</v>
      </c>
      <c r="Q7">
        <v>0.0</v>
      </c>
      <c r="R7">
        <v>0.0</v>
      </c>
      <c r="S7">
        <v>0.0</v>
      </c>
      <c r="T7">
        <v>1.0</v>
      </c>
      <c r="U7">
        <v>1.0</v>
      </c>
      <c r="V7">
        <v>0.0</v>
      </c>
      <c r="W7">
        <v>0.0</v>
      </c>
      <c r="X7" t="s">
        <v>2350</v>
      </c>
      <c r="Y7">
        <v>2.0</v>
      </c>
      <c r="Z7">
        <v>110.0</v>
      </c>
      <c r="AA7" t="s">
        <v>2352</v>
      </c>
      <c r="AB7">
        <v>3.0</v>
      </c>
      <c r="AC7">
        <v>120.0</v>
      </c>
      <c r="AD7">
        <v>1.0</v>
      </c>
      <c r="AE7" t="s">
        <v>2353</v>
      </c>
      <c r="AG7" t="s">
        <v>2354</v>
      </c>
      <c r="AH7" t="s">
        <v>3425</v>
      </c>
    </row>
    <row r="8">
      <c r="A8" t="s">
        <v>2480</v>
      </c>
      <c r="B8" t="s">
        <v>2481</v>
      </c>
      <c r="C8" t="s">
        <v>578</v>
      </c>
      <c r="D8" t="s">
        <v>2109</v>
      </c>
      <c r="E8" t="s">
        <v>1855</v>
      </c>
      <c r="F8" t="s">
        <v>2349</v>
      </c>
      <c r="G8" t="s">
        <v>1856</v>
      </c>
      <c r="H8" t="s">
        <v>573</v>
      </c>
      <c r="I8" t="s">
        <v>94</v>
      </c>
      <c r="J8">
        <v>4.0</v>
      </c>
      <c r="K8">
        <v>6.0</v>
      </c>
      <c r="L8">
        <v>0.0</v>
      </c>
      <c r="M8">
        <v>0.0</v>
      </c>
      <c r="N8">
        <v>0.0</v>
      </c>
      <c r="O8">
        <v>0.0</v>
      </c>
      <c r="P8">
        <v>3.0</v>
      </c>
      <c r="Q8">
        <v>1.0</v>
      </c>
      <c r="R8">
        <v>0.0</v>
      </c>
      <c r="S8">
        <v>0.0</v>
      </c>
      <c r="T8">
        <v>1.0</v>
      </c>
      <c r="U8">
        <v>2.0</v>
      </c>
      <c r="V8">
        <v>0.0</v>
      </c>
      <c r="W8">
        <v>0.0</v>
      </c>
      <c r="X8" t="s">
        <v>2350</v>
      </c>
      <c r="Y8">
        <v>2.0</v>
      </c>
      <c r="Z8">
        <v>110.0</v>
      </c>
      <c r="AA8" t="s">
        <v>2352</v>
      </c>
      <c r="AB8">
        <v>3.0</v>
      </c>
      <c r="AC8">
        <v>120.0</v>
      </c>
      <c r="AD8">
        <v>1.0</v>
      </c>
      <c r="AE8" t="s">
        <v>2353</v>
      </c>
      <c r="AG8" t="s">
        <v>2354</v>
      </c>
      <c r="AH8" t="s">
        <v>3425</v>
      </c>
    </row>
    <row r="9">
      <c r="A9" t="s">
        <v>2482</v>
      </c>
      <c r="B9" t="s">
        <v>2483</v>
      </c>
      <c r="C9" t="s">
        <v>581</v>
      </c>
      <c r="D9" t="s">
        <v>2109</v>
      </c>
      <c r="E9" t="s">
        <v>1855</v>
      </c>
      <c r="F9" t="s">
        <v>2349</v>
      </c>
      <c r="G9" t="s">
        <v>1856</v>
      </c>
      <c r="H9" t="s">
        <v>573</v>
      </c>
      <c r="I9" t="s">
        <v>94</v>
      </c>
      <c r="J9">
        <v>5.0</v>
      </c>
      <c r="K9">
        <v>7.0</v>
      </c>
      <c r="L9">
        <v>0.0</v>
      </c>
      <c r="M9">
        <v>0.0</v>
      </c>
      <c r="N9">
        <v>0.0</v>
      </c>
      <c r="O9">
        <v>0.0</v>
      </c>
      <c r="P9">
        <v>4.0</v>
      </c>
      <c r="Q9">
        <v>1.0</v>
      </c>
      <c r="R9">
        <v>0.0</v>
      </c>
      <c r="S9">
        <v>0.0</v>
      </c>
      <c r="T9">
        <v>2.0</v>
      </c>
      <c r="U9">
        <v>3.0</v>
      </c>
      <c r="V9">
        <v>0.0</v>
      </c>
      <c r="W9">
        <v>0.0</v>
      </c>
      <c r="X9" t="s">
        <v>2350</v>
      </c>
      <c r="Y9">
        <v>2.0</v>
      </c>
      <c r="Z9">
        <v>110.0</v>
      </c>
      <c r="AA9" t="s">
        <v>2352</v>
      </c>
      <c r="AB9">
        <v>3.0</v>
      </c>
      <c r="AC9">
        <v>120.0</v>
      </c>
      <c r="AD9">
        <v>1.0</v>
      </c>
      <c r="AE9" t="s">
        <v>2353</v>
      </c>
      <c r="AG9" t="s">
        <v>2354</v>
      </c>
      <c r="AH9" t="s">
        <v>3425</v>
      </c>
    </row>
    <row r="10">
      <c r="A10" t="s">
        <v>2484</v>
      </c>
      <c r="B10" t="s">
        <v>2485</v>
      </c>
      <c r="C10" t="s">
        <v>584</v>
      </c>
      <c r="D10" t="s">
        <v>2109</v>
      </c>
      <c r="E10" t="s">
        <v>1855</v>
      </c>
      <c r="F10" t="s">
        <v>2349</v>
      </c>
      <c r="G10" t="s">
        <v>1856</v>
      </c>
      <c r="H10" t="s">
        <v>573</v>
      </c>
      <c r="I10" t="s">
        <v>94</v>
      </c>
      <c r="J10">
        <v>6.0</v>
      </c>
      <c r="K10">
        <v>8.0</v>
      </c>
      <c r="L10">
        <v>0.0</v>
      </c>
      <c r="M10">
        <v>0.0</v>
      </c>
      <c r="N10">
        <v>0.0</v>
      </c>
      <c r="O10">
        <v>0.0</v>
      </c>
      <c r="P10">
        <v>5.0</v>
      </c>
      <c r="Q10">
        <v>2.0</v>
      </c>
      <c r="R10">
        <v>0.0</v>
      </c>
      <c r="S10">
        <v>0.0</v>
      </c>
      <c r="T10">
        <v>2.0</v>
      </c>
      <c r="U10">
        <v>4.0</v>
      </c>
      <c r="V10">
        <v>0.0</v>
      </c>
      <c r="W10">
        <v>0.0</v>
      </c>
      <c r="X10" t="s">
        <v>2350</v>
      </c>
      <c r="Y10">
        <v>2.0</v>
      </c>
      <c r="Z10">
        <v>110.0</v>
      </c>
      <c r="AA10" t="s">
        <v>2352</v>
      </c>
      <c r="AB10">
        <v>3.0</v>
      </c>
      <c r="AC10">
        <v>120.0</v>
      </c>
      <c r="AD10">
        <v>1.0</v>
      </c>
      <c r="AE10" t="s">
        <v>2353</v>
      </c>
      <c r="AG10" t="s">
        <v>2354</v>
      </c>
      <c r="AH10" t="s">
        <v>3425</v>
      </c>
    </row>
    <row r="11">
      <c r="A11" t="s">
        <v>2486</v>
      </c>
      <c r="B11" t="s">
        <v>1972</v>
      </c>
      <c r="C11" t="s">
        <v>569</v>
      </c>
      <c r="D11" t="s">
        <v>2109</v>
      </c>
      <c r="E11" t="s">
        <v>1972</v>
      </c>
      <c r="F11" t="s">
        <v>2349</v>
      </c>
      <c r="G11" t="s">
        <v>2356</v>
      </c>
      <c r="H11" t="s">
        <v>573</v>
      </c>
      <c r="I11" t="s">
        <v>94</v>
      </c>
      <c r="J11">
        <v>3.0</v>
      </c>
      <c r="K11">
        <v>4.0</v>
      </c>
      <c r="L11">
        <v>0.0</v>
      </c>
      <c r="M11">
        <v>0.0</v>
      </c>
      <c r="N11">
        <v>0.0</v>
      </c>
      <c r="O11">
        <v>0.0</v>
      </c>
      <c r="P11">
        <v>1.0</v>
      </c>
      <c r="Q11">
        <v>0.0</v>
      </c>
      <c r="R11">
        <v>0.0</v>
      </c>
      <c r="S11">
        <v>0.0</v>
      </c>
      <c r="T11">
        <v>0.0</v>
      </c>
      <c r="U11">
        <v>0.0</v>
      </c>
      <c r="V11">
        <v>0.0</v>
      </c>
      <c r="W11">
        <v>0.0</v>
      </c>
      <c r="X11" t="s">
        <v>2357</v>
      </c>
      <c r="Y11">
        <v>2.0</v>
      </c>
      <c r="Z11">
        <v>110.0</v>
      </c>
      <c r="AA11" t="s">
        <v>2359</v>
      </c>
      <c r="AB11">
        <v>3.0</v>
      </c>
      <c r="AC11">
        <v>120.0</v>
      </c>
      <c r="AD11">
        <v>1.0</v>
      </c>
      <c r="AE11" t="s">
        <v>2360</v>
      </c>
      <c r="AG11" t="s">
        <v>2361</v>
      </c>
      <c r="AH11" t="s">
        <v>3425</v>
      </c>
    </row>
    <row r="12">
      <c r="A12" t="s">
        <v>2487</v>
      </c>
      <c r="B12" t="s">
        <v>2488</v>
      </c>
      <c r="C12" t="s">
        <v>572</v>
      </c>
      <c r="D12" t="s">
        <v>2109</v>
      </c>
      <c r="E12" t="s">
        <v>1972</v>
      </c>
      <c r="F12" t="s">
        <v>2349</v>
      </c>
      <c r="G12" t="s">
        <v>2356</v>
      </c>
      <c r="H12" t="s">
        <v>573</v>
      </c>
      <c r="I12" t="s">
        <v>94</v>
      </c>
      <c r="J12">
        <v>4.0</v>
      </c>
      <c r="K12">
        <v>5.0</v>
      </c>
      <c r="L12">
        <v>0.0</v>
      </c>
      <c r="M12">
        <v>0.0</v>
      </c>
      <c r="N12">
        <v>0.0</v>
      </c>
      <c r="O12">
        <v>0.0</v>
      </c>
      <c r="P12">
        <v>1.0</v>
      </c>
      <c r="Q12">
        <v>0.0</v>
      </c>
      <c r="R12">
        <v>0.0</v>
      </c>
      <c r="S12">
        <v>0.0</v>
      </c>
      <c r="T12">
        <v>1.0</v>
      </c>
      <c r="U12">
        <v>0.0</v>
      </c>
      <c r="V12">
        <v>0.0</v>
      </c>
      <c r="W12">
        <v>0.0</v>
      </c>
      <c r="X12" t="s">
        <v>2357</v>
      </c>
      <c r="Y12">
        <v>2.0</v>
      </c>
      <c r="Z12">
        <v>110.0</v>
      </c>
      <c r="AA12" t="s">
        <v>2359</v>
      </c>
      <c r="AB12">
        <v>3.0</v>
      </c>
      <c r="AC12">
        <v>120.0</v>
      </c>
      <c r="AD12">
        <v>1.0</v>
      </c>
      <c r="AE12" t="s">
        <v>2360</v>
      </c>
      <c r="AG12" t="s">
        <v>2361</v>
      </c>
      <c r="AH12" t="s">
        <v>3425</v>
      </c>
    </row>
    <row r="13">
      <c r="A13" t="s">
        <v>2489</v>
      </c>
      <c r="B13" t="s">
        <v>2490</v>
      </c>
      <c r="C13" t="s">
        <v>575</v>
      </c>
      <c r="D13" t="s">
        <v>2109</v>
      </c>
      <c r="E13" t="s">
        <v>1972</v>
      </c>
      <c r="F13" t="s">
        <v>2349</v>
      </c>
      <c r="G13" t="s">
        <v>2356</v>
      </c>
      <c r="H13" t="s">
        <v>573</v>
      </c>
      <c r="I13" t="s">
        <v>94</v>
      </c>
      <c r="J13">
        <v>5.0</v>
      </c>
      <c r="K13">
        <v>6.0</v>
      </c>
      <c r="L13">
        <v>0.0</v>
      </c>
      <c r="M13">
        <v>0.0</v>
      </c>
      <c r="N13">
        <v>0.0</v>
      </c>
      <c r="O13">
        <v>0.0</v>
      </c>
      <c r="P13">
        <v>2.0</v>
      </c>
      <c r="Q13">
        <v>0.0</v>
      </c>
      <c r="R13">
        <v>0.0</v>
      </c>
      <c r="S13">
        <v>0.0</v>
      </c>
      <c r="T13">
        <v>1.0</v>
      </c>
      <c r="U13">
        <v>1.0</v>
      </c>
      <c r="V13">
        <v>0.0</v>
      </c>
      <c r="W13">
        <v>0.0</v>
      </c>
      <c r="X13" t="s">
        <v>2357</v>
      </c>
      <c r="Y13">
        <v>2.0</v>
      </c>
      <c r="Z13">
        <v>110.0</v>
      </c>
      <c r="AA13" t="s">
        <v>2359</v>
      </c>
      <c r="AB13">
        <v>3.0</v>
      </c>
      <c r="AC13">
        <v>120.0</v>
      </c>
      <c r="AD13">
        <v>1.0</v>
      </c>
      <c r="AE13" t="s">
        <v>2360</v>
      </c>
      <c r="AG13" t="s">
        <v>2361</v>
      </c>
      <c r="AH13" t="s">
        <v>3425</v>
      </c>
    </row>
    <row r="14">
      <c r="A14" t="s">
        <v>2491</v>
      </c>
      <c r="B14" t="s">
        <v>2492</v>
      </c>
      <c r="C14" t="s">
        <v>578</v>
      </c>
      <c r="D14" t="s">
        <v>2109</v>
      </c>
      <c r="E14" t="s">
        <v>1972</v>
      </c>
      <c r="F14" t="s">
        <v>2349</v>
      </c>
      <c r="G14" t="s">
        <v>2356</v>
      </c>
      <c r="H14" t="s">
        <v>573</v>
      </c>
      <c r="I14" t="s">
        <v>94</v>
      </c>
      <c r="J14">
        <v>6.0</v>
      </c>
      <c r="K14">
        <v>8.0</v>
      </c>
      <c r="L14">
        <v>0.0</v>
      </c>
      <c r="M14">
        <v>0.0</v>
      </c>
      <c r="N14">
        <v>1.0</v>
      </c>
      <c r="O14">
        <v>0.0</v>
      </c>
      <c r="P14">
        <v>3.0</v>
      </c>
      <c r="Q14">
        <v>0.0</v>
      </c>
      <c r="R14">
        <v>0.0</v>
      </c>
      <c r="S14">
        <v>0.0</v>
      </c>
      <c r="T14">
        <v>1.0</v>
      </c>
      <c r="U14">
        <v>2.0</v>
      </c>
      <c r="V14">
        <v>0.0</v>
      </c>
      <c r="W14">
        <v>0.0</v>
      </c>
      <c r="X14" t="s">
        <v>2357</v>
      </c>
      <c r="Y14">
        <v>2.0</v>
      </c>
      <c r="Z14">
        <v>110.0</v>
      </c>
      <c r="AA14" t="s">
        <v>2359</v>
      </c>
      <c r="AB14">
        <v>3.0</v>
      </c>
      <c r="AC14">
        <v>120.0</v>
      </c>
      <c r="AD14">
        <v>1.0</v>
      </c>
      <c r="AE14" t="s">
        <v>2360</v>
      </c>
      <c r="AG14" t="s">
        <v>2361</v>
      </c>
      <c r="AH14" t="s">
        <v>3425</v>
      </c>
    </row>
    <row r="15">
      <c r="A15" t="s">
        <v>2493</v>
      </c>
      <c r="B15" t="s">
        <v>2494</v>
      </c>
      <c r="C15" t="s">
        <v>581</v>
      </c>
      <c r="D15" t="s">
        <v>2109</v>
      </c>
      <c r="E15" t="s">
        <v>1972</v>
      </c>
      <c r="F15" t="s">
        <v>2349</v>
      </c>
      <c r="G15" t="s">
        <v>2356</v>
      </c>
      <c r="H15" t="s">
        <v>573</v>
      </c>
      <c r="I15" t="s">
        <v>94</v>
      </c>
      <c r="J15">
        <v>7.0</v>
      </c>
      <c r="K15">
        <v>9.0</v>
      </c>
      <c r="L15">
        <v>0.0</v>
      </c>
      <c r="M15">
        <v>0.0</v>
      </c>
      <c r="N15">
        <v>1.0</v>
      </c>
      <c r="O15">
        <v>0.0</v>
      </c>
      <c r="P15">
        <v>4.0</v>
      </c>
      <c r="Q15">
        <v>0.0</v>
      </c>
      <c r="R15">
        <v>0.0</v>
      </c>
      <c r="S15">
        <v>0.0</v>
      </c>
      <c r="T15">
        <v>2.0</v>
      </c>
      <c r="U15">
        <v>3.0</v>
      </c>
      <c r="V15">
        <v>0.0</v>
      </c>
      <c r="W15">
        <v>0.0</v>
      </c>
      <c r="X15" t="s">
        <v>2357</v>
      </c>
      <c r="Y15">
        <v>2.0</v>
      </c>
      <c r="Z15">
        <v>110.0</v>
      </c>
      <c r="AA15" t="s">
        <v>2359</v>
      </c>
      <c r="AB15">
        <v>3.0</v>
      </c>
      <c r="AC15">
        <v>120.0</v>
      </c>
      <c r="AD15">
        <v>1.0</v>
      </c>
      <c r="AE15" t="s">
        <v>2360</v>
      </c>
      <c r="AG15" t="s">
        <v>2361</v>
      </c>
      <c r="AH15" t="s">
        <v>3425</v>
      </c>
    </row>
    <row r="16">
      <c r="A16" t="s">
        <v>2495</v>
      </c>
      <c r="B16" t="s">
        <v>2496</v>
      </c>
      <c r="C16" t="s">
        <v>584</v>
      </c>
      <c r="D16" t="s">
        <v>2109</v>
      </c>
      <c r="E16" t="s">
        <v>1972</v>
      </c>
      <c r="F16" t="s">
        <v>2349</v>
      </c>
      <c r="G16" t="s">
        <v>2356</v>
      </c>
      <c r="H16" t="s">
        <v>573</v>
      </c>
      <c r="I16" t="s">
        <v>94</v>
      </c>
      <c r="J16">
        <v>8.0</v>
      </c>
      <c r="K16">
        <v>11.0</v>
      </c>
      <c r="L16">
        <v>0.0</v>
      </c>
      <c r="M16">
        <v>0.0</v>
      </c>
      <c r="N16">
        <v>2.0</v>
      </c>
      <c r="O16">
        <v>0.0</v>
      </c>
      <c r="P16">
        <v>5.0</v>
      </c>
      <c r="Q16">
        <v>0.0</v>
      </c>
      <c r="R16">
        <v>0.0</v>
      </c>
      <c r="S16">
        <v>0.0</v>
      </c>
      <c r="T16">
        <v>2.0</v>
      </c>
      <c r="U16">
        <v>4.0</v>
      </c>
      <c r="V16">
        <v>0.0</v>
      </c>
      <c r="W16">
        <v>0.0</v>
      </c>
      <c r="X16" t="s">
        <v>2357</v>
      </c>
      <c r="Y16">
        <v>2.0</v>
      </c>
      <c r="Z16">
        <v>110.0</v>
      </c>
      <c r="AA16" t="s">
        <v>2359</v>
      </c>
      <c r="AB16">
        <v>3.0</v>
      </c>
      <c r="AC16">
        <v>120.0</v>
      </c>
      <c r="AD16">
        <v>1.0</v>
      </c>
      <c r="AE16" t="s">
        <v>2360</v>
      </c>
      <c r="AG16" t="s">
        <v>2361</v>
      </c>
      <c r="AH16" t="s">
        <v>3425</v>
      </c>
    </row>
    <row r="17">
      <c r="A17" t="s">
        <v>2497</v>
      </c>
      <c r="B17" t="s">
        <v>1985</v>
      </c>
      <c r="C17" t="s">
        <v>569</v>
      </c>
      <c r="D17" t="s">
        <v>2109</v>
      </c>
      <c r="E17" t="s">
        <v>1985</v>
      </c>
      <c r="F17" t="s">
        <v>2349</v>
      </c>
      <c r="G17" t="s">
        <v>2356</v>
      </c>
      <c r="H17" t="s">
        <v>573</v>
      </c>
      <c r="I17" t="s">
        <v>94</v>
      </c>
      <c r="J17">
        <v>3.0</v>
      </c>
      <c r="K17">
        <v>5.0</v>
      </c>
      <c r="L17">
        <v>0.0</v>
      </c>
      <c r="M17">
        <v>0.0</v>
      </c>
      <c r="N17">
        <v>0.0</v>
      </c>
      <c r="O17">
        <v>0.0</v>
      </c>
      <c r="P17">
        <v>1.0</v>
      </c>
      <c r="Q17">
        <v>0.0</v>
      </c>
      <c r="R17">
        <v>0.0</v>
      </c>
      <c r="S17">
        <v>0.0</v>
      </c>
      <c r="T17">
        <v>0.0</v>
      </c>
      <c r="U17">
        <v>0.0</v>
      </c>
      <c r="V17">
        <v>0.0</v>
      </c>
      <c r="W17">
        <v>0.0</v>
      </c>
      <c r="X17" t="s">
        <v>2362</v>
      </c>
      <c r="Y17">
        <v>2.0</v>
      </c>
      <c r="Z17">
        <v>100.0</v>
      </c>
      <c r="AA17" t="s">
        <v>2364</v>
      </c>
      <c r="AB17">
        <v>3.0</v>
      </c>
      <c r="AC17">
        <v>115.0</v>
      </c>
      <c r="AD17">
        <v>1.0</v>
      </c>
      <c r="AE17" t="s">
        <v>2365</v>
      </c>
      <c r="AG17" t="s">
        <v>2366</v>
      </c>
      <c r="AH17" t="s">
        <v>3425</v>
      </c>
    </row>
    <row r="18">
      <c r="A18" t="s">
        <v>2498</v>
      </c>
      <c r="B18" t="s">
        <v>2499</v>
      </c>
      <c r="C18" t="s">
        <v>572</v>
      </c>
      <c r="D18" t="s">
        <v>2109</v>
      </c>
      <c r="E18" t="s">
        <v>1985</v>
      </c>
      <c r="F18" t="s">
        <v>2349</v>
      </c>
      <c r="G18" t="s">
        <v>2356</v>
      </c>
      <c r="H18" t="s">
        <v>573</v>
      </c>
      <c r="I18" t="s">
        <v>94</v>
      </c>
      <c r="J18">
        <v>4.0</v>
      </c>
      <c r="K18">
        <v>6.0</v>
      </c>
      <c r="L18">
        <v>0.0</v>
      </c>
      <c r="M18">
        <v>0.0</v>
      </c>
      <c r="N18">
        <v>0.0</v>
      </c>
      <c r="O18">
        <v>0.0</v>
      </c>
      <c r="P18">
        <v>1.0</v>
      </c>
      <c r="Q18">
        <v>0.0</v>
      </c>
      <c r="R18">
        <v>0.0</v>
      </c>
      <c r="S18">
        <v>0.0</v>
      </c>
      <c r="T18">
        <v>1.0</v>
      </c>
      <c r="U18">
        <v>0.0</v>
      </c>
      <c r="V18">
        <v>0.0</v>
      </c>
      <c r="W18">
        <v>0.0</v>
      </c>
      <c r="X18" t="s">
        <v>2362</v>
      </c>
      <c r="Y18">
        <v>2.0</v>
      </c>
      <c r="Z18">
        <v>100.0</v>
      </c>
      <c r="AA18" t="s">
        <v>2364</v>
      </c>
      <c r="AB18">
        <v>3.0</v>
      </c>
      <c r="AC18">
        <v>115.0</v>
      </c>
      <c r="AD18">
        <v>1.0</v>
      </c>
      <c r="AE18" t="s">
        <v>2365</v>
      </c>
      <c r="AG18" t="s">
        <v>2366</v>
      </c>
      <c r="AH18" t="s">
        <v>3425</v>
      </c>
    </row>
    <row r="19">
      <c r="A19" t="s">
        <v>2500</v>
      </c>
      <c r="B19" t="s">
        <v>2501</v>
      </c>
      <c r="C19" t="s">
        <v>575</v>
      </c>
      <c r="D19" t="s">
        <v>2109</v>
      </c>
      <c r="E19" t="s">
        <v>1985</v>
      </c>
      <c r="F19" t="s">
        <v>2349</v>
      </c>
      <c r="G19" t="s">
        <v>2356</v>
      </c>
      <c r="H19" t="s">
        <v>573</v>
      </c>
      <c r="I19" t="s">
        <v>94</v>
      </c>
      <c r="J19">
        <v>5.0</v>
      </c>
      <c r="K19">
        <v>8.0</v>
      </c>
      <c r="L19">
        <v>0.0</v>
      </c>
      <c r="M19">
        <v>0.0</v>
      </c>
      <c r="N19">
        <v>0.0</v>
      </c>
      <c r="O19">
        <v>0.0</v>
      </c>
      <c r="P19">
        <v>2.0</v>
      </c>
      <c r="Q19">
        <v>0.0</v>
      </c>
      <c r="R19">
        <v>0.0</v>
      </c>
      <c r="S19">
        <v>0.0</v>
      </c>
      <c r="T19">
        <v>1.0</v>
      </c>
      <c r="U19">
        <v>1.0</v>
      </c>
      <c r="V19">
        <v>0.0</v>
      </c>
      <c r="W19">
        <v>0.0</v>
      </c>
      <c r="X19" t="s">
        <v>2362</v>
      </c>
      <c r="Y19">
        <v>2.0</v>
      </c>
      <c r="Z19">
        <v>100.0</v>
      </c>
      <c r="AA19" t="s">
        <v>2364</v>
      </c>
      <c r="AB19">
        <v>3.0</v>
      </c>
      <c r="AC19">
        <v>115.0</v>
      </c>
      <c r="AD19">
        <v>1.0</v>
      </c>
      <c r="AE19" t="s">
        <v>2365</v>
      </c>
      <c r="AG19" t="s">
        <v>2366</v>
      </c>
      <c r="AH19" t="s">
        <v>3425</v>
      </c>
    </row>
    <row r="20">
      <c r="A20" t="s">
        <v>2502</v>
      </c>
      <c r="B20" t="s">
        <v>2503</v>
      </c>
      <c r="C20" t="s">
        <v>578</v>
      </c>
      <c r="D20" t="s">
        <v>2109</v>
      </c>
      <c r="E20" t="s">
        <v>1985</v>
      </c>
      <c r="F20" t="s">
        <v>2349</v>
      </c>
      <c r="G20" t="s">
        <v>2356</v>
      </c>
      <c r="H20" t="s">
        <v>573</v>
      </c>
      <c r="I20" t="s">
        <v>94</v>
      </c>
      <c r="J20">
        <v>6.0</v>
      </c>
      <c r="K20">
        <v>10.0</v>
      </c>
      <c r="L20">
        <v>0.0</v>
      </c>
      <c r="M20">
        <v>0.0</v>
      </c>
      <c r="N20">
        <v>0.0</v>
      </c>
      <c r="O20">
        <v>0.0</v>
      </c>
      <c r="P20">
        <v>3.0</v>
      </c>
      <c r="Q20">
        <v>1.0</v>
      </c>
      <c r="R20">
        <v>0.0</v>
      </c>
      <c r="S20">
        <v>0.0</v>
      </c>
      <c r="T20">
        <v>1.0</v>
      </c>
      <c r="U20">
        <v>2.0</v>
      </c>
      <c r="V20">
        <v>0.0</v>
      </c>
      <c r="W20">
        <v>0.0</v>
      </c>
      <c r="X20" t="s">
        <v>2362</v>
      </c>
      <c r="Y20">
        <v>2.0</v>
      </c>
      <c r="Z20">
        <v>100.0</v>
      </c>
      <c r="AA20" t="s">
        <v>2364</v>
      </c>
      <c r="AB20">
        <v>3.0</v>
      </c>
      <c r="AC20">
        <v>115.0</v>
      </c>
      <c r="AD20">
        <v>1.0</v>
      </c>
      <c r="AE20" t="s">
        <v>2365</v>
      </c>
      <c r="AG20" t="s">
        <v>2366</v>
      </c>
      <c r="AH20" t="s">
        <v>3425</v>
      </c>
    </row>
    <row r="21" ht="15.75" customHeight="1">
      <c r="A21" t="s">
        <v>2504</v>
      </c>
      <c r="B21" t="s">
        <v>2505</v>
      </c>
      <c r="C21" t="s">
        <v>581</v>
      </c>
      <c r="D21" t="s">
        <v>2109</v>
      </c>
      <c r="E21" t="s">
        <v>1985</v>
      </c>
      <c r="F21" t="s">
        <v>2349</v>
      </c>
      <c r="G21" t="s">
        <v>2356</v>
      </c>
      <c r="H21" t="s">
        <v>573</v>
      </c>
      <c r="I21" t="s">
        <v>94</v>
      </c>
      <c r="J21">
        <v>7.0</v>
      </c>
      <c r="K21">
        <v>12.0</v>
      </c>
      <c r="L21">
        <v>0.0</v>
      </c>
      <c r="M21">
        <v>0.0</v>
      </c>
      <c r="N21">
        <v>0.0</v>
      </c>
      <c r="O21">
        <v>0.0</v>
      </c>
      <c r="P21">
        <v>4.0</v>
      </c>
      <c r="Q21">
        <v>1.0</v>
      </c>
      <c r="R21">
        <v>0.0</v>
      </c>
      <c r="S21">
        <v>0.0</v>
      </c>
      <c r="T21">
        <v>2.0</v>
      </c>
      <c r="U21">
        <v>3.0</v>
      </c>
      <c r="V21">
        <v>0.0</v>
      </c>
      <c r="W21">
        <v>0.0</v>
      </c>
      <c r="X21" t="s">
        <v>2362</v>
      </c>
      <c r="Y21">
        <v>2.0</v>
      </c>
      <c r="Z21">
        <v>100.0</v>
      </c>
      <c r="AA21" t="s">
        <v>2364</v>
      </c>
      <c r="AB21">
        <v>3.0</v>
      </c>
      <c r="AC21">
        <v>115.0</v>
      </c>
      <c r="AD21">
        <v>1.0</v>
      </c>
      <c r="AE21" t="s">
        <v>2365</v>
      </c>
      <c r="AG21" t="s">
        <v>2366</v>
      </c>
      <c r="AH21" t="s">
        <v>3425</v>
      </c>
    </row>
    <row r="22" ht="15.75" customHeight="1">
      <c r="A22" t="s">
        <v>2506</v>
      </c>
      <c r="B22" t="s">
        <v>2507</v>
      </c>
      <c r="C22" t="s">
        <v>584</v>
      </c>
      <c r="D22" t="s">
        <v>2109</v>
      </c>
      <c r="E22" t="s">
        <v>1985</v>
      </c>
      <c r="F22" t="s">
        <v>2349</v>
      </c>
      <c r="G22" t="s">
        <v>2356</v>
      </c>
      <c r="H22" t="s">
        <v>573</v>
      </c>
      <c r="I22" t="s">
        <v>94</v>
      </c>
      <c r="J22">
        <v>8.0</v>
      </c>
      <c r="K22">
        <v>14.0</v>
      </c>
      <c r="L22">
        <v>0.0</v>
      </c>
      <c r="M22">
        <v>0.0</v>
      </c>
      <c r="N22">
        <v>0.0</v>
      </c>
      <c r="O22">
        <v>0.0</v>
      </c>
      <c r="P22">
        <v>5.0</v>
      </c>
      <c r="Q22">
        <v>2.0</v>
      </c>
      <c r="R22">
        <v>0.0</v>
      </c>
      <c r="S22">
        <v>0.0</v>
      </c>
      <c r="T22">
        <v>2.0</v>
      </c>
      <c r="U22">
        <v>4.0</v>
      </c>
      <c r="V22">
        <v>0.0</v>
      </c>
      <c r="W22">
        <v>0.0</v>
      </c>
      <c r="X22" t="s">
        <v>2362</v>
      </c>
      <c r="Y22">
        <v>2.0</v>
      </c>
      <c r="Z22">
        <v>100.0</v>
      </c>
      <c r="AA22" t="s">
        <v>2364</v>
      </c>
      <c r="AB22">
        <v>3.0</v>
      </c>
      <c r="AC22">
        <v>115.0</v>
      </c>
      <c r="AD22">
        <v>1.0</v>
      </c>
      <c r="AE22" t="s">
        <v>2365</v>
      </c>
      <c r="AG22" t="s">
        <v>2366</v>
      </c>
      <c r="AH22" t="s">
        <v>3425</v>
      </c>
    </row>
    <row r="23" ht="15.75" customHeight="1">
      <c r="A23" t="s">
        <v>2508</v>
      </c>
      <c r="B23" t="s">
        <v>1870</v>
      </c>
      <c r="C23" t="s">
        <v>569</v>
      </c>
      <c r="D23" t="s">
        <v>2109</v>
      </c>
      <c r="E23" t="s">
        <v>1870</v>
      </c>
      <c r="F23" t="s">
        <v>2349</v>
      </c>
      <c r="G23" t="s">
        <v>2367</v>
      </c>
      <c r="H23" t="s">
        <v>573</v>
      </c>
      <c r="I23" t="s">
        <v>94</v>
      </c>
      <c r="J23">
        <v>3.0</v>
      </c>
      <c r="K23">
        <v>4.0</v>
      </c>
      <c r="L23">
        <v>0.0</v>
      </c>
      <c r="M23">
        <v>0.0</v>
      </c>
      <c r="N23">
        <v>0.0</v>
      </c>
      <c r="O23">
        <v>0.0</v>
      </c>
      <c r="P23">
        <v>1.0</v>
      </c>
      <c r="Q23">
        <v>0.0</v>
      </c>
      <c r="R23">
        <v>0.0</v>
      </c>
      <c r="S23">
        <v>0.0</v>
      </c>
      <c r="T23">
        <v>0.0</v>
      </c>
      <c r="U23">
        <v>0.0</v>
      </c>
      <c r="V23">
        <v>0.0</v>
      </c>
      <c r="W23">
        <v>0.0</v>
      </c>
      <c r="X23" t="s">
        <v>2368</v>
      </c>
      <c r="Y23">
        <v>2.0</v>
      </c>
      <c r="Z23">
        <v>110.0</v>
      </c>
      <c r="AA23" t="s">
        <v>2369</v>
      </c>
      <c r="AB23">
        <v>3.0</v>
      </c>
      <c r="AC23">
        <v>115.0</v>
      </c>
      <c r="AD23">
        <v>1.0</v>
      </c>
      <c r="AE23" t="s">
        <v>2370</v>
      </c>
      <c r="AG23" t="s">
        <v>2371</v>
      </c>
      <c r="AH23" t="s">
        <v>3425</v>
      </c>
    </row>
    <row r="24" ht="15.75" customHeight="1">
      <c r="A24" t="s">
        <v>2509</v>
      </c>
      <c r="B24" t="s">
        <v>2510</v>
      </c>
      <c r="C24" t="s">
        <v>572</v>
      </c>
      <c r="D24" t="s">
        <v>2109</v>
      </c>
      <c r="E24" t="s">
        <v>1870</v>
      </c>
      <c r="F24" t="s">
        <v>2349</v>
      </c>
      <c r="G24" t="s">
        <v>2367</v>
      </c>
      <c r="H24" t="s">
        <v>573</v>
      </c>
      <c r="I24" t="s">
        <v>94</v>
      </c>
      <c r="J24">
        <v>4.0</v>
      </c>
      <c r="K24">
        <v>5.0</v>
      </c>
      <c r="L24">
        <v>0.0</v>
      </c>
      <c r="M24">
        <v>0.0</v>
      </c>
      <c r="N24">
        <v>0.0</v>
      </c>
      <c r="O24">
        <v>0.0</v>
      </c>
      <c r="P24">
        <v>1.0</v>
      </c>
      <c r="Q24">
        <v>0.0</v>
      </c>
      <c r="R24">
        <v>0.0</v>
      </c>
      <c r="S24">
        <v>0.0</v>
      </c>
      <c r="T24">
        <v>1.0</v>
      </c>
      <c r="U24">
        <v>0.0</v>
      </c>
      <c r="V24">
        <v>0.0</v>
      </c>
      <c r="W24">
        <v>0.0</v>
      </c>
      <c r="X24" t="s">
        <v>2368</v>
      </c>
      <c r="Y24">
        <v>2.0</v>
      </c>
      <c r="Z24">
        <v>110.0</v>
      </c>
      <c r="AA24" t="s">
        <v>2369</v>
      </c>
      <c r="AB24">
        <v>3.0</v>
      </c>
      <c r="AC24">
        <v>115.0</v>
      </c>
      <c r="AD24">
        <v>1.0</v>
      </c>
      <c r="AE24" t="s">
        <v>2370</v>
      </c>
      <c r="AG24" t="s">
        <v>2371</v>
      </c>
      <c r="AH24" t="s">
        <v>3425</v>
      </c>
    </row>
    <row r="25" ht="15.75" customHeight="1">
      <c r="A25" t="s">
        <v>2511</v>
      </c>
      <c r="B25" t="s">
        <v>2512</v>
      </c>
      <c r="C25" t="s">
        <v>575</v>
      </c>
      <c r="D25" t="s">
        <v>2109</v>
      </c>
      <c r="E25" t="s">
        <v>1870</v>
      </c>
      <c r="F25" t="s">
        <v>2349</v>
      </c>
      <c r="G25" t="s">
        <v>2367</v>
      </c>
      <c r="H25" t="s">
        <v>573</v>
      </c>
      <c r="I25" t="s">
        <v>94</v>
      </c>
      <c r="J25">
        <v>5.0</v>
      </c>
      <c r="K25">
        <v>6.0</v>
      </c>
      <c r="L25">
        <v>0.0</v>
      </c>
      <c r="M25">
        <v>0.0</v>
      </c>
      <c r="N25">
        <v>0.0</v>
      </c>
      <c r="O25">
        <v>0.0</v>
      </c>
      <c r="P25">
        <v>2.0</v>
      </c>
      <c r="Q25">
        <v>0.0</v>
      </c>
      <c r="R25">
        <v>0.0</v>
      </c>
      <c r="S25">
        <v>0.0</v>
      </c>
      <c r="T25">
        <v>1.0</v>
      </c>
      <c r="U25">
        <v>1.0</v>
      </c>
      <c r="V25">
        <v>0.0</v>
      </c>
      <c r="W25">
        <v>0.0</v>
      </c>
      <c r="X25" t="s">
        <v>2368</v>
      </c>
      <c r="Y25">
        <v>2.0</v>
      </c>
      <c r="Z25">
        <v>110.0</v>
      </c>
      <c r="AA25" t="s">
        <v>2369</v>
      </c>
      <c r="AB25">
        <v>3.0</v>
      </c>
      <c r="AC25">
        <v>115.0</v>
      </c>
      <c r="AD25">
        <v>1.0</v>
      </c>
      <c r="AE25" t="s">
        <v>2370</v>
      </c>
      <c r="AG25" t="s">
        <v>2371</v>
      </c>
      <c r="AH25" t="s">
        <v>3425</v>
      </c>
    </row>
    <row r="26" ht="15.75" customHeight="1">
      <c r="A26" t="s">
        <v>2513</v>
      </c>
      <c r="B26" t="s">
        <v>2514</v>
      </c>
      <c r="C26" t="s">
        <v>578</v>
      </c>
      <c r="D26" t="s">
        <v>2109</v>
      </c>
      <c r="E26" t="s">
        <v>1870</v>
      </c>
      <c r="F26" t="s">
        <v>2349</v>
      </c>
      <c r="G26" t="s">
        <v>2367</v>
      </c>
      <c r="H26" t="s">
        <v>573</v>
      </c>
      <c r="I26" t="s">
        <v>94</v>
      </c>
      <c r="J26">
        <v>6.0</v>
      </c>
      <c r="K26">
        <v>8.0</v>
      </c>
      <c r="L26">
        <v>0.0</v>
      </c>
      <c r="M26">
        <v>0.0</v>
      </c>
      <c r="N26">
        <v>1.0</v>
      </c>
      <c r="O26">
        <v>0.0</v>
      </c>
      <c r="P26">
        <v>3.0</v>
      </c>
      <c r="Q26">
        <v>0.0</v>
      </c>
      <c r="R26">
        <v>0.0</v>
      </c>
      <c r="S26">
        <v>0.0</v>
      </c>
      <c r="T26">
        <v>1.0</v>
      </c>
      <c r="U26">
        <v>2.0</v>
      </c>
      <c r="V26">
        <v>0.0</v>
      </c>
      <c r="W26">
        <v>0.0</v>
      </c>
      <c r="X26" t="s">
        <v>2368</v>
      </c>
      <c r="Y26">
        <v>2.0</v>
      </c>
      <c r="Z26">
        <v>110.0</v>
      </c>
      <c r="AA26" t="s">
        <v>2369</v>
      </c>
      <c r="AB26">
        <v>3.0</v>
      </c>
      <c r="AC26">
        <v>115.0</v>
      </c>
      <c r="AD26">
        <v>1.0</v>
      </c>
      <c r="AE26" t="s">
        <v>2370</v>
      </c>
      <c r="AG26" t="s">
        <v>2371</v>
      </c>
      <c r="AH26" t="s">
        <v>3425</v>
      </c>
    </row>
    <row r="27" ht="15.75" customHeight="1">
      <c r="A27" t="s">
        <v>2515</v>
      </c>
      <c r="B27" t="s">
        <v>2516</v>
      </c>
      <c r="C27" t="s">
        <v>581</v>
      </c>
      <c r="D27" t="s">
        <v>2109</v>
      </c>
      <c r="E27" t="s">
        <v>1870</v>
      </c>
      <c r="F27" t="s">
        <v>2349</v>
      </c>
      <c r="G27" t="s">
        <v>2367</v>
      </c>
      <c r="H27" t="s">
        <v>573</v>
      </c>
      <c r="I27" t="s">
        <v>94</v>
      </c>
      <c r="J27">
        <v>7.0</v>
      </c>
      <c r="K27">
        <v>9.0</v>
      </c>
      <c r="L27">
        <v>0.0</v>
      </c>
      <c r="M27">
        <v>0.0</v>
      </c>
      <c r="N27">
        <v>1.0</v>
      </c>
      <c r="O27">
        <v>0.0</v>
      </c>
      <c r="P27">
        <v>4.0</v>
      </c>
      <c r="Q27">
        <v>0.0</v>
      </c>
      <c r="R27">
        <v>0.0</v>
      </c>
      <c r="S27">
        <v>0.0</v>
      </c>
      <c r="T27">
        <v>2.0</v>
      </c>
      <c r="U27">
        <v>3.0</v>
      </c>
      <c r="V27">
        <v>0.0</v>
      </c>
      <c r="W27">
        <v>0.0</v>
      </c>
      <c r="X27" t="s">
        <v>2368</v>
      </c>
      <c r="Y27">
        <v>2.0</v>
      </c>
      <c r="Z27">
        <v>110.0</v>
      </c>
      <c r="AA27" t="s">
        <v>2369</v>
      </c>
      <c r="AB27">
        <v>3.0</v>
      </c>
      <c r="AC27">
        <v>115.0</v>
      </c>
      <c r="AD27">
        <v>1.0</v>
      </c>
      <c r="AE27" t="s">
        <v>2370</v>
      </c>
      <c r="AG27" t="s">
        <v>2371</v>
      </c>
      <c r="AH27" t="s">
        <v>3425</v>
      </c>
    </row>
    <row r="28" ht="15.75" customHeight="1">
      <c r="A28" t="s">
        <v>2517</v>
      </c>
      <c r="B28" t="s">
        <v>2518</v>
      </c>
      <c r="C28" t="s">
        <v>584</v>
      </c>
      <c r="D28" t="s">
        <v>2109</v>
      </c>
      <c r="E28" t="s">
        <v>1870</v>
      </c>
      <c r="F28" t="s">
        <v>2349</v>
      </c>
      <c r="G28" t="s">
        <v>2367</v>
      </c>
      <c r="H28" t="s">
        <v>573</v>
      </c>
      <c r="I28" t="s">
        <v>94</v>
      </c>
      <c r="J28">
        <v>8.0</v>
      </c>
      <c r="K28">
        <v>11.0</v>
      </c>
      <c r="L28">
        <v>0.0</v>
      </c>
      <c r="M28">
        <v>0.0</v>
      </c>
      <c r="N28">
        <v>2.0</v>
      </c>
      <c r="O28">
        <v>0.0</v>
      </c>
      <c r="P28">
        <v>5.0</v>
      </c>
      <c r="Q28">
        <v>0.0</v>
      </c>
      <c r="R28">
        <v>0.0</v>
      </c>
      <c r="S28">
        <v>0.0</v>
      </c>
      <c r="T28">
        <v>2.0</v>
      </c>
      <c r="U28">
        <v>4.0</v>
      </c>
      <c r="V28">
        <v>0.0</v>
      </c>
      <c r="W28">
        <v>0.0</v>
      </c>
      <c r="X28" t="s">
        <v>2368</v>
      </c>
      <c r="Y28">
        <v>2.0</v>
      </c>
      <c r="Z28">
        <v>110.0</v>
      </c>
      <c r="AA28" t="s">
        <v>2369</v>
      </c>
      <c r="AB28">
        <v>3.0</v>
      </c>
      <c r="AC28">
        <v>115.0</v>
      </c>
      <c r="AD28">
        <v>1.0</v>
      </c>
      <c r="AE28" t="s">
        <v>2370</v>
      </c>
      <c r="AG28" t="s">
        <v>2371</v>
      </c>
      <c r="AH28" t="s">
        <v>3425</v>
      </c>
    </row>
    <row r="29" ht="15.75" customHeight="1">
      <c r="A29" t="s">
        <v>2519</v>
      </c>
      <c r="B29" t="s">
        <v>1994</v>
      </c>
      <c r="C29" t="s">
        <v>569</v>
      </c>
      <c r="D29" t="s">
        <v>2109</v>
      </c>
      <c r="E29" t="s">
        <v>1994</v>
      </c>
      <c r="F29" t="s">
        <v>2349</v>
      </c>
      <c r="G29" t="s">
        <v>2372</v>
      </c>
      <c r="H29" t="s">
        <v>570</v>
      </c>
      <c r="I29" t="s">
        <v>89</v>
      </c>
      <c r="J29">
        <v>4.0</v>
      </c>
      <c r="K29">
        <v>6.0</v>
      </c>
      <c r="L29">
        <v>0.0</v>
      </c>
      <c r="M29">
        <v>0.0</v>
      </c>
      <c r="N29">
        <v>0.0</v>
      </c>
      <c r="O29">
        <v>1.0</v>
      </c>
      <c r="P29">
        <v>0.0</v>
      </c>
      <c r="Q29">
        <v>0.0</v>
      </c>
      <c r="R29">
        <v>0.0</v>
      </c>
      <c r="S29">
        <v>0.0</v>
      </c>
      <c r="T29">
        <v>0.0</v>
      </c>
      <c r="U29">
        <v>0.0</v>
      </c>
      <c r="V29">
        <v>0.0</v>
      </c>
      <c r="W29">
        <v>0.0</v>
      </c>
      <c r="X29" t="s">
        <v>2373</v>
      </c>
      <c r="Y29">
        <v>2.0</v>
      </c>
      <c r="Z29">
        <v>100.0</v>
      </c>
      <c r="AA29" t="s">
        <v>2375</v>
      </c>
      <c r="AB29">
        <v>3.0</v>
      </c>
      <c r="AC29">
        <v>85.0</v>
      </c>
      <c r="AD29">
        <v>2.0</v>
      </c>
      <c r="AE29" t="s">
        <v>2376</v>
      </c>
      <c r="AG29" t="s">
        <v>2377</v>
      </c>
      <c r="AH29" t="s">
        <v>3426</v>
      </c>
    </row>
    <row r="30" ht="15.75" customHeight="1">
      <c r="A30" t="s">
        <v>2520</v>
      </c>
      <c r="B30" t="s">
        <v>2521</v>
      </c>
      <c r="C30" t="s">
        <v>572</v>
      </c>
      <c r="D30" t="s">
        <v>2109</v>
      </c>
      <c r="E30" t="s">
        <v>1994</v>
      </c>
      <c r="F30" t="s">
        <v>2349</v>
      </c>
      <c r="G30" t="s">
        <v>2372</v>
      </c>
      <c r="H30" t="s">
        <v>570</v>
      </c>
      <c r="I30" t="s">
        <v>89</v>
      </c>
      <c r="J30">
        <v>5.0</v>
      </c>
      <c r="K30">
        <v>8.0</v>
      </c>
      <c r="L30">
        <v>0.0</v>
      </c>
      <c r="M30">
        <v>0.0</v>
      </c>
      <c r="N30">
        <v>0.0</v>
      </c>
      <c r="O30">
        <v>1.0</v>
      </c>
      <c r="P30">
        <v>0.0</v>
      </c>
      <c r="Q30">
        <v>1.0</v>
      </c>
      <c r="R30">
        <v>0.0</v>
      </c>
      <c r="S30">
        <v>0.0</v>
      </c>
      <c r="T30">
        <v>0.0</v>
      </c>
      <c r="U30">
        <v>0.0</v>
      </c>
      <c r="V30">
        <v>0.0</v>
      </c>
      <c r="W30">
        <v>0.0</v>
      </c>
      <c r="X30" t="s">
        <v>2373</v>
      </c>
      <c r="Y30">
        <v>2.0</v>
      </c>
      <c r="Z30">
        <v>100.0</v>
      </c>
      <c r="AA30" t="s">
        <v>2375</v>
      </c>
      <c r="AB30">
        <v>3.0</v>
      </c>
      <c r="AC30">
        <v>85.0</v>
      </c>
      <c r="AD30">
        <v>2.0</v>
      </c>
      <c r="AE30" t="s">
        <v>2376</v>
      </c>
      <c r="AG30" t="s">
        <v>2377</v>
      </c>
      <c r="AH30" t="s">
        <v>3426</v>
      </c>
    </row>
    <row r="31" ht="15.75" customHeight="1">
      <c r="A31" t="s">
        <v>2522</v>
      </c>
      <c r="B31" t="s">
        <v>2523</v>
      </c>
      <c r="C31" t="s">
        <v>575</v>
      </c>
      <c r="D31" t="s">
        <v>2109</v>
      </c>
      <c r="E31" t="s">
        <v>1994</v>
      </c>
      <c r="F31" t="s">
        <v>2349</v>
      </c>
      <c r="G31" t="s">
        <v>2372</v>
      </c>
      <c r="H31" t="s">
        <v>570</v>
      </c>
      <c r="I31" t="s">
        <v>89</v>
      </c>
      <c r="J31">
        <v>6.0</v>
      </c>
      <c r="K31">
        <v>9.0</v>
      </c>
      <c r="L31">
        <v>0.0</v>
      </c>
      <c r="M31">
        <v>0.0</v>
      </c>
      <c r="N31">
        <v>0.0</v>
      </c>
      <c r="O31">
        <v>2.0</v>
      </c>
      <c r="P31">
        <v>0.0</v>
      </c>
      <c r="Q31">
        <v>1.0</v>
      </c>
      <c r="R31">
        <v>0.0</v>
      </c>
      <c r="S31">
        <v>0.0</v>
      </c>
      <c r="T31">
        <v>0.0</v>
      </c>
      <c r="U31">
        <v>0.0</v>
      </c>
      <c r="V31">
        <v>0.0</v>
      </c>
      <c r="W31">
        <v>0.0</v>
      </c>
      <c r="X31" t="s">
        <v>2373</v>
      </c>
      <c r="Y31">
        <v>2.0</v>
      </c>
      <c r="Z31">
        <v>100.0</v>
      </c>
      <c r="AA31" t="s">
        <v>2375</v>
      </c>
      <c r="AB31">
        <v>3.0</v>
      </c>
      <c r="AC31">
        <v>85.0</v>
      </c>
      <c r="AD31">
        <v>2.0</v>
      </c>
      <c r="AE31" t="s">
        <v>2376</v>
      </c>
      <c r="AG31" t="s">
        <v>2377</v>
      </c>
      <c r="AH31" t="s">
        <v>3426</v>
      </c>
    </row>
    <row r="32" ht="15.75" customHeight="1">
      <c r="A32" t="s">
        <v>2524</v>
      </c>
      <c r="B32" t="s">
        <v>2525</v>
      </c>
      <c r="C32" t="s">
        <v>578</v>
      </c>
      <c r="D32" t="s">
        <v>2109</v>
      </c>
      <c r="E32" t="s">
        <v>1994</v>
      </c>
      <c r="F32" t="s">
        <v>2349</v>
      </c>
      <c r="G32" t="s">
        <v>2372</v>
      </c>
      <c r="H32" t="s">
        <v>570</v>
      </c>
      <c r="I32" t="s">
        <v>89</v>
      </c>
      <c r="J32">
        <v>8.0</v>
      </c>
      <c r="K32">
        <v>11.0</v>
      </c>
      <c r="L32">
        <v>0.0</v>
      </c>
      <c r="M32">
        <v>0.0</v>
      </c>
      <c r="N32">
        <v>1.0</v>
      </c>
      <c r="O32">
        <v>3.0</v>
      </c>
      <c r="P32">
        <v>0.0</v>
      </c>
      <c r="Q32">
        <v>1.0</v>
      </c>
      <c r="R32">
        <v>0.0</v>
      </c>
      <c r="S32">
        <v>0.0</v>
      </c>
      <c r="T32">
        <v>0.0</v>
      </c>
      <c r="U32">
        <v>0.0</v>
      </c>
      <c r="V32">
        <v>1.0</v>
      </c>
      <c r="W32">
        <v>0.0</v>
      </c>
      <c r="X32" t="s">
        <v>2373</v>
      </c>
      <c r="Y32">
        <v>2.0</v>
      </c>
      <c r="Z32">
        <v>100.0</v>
      </c>
      <c r="AA32" t="s">
        <v>2375</v>
      </c>
      <c r="AB32">
        <v>3.0</v>
      </c>
      <c r="AC32">
        <v>85.0</v>
      </c>
      <c r="AD32">
        <v>2.0</v>
      </c>
      <c r="AE32" t="s">
        <v>2376</v>
      </c>
      <c r="AG32" t="s">
        <v>2377</v>
      </c>
      <c r="AH32" t="s">
        <v>3426</v>
      </c>
    </row>
    <row r="33" ht="15.75" customHeight="1">
      <c r="A33" t="s">
        <v>2526</v>
      </c>
      <c r="B33" t="s">
        <v>2527</v>
      </c>
      <c r="C33" t="s">
        <v>581</v>
      </c>
      <c r="D33" t="s">
        <v>2109</v>
      </c>
      <c r="E33" t="s">
        <v>1994</v>
      </c>
      <c r="F33" t="s">
        <v>2349</v>
      </c>
      <c r="G33" t="s">
        <v>2372</v>
      </c>
      <c r="H33" t="s">
        <v>570</v>
      </c>
      <c r="I33" t="s">
        <v>89</v>
      </c>
      <c r="J33">
        <v>9.0</v>
      </c>
      <c r="K33">
        <v>14.0</v>
      </c>
      <c r="L33">
        <v>0.0</v>
      </c>
      <c r="M33">
        <v>0.0</v>
      </c>
      <c r="N33">
        <v>1.0</v>
      </c>
      <c r="O33">
        <v>4.0</v>
      </c>
      <c r="P33">
        <v>0.0</v>
      </c>
      <c r="Q33">
        <v>2.0</v>
      </c>
      <c r="R33">
        <v>0.0</v>
      </c>
      <c r="S33">
        <v>0.0</v>
      </c>
      <c r="T33">
        <v>0.0</v>
      </c>
      <c r="U33">
        <v>0.0</v>
      </c>
      <c r="V33">
        <v>2.0</v>
      </c>
      <c r="W33">
        <v>0.0</v>
      </c>
      <c r="X33" t="s">
        <v>2373</v>
      </c>
      <c r="Y33">
        <v>2.0</v>
      </c>
      <c r="Z33">
        <v>100.0</v>
      </c>
      <c r="AA33" t="s">
        <v>2375</v>
      </c>
      <c r="AB33">
        <v>3.0</v>
      </c>
      <c r="AC33">
        <v>85.0</v>
      </c>
      <c r="AD33">
        <v>2.0</v>
      </c>
      <c r="AE33" t="s">
        <v>2376</v>
      </c>
      <c r="AG33" t="s">
        <v>2377</v>
      </c>
      <c r="AH33" t="s">
        <v>3426</v>
      </c>
    </row>
    <row r="34" ht="15.75" customHeight="1">
      <c r="A34" t="s">
        <v>2528</v>
      </c>
      <c r="B34" t="s">
        <v>2529</v>
      </c>
      <c r="C34" t="s">
        <v>584</v>
      </c>
      <c r="D34" t="s">
        <v>2109</v>
      </c>
      <c r="E34" t="s">
        <v>1994</v>
      </c>
      <c r="F34" t="s">
        <v>2349</v>
      </c>
      <c r="G34" t="s">
        <v>2372</v>
      </c>
      <c r="H34" t="s">
        <v>570</v>
      </c>
      <c r="I34" t="s">
        <v>89</v>
      </c>
      <c r="J34">
        <v>11.0</v>
      </c>
      <c r="K34">
        <v>17.0</v>
      </c>
      <c r="L34">
        <v>0.0</v>
      </c>
      <c r="M34">
        <v>0.0</v>
      </c>
      <c r="N34">
        <v>2.0</v>
      </c>
      <c r="O34">
        <v>5.0</v>
      </c>
      <c r="P34">
        <v>0.0</v>
      </c>
      <c r="Q34">
        <v>2.0</v>
      </c>
      <c r="R34">
        <v>0.0</v>
      </c>
      <c r="S34">
        <v>0.0</v>
      </c>
      <c r="T34">
        <v>0.0</v>
      </c>
      <c r="U34">
        <v>0.0</v>
      </c>
      <c r="V34">
        <v>3.0</v>
      </c>
      <c r="W34">
        <v>0.0</v>
      </c>
      <c r="X34" t="s">
        <v>2373</v>
      </c>
      <c r="Y34">
        <v>2.0</v>
      </c>
      <c r="Z34">
        <v>100.0</v>
      </c>
      <c r="AA34" t="s">
        <v>2375</v>
      </c>
      <c r="AB34">
        <v>3.0</v>
      </c>
      <c r="AC34">
        <v>85.0</v>
      </c>
      <c r="AD34">
        <v>2.0</v>
      </c>
      <c r="AE34" t="s">
        <v>2376</v>
      </c>
      <c r="AG34" t="s">
        <v>2377</v>
      </c>
      <c r="AH34" t="s">
        <v>3426</v>
      </c>
    </row>
    <row r="35" ht="15.75" customHeight="1">
      <c r="A35" t="s">
        <v>2530</v>
      </c>
      <c r="B35" t="s">
        <v>2009</v>
      </c>
      <c r="C35" t="s">
        <v>569</v>
      </c>
      <c r="D35" t="s">
        <v>2109</v>
      </c>
      <c r="E35" t="s">
        <v>2009</v>
      </c>
      <c r="F35" t="s">
        <v>2349</v>
      </c>
      <c r="G35" t="s">
        <v>2378</v>
      </c>
      <c r="H35" t="s">
        <v>2175</v>
      </c>
      <c r="I35" t="s">
        <v>98</v>
      </c>
      <c r="J35">
        <v>2.0</v>
      </c>
      <c r="K35">
        <v>4.0</v>
      </c>
      <c r="L35">
        <v>0.0</v>
      </c>
      <c r="M35">
        <v>0.0</v>
      </c>
      <c r="N35">
        <v>0.0</v>
      </c>
      <c r="O35">
        <v>0.0</v>
      </c>
      <c r="P35">
        <v>0.0</v>
      </c>
      <c r="Q35">
        <v>0.0</v>
      </c>
      <c r="R35">
        <v>1.0</v>
      </c>
      <c r="S35">
        <v>0.0</v>
      </c>
      <c r="T35">
        <v>0.0</v>
      </c>
      <c r="U35">
        <v>0.0</v>
      </c>
      <c r="V35">
        <v>0.0</v>
      </c>
      <c r="W35">
        <v>0.0</v>
      </c>
      <c r="X35" t="s">
        <v>2379</v>
      </c>
      <c r="Y35">
        <v>2.0</v>
      </c>
      <c r="Z35">
        <v>110.0</v>
      </c>
      <c r="AA35" t="s">
        <v>2381</v>
      </c>
      <c r="AB35">
        <v>3.0</v>
      </c>
      <c r="AC35">
        <v>0.0</v>
      </c>
      <c r="AD35">
        <v>2.0</v>
      </c>
      <c r="AE35" t="s">
        <v>2382</v>
      </c>
      <c r="AG35" t="s">
        <v>2383</v>
      </c>
      <c r="AH35" t="s">
        <v>3425</v>
      </c>
    </row>
    <row r="36" ht="15.75" customHeight="1">
      <c r="A36" t="s">
        <v>2531</v>
      </c>
      <c r="B36" t="s">
        <v>2532</v>
      </c>
      <c r="C36" t="s">
        <v>572</v>
      </c>
      <c r="D36" t="s">
        <v>2109</v>
      </c>
      <c r="E36" t="s">
        <v>2009</v>
      </c>
      <c r="F36" t="s">
        <v>2349</v>
      </c>
      <c r="G36" t="s">
        <v>2378</v>
      </c>
      <c r="H36" t="s">
        <v>2175</v>
      </c>
      <c r="I36" t="s">
        <v>98</v>
      </c>
      <c r="J36">
        <v>3.0</v>
      </c>
      <c r="K36">
        <v>5.0</v>
      </c>
      <c r="L36">
        <v>0.0</v>
      </c>
      <c r="M36">
        <v>0.0</v>
      </c>
      <c r="N36">
        <v>0.0</v>
      </c>
      <c r="O36">
        <v>0.0</v>
      </c>
      <c r="P36">
        <v>0.0</v>
      </c>
      <c r="Q36">
        <v>0.0</v>
      </c>
      <c r="R36">
        <v>1.0</v>
      </c>
      <c r="S36">
        <v>1.0</v>
      </c>
      <c r="T36">
        <v>0.0</v>
      </c>
      <c r="U36">
        <v>0.0</v>
      </c>
      <c r="V36">
        <v>0.0</v>
      </c>
      <c r="W36">
        <v>0.0</v>
      </c>
      <c r="X36" t="s">
        <v>2379</v>
      </c>
      <c r="Y36">
        <v>2.0</v>
      </c>
      <c r="Z36">
        <v>110.0</v>
      </c>
      <c r="AA36" t="s">
        <v>2381</v>
      </c>
      <c r="AB36">
        <v>3.0</v>
      </c>
      <c r="AC36">
        <v>0.0</v>
      </c>
      <c r="AD36">
        <v>2.0</v>
      </c>
      <c r="AE36" t="s">
        <v>2382</v>
      </c>
      <c r="AG36" t="s">
        <v>2383</v>
      </c>
      <c r="AH36" t="s">
        <v>3425</v>
      </c>
    </row>
    <row r="37" ht="15.75" customHeight="1">
      <c r="A37" t="s">
        <v>2533</v>
      </c>
      <c r="B37" t="s">
        <v>2534</v>
      </c>
      <c r="C37" t="s">
        <v>575</v>
      </c>
      <c r="D37" t="s">
        <v>2109</v>
      </c>
      <c r="E37" t="s">
        <v>2009</v>
      </c>
      <c r="F37" t="s">
        <v>2349</v>
      </c>
      <c r="G37" t="s">
        <v>2378</v>
      </c>
      <c r="H37" t="s">
        <v>2175</v>
      </c>
      <c r="I37" t="s">
        <v>98</v>
      </c>
      <c r="J37">
        <v>3.0</v>
      </c>
      <c r="K37">
        <v>6.0</v>
      </c>
      <c r="L37">
        <v>0.0</v>
      </c>
      <c r="M37">
        <v>0.0</v>
      </c>
      <c r="N37">
        <v>0.0</v>
      </c>
      <c r="O37">
        <v>0.0</v>
      </c>
      <c r="P37">
        <v>0.0</v>
      </c>
      <c r="Q37">
        <v>0.0</v>
      </c>
      <c r="R37">
        <v>2.0</v>
      </c>
      <c r="S37">
        <v>1.0</v>
      </c>
      <c r="T37">
        <v>0.0</v>
      </c>
      <c r="U37">
        <v>0.0</v>
      </c>
      <c r="V37">
        <v>0.0</v>
      </c>
      <c r="W37">
        <v>0.0</v>
      </c>
      <c r="X37" t="s">
        <v>2379</v>
      </c>
      <c r="Y37">
        <v>2.0</v>
      </c>
      <c r="Z37">
        <v>110.0</v>
      </c>
      <c r="AA37" t="s">
        <v>2381</v>
      </c>
      <c r="AB37">
        <v>3.0</v>
      </c>
      <c r="AC37">
        <v>0.0</v>
      </c>
      <c r="AD37">
        <v>2.0</v>
      </c>
      <c r="AE37" t="s">
        <v>2382</v>
      </c>
      <c r="AG37" t="s">
        <v>2383</v>
      </c>
      <c r="AH37" t="s">
        <v>3425</v>
      </c>
    </row>
    <row r="38" ht="15.75" customHeight="1">
      <c r="A38" t="s">
        <v>2535</v>
      </c>
      <c r="B38" t="s">
        <v>2536</v>
      </c>
      <c r="C38" t="s">
        <v>578</v>
      </c>
      <c r="D38" t="s">
        <v>2109</v>
      </c>
      <c r="E38" t="s">
        <v>2009</v>
      </c>
      <c r="F38" t="s">
        <v>2349</v>
      </c>
      <c r="G38" t="s">
        <v>2378</v>
      </c>
      <c r="H38" t="s">
        <v>2175</v>
      </c>
      <c r="I38" t="s">
        <v>98</v>
      </c>
      <c r="J38">
        <v>4.0</v>
      </c>
      <c r="K38">
        <v>8.0</v>
      </c>
      <c r="L38">
        <v>0.0</v>
      </c>
      <c r="M38">
        <v>0.0</v>
      </c>
      <c r="N38">
        <v>0.0</v>
      </c>
      <c r="O38">
        <v>0.0</v>
      </c>
      <c r="P38">
        <v>0.0</v>
      </c>
      <c r="Q38">
        <v>0.0</v>
      </c>
      <c r="R38">
        <v>3.0</v>
      </c>
      <c r="S38">
        <v>1.0</v>
      </c>
      <c r="T38">
        <v>1.0</v>
      </c>
      <c r="U38">
        <v>0.0</v>
      </c>
      <c r="V38">
        <v>0.0</v>
      </c>
      <c r="W38">
        <v>1.0</v>
      </c>
      <c r="X38" t="s">
        <v>2379</v>
      </c>
      <c r="Y38">
        <v>2.0</v>
      </c>
      <c r="Z38">
        <v>110.0</v>
      </c>
      <c r="AA38" t="s">
        <v>2381</v>
      </c>
      <c r="AB38">
        <v>3.0</v>
      </c>
      <c r="AC38">
        <v>0.0</v>
      </c>
      <c r="AD38">
        <v>2.0</v>
      </c>
      <c r="AE38" t="s">
        <v>2382</v>
      </c>
      <c r="AG38" t="s">
        <v>2383</v>
      </c>
      <c r="AH38" t="s">
        <v>3425</v>
      </c>
    </row>
    <row r="39" ht="15.75" customHeight="1">
      <c r="A39" t="s">
        <v>2537</v>
      </c>
      <c r="B39" t="s">
        <v>2538</v>
      </c>
      <c r="C39" t="s">
        <v>581</v>
      </c>
      <c r="D39" t="s">
        <v>2109</v>
      </c>
      <c r="E39" t="s">
        <v>2009</v>
      </c>
      <c r="F39" t="s">
        <v>2349</v>
      </c>
      <c r="G39" t="s">
        <v>2378</v>
      </c>
      <c r="H39" t="s">
        <v>2175</v>
      </c>
      <c r="I39" t="s">
        <v>98</v>
      </c>
      <c r="J39">
        <v>5.0</v>
      </c>
      <c r="K39">
        <v>9.0</v>
      </c>
      <c r="L39">
        <v>0.0</v>
      </c>
      <c r="M39">
        <v>0.0</v>
      </c>
      <c r="N39">
        <v>0.0</v>
      </c>
      <c r="O39">
        <v>0.0</v>
      </c>
      <c r="P39">
        <v>0.0</v>
      </c>
      <c r="Q39">
        <v>0.0</v>
      </c>
      <c r="R39">
        <v>4.0</v>
      </c>
      <c r="S39">
        <v>2.0</v>
      </c>
      <c r="T39">
        <v>1.0</v>
      </c>
      <c r="U39">
        <v>0.0</v>
      </c>
      <c r="V39">
        <v>0.0</v>
      </c>
      <c r="W39">
        <v>2.0</v>
      </c>
      <c r="X39" t="s">
        <v>2379</v>
      </c>
      <c r="Y39">
        <v>2.0</v>
      </c>
      <c r="Z39">
        <v>110.0</v>
      </c>
      <c r="AA39" t="s">
        <v>2381</v>
      </c>
      <c r="AB39">
        <v>3.0</v>
      </c>
      <c r="AC39">
        <v>0.0</v>
      </c>
      <c r="AD39">
        <v>2.0</v>
      </c>
      <c r="AE39" t="s">
        <v>2382</v>
      </c>
      <c r="AG39" t="s">
        <v>2383</v>
      </c>
      <c r="AH39" t="s">
        <v>3425</v>
      </c>
    </row>
    <row r="40" ht="15.75" customHeight="1">
      <c r="A40" t="s">
        <v>2539</v>
      </c>
      <c r="B40" t="s">
        <v>2540</v>
      </c>
      <c r="C40" t="s">
        <v>584</v>
      </c>
      <c r="D40" t="s">
        <v>2109</v>
      </c>
      <c r="E40" t="s">
        <v>2009</v>
      </c>
      <c r="F40" t="s">
        <v>2349</v>
      </c>
      <c r="G40" t="s">
        <v>2378</v>
      </c>
      <c r="H40" t="s">
        <v>2175</v>
      </c>
      <c r="I40" t="s">
        <v>98</v>
      </c>
      <c r="J40">
        <v>6.0</v>
      </c>
      <c r="K40">
        <v>11.0</v>
      </c>
      <c r="L40">
        <v>0.0</v>
      </c>
      <c r="M40">
        <v>0.0</v>
      </c>
      <c r="N40">
        <v>0.0</v>
      </c>
      <c r="O40">
        <v>0.0</v>
      </c>
      <c r="P40">
        <v>0.0</v>
      </c>
      <c r="Q40">
        <v>0.0</v>
      </c>
      <c r="R40">
        <v>5.0</v>
      </c>
      <c r="S40">
        <v>2.0</v>
      </c>
      <c r="T40">
        <v>2.0</v>
      </c>
      <c r="U40">
        <v>0.0</v>
      </c>
      <c r="V40">
        <v>0.0</v>
      </c>
      <c r="W40">
        <v>3.0</v>
      </c>
      <c r="X40" t="s">
        <v>2379</v>
      </c>
      <c r="Y40">
        <v>2.0</v>
      </c>
      <c r="Z40">
        <v>110.0</v>
      </c>
      <c r="AA40" t="s">
        <v>2381</v>
      </c>
      <c r="AB40">
        <v>3.0</v>
      </c>
      <c r="AC40">
        <v>0.0</v>
      </c>
      <c r="AD40">
        <v>2.0</v>
      </c>
      <c r="AE40" t="s">
        <v>2382</v>
      </c>
      <c r="AG40" t="s">
        <v>2383</v>
      </c>
      <c r="AH40" t="s">
        <v>3425</v>
      </c>
    </row>
    <row r="41" ht="15.75" customHeight="1">
      <c r="A41" t="s">
        <v>2541</v>
      </c>
      <c r="B41" t="s">
        <v>2015</v>
      </c>
      <c r="C41" t="s">
        <v>569</v>
      </c>
      <c r="D41" t="s">
        <v>2109</v>
      </c>
      <c r="E41" t="s">
        <v>2015</v>
      </c>
      <c r="F41" t="s">
        <v>2349</v>
      </c>
      <c r="G41" t="s">
        <v>2384</v>
      </c>
      <c r="H41" t="s">
        <v>2175</v>
      </c>
      <c r="I41" t="s">
        <v>98</v>
      </c>
      <c r="J41">
        <v>2.0</v>
      </c>
      <c r="K41">
        <v>3.0</v>
      </c>
      <c r="L41">
        <v>0.0</v>
      </c>
      <c r="M41">
        <v>0.0</v>
      </c>
      <c r="N41">
        <v>0.0</v>
      </c>
      <c r="O41">
        <v>0.0</v>
      </c>
      <c r="P41">
        <v>0.0</v>
      </c>
      <c r="Q41">
        <v>0.0</v>
      </c>
      <c r="R41">
        <v>1.0</v>
      </c>
      <c r="S41">
        <v>0.0</v>
      </c>
      <c r="T41">
        <v>0.0</v>
      </c>
      <c r="U41">
        <v>0.0</v>
      </c>
      <c r="V41">
        <v>0.0</v>
      </c>
      <c r="W41">
        <v>0.0</v>
      </c>
      <c r="X41" t="s">
        <v>2385</v>
      </c>
      <c r="Y41">
        <v>2.0</v>
      </c>
      <c r="Z41">
        <v>90.0</v>
      </c>
      <c r="AA41" t="s">
        <v>2387</v>
      </c>
      <c r="AB41">
        <v>3.0</v>
      </c>
      <c r="AC41">
        <v>75.0</v>
      </c>
      <c r="AD41">
        <v>1.0</v>
      </c>
      <c r="AE41" t="s">
        <v>2388</v>
      </c>
      <c r="AG41" t="s">
        <v>2389</v>
      </c>
      <c r="AH41" t="s">
        <v>3425</v>
      </c>
    </row>
    <row r="42" ht="15.75" customHeight="1">
      <c r="A42" t="s">
        <v>2542</v>
      </c>
      <c r="B42" t="s">
        <v>2543</v>
      </c>
      <c r="C42" t="s">
        <v>572</v>
      </c>
      <c r="D42" t="s">
        <v>2109</v>
      </c>
      <c r="E42" t="s">
        <v>2015</v>
      </c>
      <c r="F42" t="s">
        <v>2349</v>
      </c>
      <c r="G42" t="s">
        <v>2384</v>
      </c>
      <c r="H42" t="s">
        <v>2175</v>
      </c>
      <c r="I42" t="s">
        <v>98</v>
      </c>
      <c r="J42">
        <v>3.0</v>
      </c>
      <c r="K42">
        <v>4.0</v>
      </c>
      <c r="L42">
        <v>0.0</v>
      </c>
      <c r="M42">
        <v>0.0</v>
      </c>
      <c r="N42">
        <v>0.0</v>
      </c>
      <c r="O42">
        <v>0.0</v>
      </c>
      <c r="P42">
        <v>0.0</v>
      </c>
      <c r="Q42">
        <v>0.0</v>
      </c>
      <c r="R42">
        <v>1.0</v>
      </c>
      <c r="S42">
        <v>1.0</v>
      </c>
      <c r="T42">
        <v>0.0</v>
      </c>
      <c r="U42">
        <v>0.0</v>
      </c>
      <c r="V42">
        <v>0.0</v>
      </c>
      <c r="W42">
        <v>0.0</v>
      </c>
      <c r="X42" t="s">
        <v>2385</v>
      </c>
      <c r="Y42">
        <v>2.0</v>
      </c>
      <c r="Z42">
        <v>90.0</v>
      </c>
      <c r="AA42" t="s">
        <v>2387</v>
      </c>
      <c r="AB42">
        <v>3.0</v>
      </c>
      <c r="AC42">
        <v>75.0</v>
      </c>
      <c r="AD42">
        <v>1.0</v>
      </c>
      <c r="AE42" t="s">
        <v>2388</v>
      </c>
      <c r="AG42" t="s">
        <v>2389</v>
      </c>
      <c r="AH42" t="s">
        <v>3425</v>
      </c>
    </row>
    <row r="43" ht="15.75" customHeight="1">
      <c r="A43" t="s">
        <v>2544</v>
      </c>
      <c r="B43" t="s">
        <v>2545</v>
      </c>
      <c r="C43" t="s">
        <v>575</v>
      </c>
      <c r="D43" t="s">
        <v>2109</v>
      </c>
      <c r="E43" t="s">
        <v>2015</v>
      </c>
      <c r="F43" t="s">
        <v>2349</v>
      </c>
      <c r="G43" t="s">
        <v>2384</v>
      </c>
      <c r="H43" t="s">
        <v>2175</v>
      </c>
      <c r="I43" t="s">
        <v>98</v>
      </c>
      <c r="J43">
        <v>3.0</v>
      </c>
      <c r="K43">
        <v>5.0</v>
      </c>
      <c r="L43">
        <v>0.0</v>
      </c>
      <c r="M43">
        <v>0.0</v>
      </c>
      <c r="N43">
        <v>0.0</v>
      </c>
      <c r="O43">
        <v>0.0</v>
      </c>
      <c r="P43">
        <v>0.0</v>
      </c>
      <c r="Q43">
        <v>0.0</v>
      </c>
      <c r="R43">
        <v>2.0</v>
      </c>
      <c r="S43">
        <v>1.0</v>
      </c>
      <c r="T43">
        <v>0.0</v>
      </c>
      <c r="U43">
        <v>0.0</v>
      </c>
      <c r="V43">
        <v>0.0</v>
      </c>
      <c r="W43">
        <v>0.0</v>
      </c>
      <c r="X43" t="s">
        <v>2385</v>
      </c>
      <c r="Y43">
        <v>2.0</v>
      </c>
      <c r="Z43">
        <v>90.0</v>
      </c>
      <c r="AA43" t="s">
        <v>2387</v>
      </c>
      <c r="AB43">
        <v>3.0</v>
      </c>
      <c r="AC43">
        <v>75.0</v>
      </c>
      <c r="AD43">
        <v>1.0</v>
      </c>
      <c r="AE43" t="s">
        <v>2388</v>
      </c>
      <c r="AG43" t="s">
        <v>2389</v>
      </c>
      <c r="AH43" t="s">
        <v>3425</v>
      </c>
    </row>
    <row r="44" ht="15.75" customHeight="1">
      <c r="A44" t="s">
        <v>2546</v>
      </c>
      <c r="B44" t="s">
        <v>2547</v>
      </c>
      <c r="C44" t="s">
        <v>578</v>
      </c>
      <c r="D44" t="s">
        <v>2109</v>
      </c>
      <c r="E44" t="s">
        <v>2015</v>
      </c>
      <c r="F44" t="s">
        <v>2349</v>
      </c>
      <c r="G44" t="s">
        <v>2384</v>
      </c>
      <c r="H44" t="s">
        <v>2175</v>
      </c>
      <c r="I44" t="s">
        <v>98</v>
      </c>
      <c r="J44">
        <v>4.0</v>
      </c>
      <c r="K44">
        <v>6.0</v>
      </c>
      <c r="L44">
        <v>0.0</v>
      </c>
      <c r="M44">
        <v>0.0</v>
      </c>
      <c r="N44">
        <v>1.0</v>
      </c>
      <c r="O44">
        <v>0.0</v>
      </c>
      <c r="P44">
        <v>0.0</v>
      </c>
      <c r="Q44">
        <v>0.0</v>
      </c>
      <c r="R44">
        <v>3.0</v>
      </c>
      <c r="S44">
        <v>1.0</v>
      </c>
      <c r="T44">
        <v>0.0</v>
      </c>
      <c r="U44">
        <v>0.0</v>
      </c>
      <c r="V44">
        <v>0.0</v>
      </c>
      <c r="W44">
        <v>1.0</v>
      </c>
      <c r="X44" t="s">
        <v>2385</v>
      </c>
      <c r="Y44">
        <v>2.0</v>
      </c>
      <c r="Z44">
        <v>90.0</v>
      </c>
      <c r="AA44" t="s">
        <v>2387</v>
      </c>
      <c r="AB44">
        <v>3.0</v>
      </c>
      <c r="AC44">
        <v>75.0</v>
      </c>
      <c r="AD44">
        <v>1.0</v>
      </c>
      <c r="AE44" t="s">
        <v>2388</v>
      </c>
      <c r="AG44" t="s">
        <v>2389</v>
      </c>
      <c r="AH44" t="s">
        <v>3425</v>
      </c>
    </row>
    <row r="45" ht="15.75" customHeight="1">
      <c r="A45" t="s">
        <v>2548</v>
      </c>
      <c r="B45" t="s">
        <v>2549</v>
      </c>
      <c r="C45" t="s">
        <v>581</v>
      </c>
      <c r="D45" t="s">
        <v>2109</v>
      </c>
      <c r="E45" t="s">
        <v>2015</v>
      </c>
      <c r="F45" t="s">
        <v>2349</v>
      </c>
      <c r="G45" t="s">
        <v>2384</v>
      </c>
      <c r="H45" t="s">
        <v>2175</v>
      </c>
      <c r="I45" t="s">
        <v>98</v>
      </c>
      <c r="J45">
        <v>5.0</v>
      </c>
      <c r="K45">
        <v>7.0</v>
      </c>
      <c r="L45">
        <v>0.0</v>
      </c>
      <c r="M45">
        <v>0.0</v>
      </c>
      <c r="N45">
        <v>1.0</v>
      </c>
      <c r="O45">
        <v>0.0</v>
      </c>
      <c r="P45">
        <v>0.0</v>
      </c>
      <c r="Q45">
        <v>0.0</v>
      </c>
      <c r="R45">
        <v>4.0</v>
      </c>
      <c r="S45">
        <v>2.0</v>
      </c>
      <c r="T45">
        <v>0.0</v>
      </c>
      <c r="U45">
        <v>0.0</v>
      </c>
      <c r="V45">
        <v>0.0</v>
      </c>
      <c r="W45">
        <v>2.0</v>
      </c>
      <c r="X45" t="s">
        <v>2385</v>
      </c>
      <c r="Y45">
        <v>2.0</v>
      </c>
      <c r="Z45">
        <v>90.0</v>
      </c>
      <c r="AA45" t="s">
        <v>2387</v>
      </c>
      <c r="AB45">
        <v>3.0</v>
      </c>
      <c r="AC45">
        <v>75.0</v>
      </c>
      <c r="AD45">
        <v>1.0</v>
      </c>
      <c r="AE45" t="s">
        <v>2388</v>
      </c>
      <c r="AG45" t="s">
        <v>2389</v>
      </c>
      <c r="AH45" t="s">
        <v>3425</v>
      </c>
    </row>
    <row r="46" ht="15.75" customHeight="1">
      <c r="A46" t="s">
        <v>2550</v>
      </c>
      <c r="B46" t="s">
        <v>2551</v>
      </c>
      <c r="C46" t="s">
        <v>584</v>
      </c>
      <c r="D46" t="s">
        <v>2109</v>
      </c>
      <c r="E46" t="s">
        <v>2015</v>
      </c>
      <c r="F46" t="s">
        <v>2349</v>
      </c>
      <c r="G46" t="s">
        <v>2384</v>
      </c>
      <c r="H46" t="s">
        <v>2175</v>
      </c>
      <c r="I46" t="s">
        <v>98</v>
      </c>
      <c r="J46">
        <v>6.0</v>
      </c>
      <c r="K46">
        <v>8.0</v>
      </c>
      <c r="L46">
        <v>0.0</v>
      </c>
      <c r="M46">
        <v>0.0</v>
      </c>
      <c r="N46">
        <v>2.0</v>
      </c>
      <c r="O46">
        <v>0.0</v>
      </c>
      <c r="P46">
        <v>0.0</v>
      </c>
      <c r="Q46">
        <v>0.0</v>
      </c>
      <c r="R46">
        <v>5.0</v>
      </c>
      <c r="S46">
        <v>2.0</v>
      </c>
      <c r="T46">
        <v>0.0</v>
      </c>
      <c r="U46">
        <v>0.0</v>
      </c>
      <c r="V46">
        <v>0.0</v>
      </c>
      <c r="W46">
        <v>3.0</v>
      </c>
      <c r="X46" t="s">
        <v>2385</v>
      </c>
      <c r="Y46">
        <v>2.0</v>
      </c>
      <c r="Z46">
        <v>90.0</v>
      </c>
      <c r="AA46" t="s">
        <v>2387</v>
      </c>
      <c r="AB46">
        <v>3.0</v>
      </c>
      <c r="AC46">
        <v>75.0</v>
      </c>
      <c r="AD46">
        <v>1.0</v>
      </c>
      <c r="AE46" t="s">
        <v>2388</v>
      </c>
      <c r="AG46" t="s">
        <v>2389</v>
      </c>
      <c r="AH46" t="s">
        <v>3425</v>
      </c>
    </row>
    <row r="47" ht="15.75" customHeight="1">
      <c r="A47" t="s">
        <v>2552</v>
      </c>
      <c r="B47" t="s">
        <v>1817</v>
      </c>
      <c r="C47" t="s">
        <v>569</v>
      </c>
      <c r="D47" t="s">
        <v>2109</v>
      </c>
      <c r="E47" t="s">
        <v>1817</v>
      </c>
      <c r="F47" t="s">
        <v>2349</v>
      </c>
      <c r="G47" t="s">
        <v>2378</v>
      </c>
      <c r="H47" t="s">
        <v>2175</v>
      </c>
      <c r="I47" t="s">
        <v>98</v>
      </c>
      <c r="J47">
        <v>1.0</v>
      </c>
      <c r="K47">
        <v>3.0</v>
      </c>
      <c r="L47">
        <v>0.0</v>
      </c>
      <c r="M47">
        <v>0.0</v>
      </c>
      <c r="N47">
        <v>0.0</v>
      </c>
      <c r="O47">
        <v>0.0</v>
      </c>
      <c r="P47">
        <v>0.0</v>
      </c>
      <c r="Q47">
        <v>0.0</v>
      </c>
      <c r="R47">
        <v>1.0</v>
      </c>
      <c r="S47">
        <v>0.0</v>
      </c>
      <c r="T47">
        <v>0.0</v>
      </c>
      <c r="U47">
        <v>0.0</v>
      </c>
      <c r="V47">
        <v>0.0</v>
      </c>
      <c r="W47">
        <v>0.0</v>
      </c>
      <c r="X47" t="s">
        <v>2390</v>
      </c>
      <c r="Y47">
        <v>2.0</v>
      </c>
      <c r="Z47">
        <v>80.0</v>
      </c>
      <c r="AA47" t="s">
        <v>2392</v>
      </c>
      <c r="AB47">
        <v>3.0</v>
      </c>
      <c r="AC47">
        <v>0.0</v>
      </c>
      <c r="AD47">
        <v>2.0</v>
      </c>
      <c r="AE47" t="s">
        <v>2393</v>
      </c>
      <c r="AG47" t="s">
        <v>2394</v>
      </c>
      <c r="AH47" t="s">
        <v>3425</v>
      </c>
    </row>
    <row r="48" ht="15.75" customHeight="1">
      <c r="A48" t="s">
        <v>2553</v>
      </c>
      <c r="B48" t="s">
        <v>2554</v>
      </c>
      <c r="C48" t="s">
        <v>572</v>
      </c>
      <c r="D48" t="s">
        <v>2109</v>
      </c>
      <c r="E48" t="s">
        <v>1817</v>
      </c>
      <c r="F48" t="s">
        <v>2349</v>
      </c>
      <c r="G48" t="s">
        <v>2378</v>
      </c>
      <c r="H48" t="s">
        <v>2175</v>
      </c>
      <c r="I48" t="s">
        <v>98</v>
      </c>
      <c r="J48">
        <v>1.0</v>
      </c>
      <c r="K48">
        <v>4.0</v>
      </c>
      <c r="L48">
        <v>0.0</v>
      </c>
      <c r="M48">
        <v>0.0</v>
      </c>
      <c r="N48">
        <v>0.0</v>
      </c>
      <c r="O48">
        <v>0.0</v>
      </c>
      <c r="P48">
        <v>0.0</v>
      </c>
      <c r="Q48">
        <v>0.0</v>
      </c>
      <c r="R48">
        <v>1.0</v>
      </c>
      <c r="S48">
        <v>1.0</v>
      </c>
      <c r="T48">
        <v>0.0</v>
      </c>
      <c r="U48">
        <v>0.0</v>
      </c>
      <c r="V48">
        <v>0.0</v>
      </c>
      <c r="W48">
        <v>0.0</v>
      </c>
      <c r="X48" t="s">
        <v>2390</v>
      </c>
      <c r="Y48">
        <v>2.0</v>
      </c>
      <c r="Z48">
        <v>80.0</v>
      </c>
      <c r="AA48" t="s">
        <v>2392</v>
      </c>
      <c r="AB48">
        <v>3.0</v>
      </c>
      <c r="AC48">
        <v>0.0</v>
      </c>
      <c r="AD48">
        <v>2.0</v>
      </c>
      <c r="AE48" t="s">
        <v>2393</v>
      </c>
      <c r="AG48" t="s">
        <v>2394</v>
      </c>
      <c r="AH48" t="s">
        <v>3425</v>
      </c>
    </row>
    <row r="49" ht="15.75" customHeight="1">
      <c r="A49" t="s">
        <v>2555</v>
      </c>
      <c r="B49" t="s">
        <v>2556</v>
      </c>
      <c r="C49" t="s">
        <v>575</v>
      </c>
      <c r="D49" t="s">
        <v>2109</v>
      </c>
      <c r="E49" t="s">
        <v>1817</v>
      </c>
      <c r="F49" t="s">
        <v>2349</v>
      </c>
      <c r="G49" t="s">
        <v>2378</v>
      </c>
      <c r="H49" t="s">
        <v>2175</v>
      </c>
      <c r="I49" t="s">
        <v>98</v>
      </c>
      <c r="J49">
        <v>2.0</v>
      </c>
      <c r="K49">
        <v>5.0</v>
      </c>
      <c r="L49">
        <v>0.0</v>
      </c>
      <c r="M49">
        <v>0.0</v>
      </c>
      <c r="N49">
        <v>0.0</v>
      </c>
      <c r="O49">
        <v>0.0</v>
      </c>
      <c r="P49">
        <v>0.0</v>
      </c>
      <c r="Q49">
        <v>0.0</v>
      </c>
      <c r="R49">
        <v>2.0</v>
      </c>
      <c r="S49">
        <v>1.0</v>
      </c>
      <c r="T49">
        <v>0.0</v>
      </c>
      <c r="U49">
        <v>0.0</v>
      </c>
      <c r="V49">
        <v>0.0</v>
      </c>
      <c r="W49">
        <v>0.0</v>
      </c>
      <c r="X49" t="s">
        <v>2390</v>
      </c>
      <c r="Y49">
        <v>2.0</v>
      </c>
      <c r="Z49">
        <v>80.0</v>
      </c>
      <c r="AA49" t="s">
        <v>2392</v>
      </c>
      <c r="AB49">
        <v>3.0</v>
      </c>
      <c r="AC49">
        <v>0.0</v>
      </c>
      <c r="AD49">
        <v>2.0</v>
      </c>
      <c r="AE49" t="s">
        <v>2393</v>
      </c>
      <c r="AG49" t="s">
        <v>2394</v>
      </c>
      <c r="AH49" t="s">
        <v>3425</v>
      </c>
    </row>
    <row r="50" ht="15.75" customHeight="1">
      <c r="A50" t="s">
        <v>2557</v>
      </c>
      <c r="B50" t="s">
        <v>2558</v>
      </c>
      <c r="C50" t="s">
        <v>578</v>
      </c>
      <c r="D50" t="s">
        <v>2109</v>
      </c>
      <c r="E50" t="s">
        <v>1817</v>
      </c>
      <c r="F50" t="s">
        <v>2349</v>
      </c>
      <c r="G50" t="s">
        <v>2378</v>
      </c>
      <c r="H50" t="s">
        <v>2175</v>
      </c>
      <c r="I50" t="s">
        <v>98</v>
      </c>
      <c r="J50">
        <v>2.0</v>
      </c>
      <c r="K50">
        <v>6.0</v>
      </c>
      <c r="L50">
        <v>0.0</v>
      </c>
      <c r="M50">
        <v>0.0</v>
      </c>
      <c r="N50">
        <v>0.0</v>
      </c>
      <c r="O50">
        <v>0.0</v>
      </c>
      <c r="P50">
        <v>0.0</v>
      </c>
      <c r="Q50">
        <v>0.0</v>
      </c>
      <c r="R50">
        <v>3.0</v>
      </c>
      <c r="S50">
        <v>1.0</v>
      </c>
      <c r="T50">
        <v>1.0</v>
      </c>
      <c r="U50">
        <v>0.0</v>
      </c>
      <c r="V50">
        <v>0.0</v>
      </c>
      <c r="W50">
        <v>1.0</v>
      </c>
      <c r="X50" t="s">
        <v>2390</v>
      </c>
      <c r="Y50">
        <v>2.0</v>
      </c>
      <c r="Z50">
        <v>80.0</v>
      </c>
      <c r="AA50" t="s">
        <v>2392</v>
      </c>
      <c r="AB50">
        <v>3.0</v>
      </c>
      <c r="AC50">
        <v>0.0</v>
      </c>
      <c r="AD50">
        <v>2.0</v>
      </c>
      <c r="AE50" t="s">
        <v>2393</v>
      </c>
      <c r="AG50" t="s">
        <v>2394</v>
      </c>
      <c r="AH50" t="s">
        <v>3425</v>
      </c>
    </row>
    <row r="51" ht="15.75" customHeight="1">
      <c r="A51" t="s">
        <v>2559</v>
      </c>
      <c r="B51" t="s">
        <v>2560</v>
      </c>
      <c r="C51" t="s">
        <v>581</v>
      </c>
      <c r="D51" t="s">
        <v>2109</v>
      </c>
      <c r="E51" t="s">
        <v>1817</v>
      </c>
      <c r="F51" t="s">
        <v>2349</v>
      </c>
      <c r="G51" t="s">
        <v>2378</v>
      </c>
      <c r="H51" t="s">
        <v>2175</v>
      </c>
      <c r="I51" t="s">
        <v>98</v>
      </c>
      <c r="J51">
        <v>2.0</v>
      </c>
      <c r="K51">
        <v>7.0</v>
      </c>
      <c r="L51">
        <v>0.0</v>
      </c>
      <c r="M51">
        <v>0.0</v>
      </c>
      <c r="N51">
        <v>0.0</v>
      </c>
      <c r="O51">
        <v>0.0</v>
      </c>
      <c r="P51">
        <v>0.0</v>
      </c>
      <c r="Q51">
        <v>0.0</v>
      </c>
      <c r="R51">
        <v>4.0</v>
      </c>
      <c r="S51">
        <v>2.0</v>
      </c>
      <c r="T51">
        <v>1.0</v>
      </c>
      <c r="U51">
        <v>0.0</v>
      </c>
      <c r="V51">
        <v>0.0</v>
      </c>
      <c r="W51">
        <v>2.0</v>
      </c>
      <c r="X51" t="s">
        <v>2390</v>
      </c>
      <c r="Y51">
        <v>2.0</v>
      </c>
      <c r="Z51">
        <v>80.0</v>
      </c>
      <c r="AA51" t="s">
        <v>2392</v>
      </c>
      <c r="AB51">
        <v>3.0</v>
      </c>
      <c r="AC51">
        <v>0.0</v>
      </c>
      <c r="AD51">
        <v>2.0</v>
      </c>
      <c r="AE51" t="s">
        <v>2393</v>
      </c>
      <c r="AG51" t="s">
        <v>2394</v>
      </c>
      <c r="AH51" t="s">
        <v>3425</v>
      </c>
    </row>
    <row r="52" ht="15.75" customHeight="1">
      <c r="A52" t="s">
        <v>2561</v>
      </c>
      <c r="B52" t="s">
        <v>2562</v>
      </c>
      <c r="C52" t="s">
        <v>584</v>
      </c>
      <c r="D52" t="s">
        <v>2109</v>
      </c>
      <c r="E52" t="s">
        <v>1817</v>
      </c>
      <c r="F52" t="s">
        <v>2349</v>
      </c>
      <c r="G52" t="s">
        <v>2378</v>
      </c>
      <c r="H52" t="s">
        <v>2175</v>
      </c>
      <c r="I52" t="s">
        <v>98</v>
      </c>
      <c r="J52">
        <v>3.0</v>
      </c>
      <c r="K52">
        <v>8.0</v>
      </c>
      <c r="L52">
        <v>0.0</v>
      </c>
      <c r="M52">
        <v>0.0</v>
      </c>
      <c r="N52">
        <v>0.0</v>
      </c>
      <c r="O52">
        <v>0.0</v>
      </c>
      <c r="P52">
        <v>0.0</v>
      </c>
      <c r="Q52">
        <v>0.0</v>
      </c>
      <c r="R52">
        <v>5.0</v>
      </c>
      <c r="S52">
        <v>2.0</v>
      </c>
      <c r="T52">
        <v>2.0</v>
      </c>
      <c r="U52">
        <v>0.0</v>
      </c>
      <c r="V52">
        <v>0.0</v>
      </c>
      <c r="W52">
        <v>3.0</v>
      </c>
      <c r="X52" t="s">
        <v>2390</v>
      </c>
      <c r="Y52">
        <v>2.0</v>
      </c>
      <c r="Z52">
        <v>80.0</v>
      </c>
      <c r="AA52" t="s">
        <v>2392</v>
      </c>
      <c r="AB52">
        <v>3.0</v>
      </c>
      <c r="AC52">
        <v>0.0</v>
      </c>
      <c r="AD52">
        <v>2.0</v>
      </c>
      <c r="AE52" t="s">
        <v>2393</v>
      </c>
      <c r="AG52" t="s">
        <v>2394</v>
      </c>
      <c r="AH52" t="s">
        <v>3425</v>
      </c>
    </row>
    <row r="53" ht="15.75" customHeight="1">
      <c r="A53" t="s">
        <v>2563</v>
      </c>
      <c r="B53" t="s">
        <v>2022</v>
      </c>
      <c r="C53" t="s">
        <v>569</v>
      </c>
      <c r="D53" t="s">
        <v>2109</v>
      </c>
      <c r="E53" t="s">
        <v>2022</v>
      </c>
      <c r="F53" t="s">
        <v>2349</v>
      </c>
      <c r="G53" t="s">
        <v>2395</v>
      </c>
      <c r="H53" t="s">
        <v>2175</v>
      </c>
      <c r="I53" t="s">
        <v>98</v>
      </c>
      <c r="J53">
        <v>3.0</v>
      </c>
      <c r="K53">
        <v>4.0</v>
      </c>
      <c r="L53">
        <v>0.0</v>
      </c>
      <c r="M53">
        <v>0.0</v>
      </c>
      <c r="N53">
        <v>0.0</v>
      </c>
      <c r="O53">
        <v>0.0</v>
      </c>
      <c r="P53">
        <v>0.0</v>
      </c>
      <c r="Q53">
        <v>0.0</v>
      </c>
      <c r="R53">
        <v>1.0</v>
      </c>
      <c r="S53">
        <v>0.0</v>
      </c>
      <c r="T53">
        <v>0.0</v>
      </c>
      <c r="U53">
        <v>0.0</v>
      </c>
      <c r="V53">
        <v>0.0</v>
      </c>
      <c r="W53">
        <v>0.0</v>
      </c>
      <c r="X53" t="s">
        <v>2396</v>
      </c>
      <c r="Y53">
        <v>2.0</v>
      </c>
      <c r="Z53">
        <v>110.0</v>
      </c>
      <c r="AA53" t="s">
        <v>2397</v>
      </c>
      <c r="AB53">
        <v>3.0</v>
      </c>
      <c r="AC53">
        <v>0.0</v>
      </c>
      <c r="AD53">
        <v>1.0</v>
      </c>
      <c r="AE53" t="s">
        <v>2398</v>
      </c>
      <c r="AG53" t="s">
        <v>2399</v>
      </c>
      <c r="AH53" t="s">
        <v>3425</v>
      </c>
    </row>
    <row r="54" ht="15.75" customHeight="1">
      <c r="A54" t="s">
        <v>2564</v>
      </c>
      <c r="B54" t="s">
        <v>2565</v>
      </c>
      <c r="C54" t="s">
        <v>572</v>
      </c>
      <c r="D54" t="s">
        <v>2109</v>
      </c>
      <c r="E54" t="s">
        <v>2022</v>
      </c>
      <c r="F54" t="s">
        <v>2349</v>
      </c>
      <c r="G54" t="s">
        <v>2395</v>
      </c>
      <c r="H54" t="s">
        <v>2175</v>
      </c>
      <c r="I54" t="s">
        <v>98</v>
      </c>
      <c r="J54">
        <v>4.0</v>
      </c>
      <c r="K54">
        <v>5.0</v>
      </c>
      <c r="L54">
        <v>0.0</v>
      </c>
      <c r="M54">
        <v>0.0</v>
      </c>
      <c r="N54">
        <v>0.0</v>
      </c>
      <c r="O54">
        <v>0.0</v>
      </c>
      <c r="P54">
        <v>0.0</v>
      </c>
      <c r="Q54">
        <v>0.0</v>
      </c>
      <c r="R54">
        <v>1.0</v>
      </c>
      <c r="S54">
        <v>1.0</v>
      </c>
      <c r="T54">
        <v>0.0</v>
      </c>
      <c r="U54">
        <v>0.0</v>
      </c>
      <c r="V54">
        <v>0.0</v>
      </c>
      <c r="W54">
        <v>0.0</v>
      </c>
      <c r="X54" t="s">
        <v>2396</v>
      </c>
      <c r="Y54">
        <v>2.0</v>
      </c>
      <c r="Z54">
        <v>110.0</v>
      </c>
      <c r="AA54" t="s">
        <v>2397</v>
      </c>
      <c r="AB54">
        <v>3.0</v>
      </c>
      <c r="AC54">
        <v>0.0</v>
      </c>
      <c r="AD54">
        <v>1.0</v>
      </c>
      <c r="AE54" t="s">
        <v>2398</v>
      </c>
      <c r="AG54" t="s">
        <v>2399</v>
      </c>
      <c r="AH54" t="s">
        <v>3425</v>
      </c>
    </row>
    <row r="55" ht="15.75" customHeight="1">
      <c r="A55" t="s">
        <v>2566</v>
      </c>
      <c r="B55" t="s">
        <v>2567</v>
      </c>
      <c r="C55" t="s">
        <v>575</v>
      </c>
      <c r="D55" t="s">
        <v>2109</v>
      </c>
      <c r="E55" t="s">
        <v>2022</v>
      </c>
      <c r="F55" t="s">
        <v>2349</v>
      </c>
      <c r="G55" t="s">
        <v>2395</v>
      </c>
      <c r="H55" t="s">
        <v>2175</v>
      </c>
      <c r="I55" t="s">
        <v>98</v>
      </c>
      <c r="J55">
        <v>5.0</v>
      </c>
      <c r="K55">
        <v>6.0</v>
      </c>
      <c r="L55">
        <v>0.0</v>
      </c>
      <c r="M55">
        <v>0.0</v>
      </c>
      <c r="N55">
        <v>0.0</v>
      </c>
      <c r="O55">
        <v>0.0</v>
      </c>
      <c r="P55">
        <v>0.0</v>
      </c>
      <c r="Q55">
        <v>0.0</v>
      </c>
      <c r="R55">
        <v>2.0</v>
      </c>
      <c r="S55">
        <v>1.0</v>
      </c>
      <c r="T55">
        <v>0.0</v>
      </c>
      <c r="U55">
        <v>0.0</v>
      </c>
      <c r="V55">
        <v>0.0</v>
      </c>
      <c r="W55">
        <v>0.0</v>
      </c>
      <c r="X55" t="s">
        <v>2396</v>
      </c>
      <c r="Y55">
        <v>2.0</v>
      </c>
      <c r="Z55">
        <v>110.0</v>
      </c>
      <c r="AA55" t="s">
        <v>2397</v>
      </c>
      <c r="AB55">
        <v>3.0</v>
      </c>
      <c r="AC55">
        <v>0.0</v>
      </c>
      <c r="AD55">
        <v>1.0</v>
      </c>
      <c r="AE55" t="s">
        <v>2398</v>
      </c>
      <c r="AG55" t="s">
        <v>2399</v>
      </c>
      <c r="AH55" t="s">
        <v>3425</v>
      </c>
    </row>
    <row r="56" ht="15.75" customHeight="1">
      <c r="A56" t="s">
        <v>2568</v>
      </c>
      <c r="B56" t="s">
        <v>2569</v>
      </c>
      <c r="C56" t="s">
        <v>578</v>
      </c>
      <c r="D56" t="s">
        <v>2109</v>
      </c>
      <c r="E56" t="s">
        <v>2022</v>
      </c>
      <c r="F56" t="s">
        <v>2349</v>
      </c>
      <c r="G56" t="s">
        <v>2395</v>
      </c>
      <c r="H56" t="s">
        <v>2175</v>
      </c>
      <c r="I56" t="s">
        <v>98</v>
      </c>
      <c r="J56">
        <v>6.0</v>
      </c>
      <c r="K56">
        <v>8.0</v>
      </c>
      <c r="L56">
        <v>0.0</v>
      </c>
      <c r="M56">
        <v>0.0</v>
      </c>
      <c r="N56">
        <v>1.0</v>
      </c>
      <c r="O56">
        <v>0.0</v>
      </c>
      <c r="P56">
        <v>0.0</v>
      </c>
      <c r="Q56">
        <v>0.0</v>
      </c>
      <c r="R56">
        <v>3.0</v>
      </c>
      <c r="S56">
        <v>1.0</v>
      </c>
      <c r="T56">
        <v>0.0</v>
      </c>
      <c r="U56">
        <v>0.0</v>
      </c>
      <c r="V56">
        <v>0.0</v>
      </c>
      <c r="W56">
        <v>1.0</v>
      </c>
      <c r="X56" t="s">
        <v>2396</v>
      </c>
      <c r="Y56">
        <v>2.0</v>
      </c>
      <c r="Z56">
        <v>110.0</v>
      </c>
      <c r="AA56" t="s">
        <v>2397</v>
      </c>
      <c r="AB56">
        <v>3.0</v>
      </c>
      <c r="AC56">
        <v>0.0</v>
      </c>
      <c r="AD56">
        <v>1.0</v>
      </c>
      <c r="AE56" t="s">
        <v>2398</v>
      </c>
      <c r="AG56" t="s">
        <v>2399</v>
      </c>
      <c r="AH56" t="s">
        <v>3425</v>
      </c>
    </row>
    <row r="57" ht="15.75" customHeight="1">
      <c r="A57" t="s">
        <v>2570</v>
      </c>
      <c r="B57" t="s">
        <v>2571</v>
      </c>
      <c r="C57" t="s">
        <v>581</v>
      </c>
      <c r="D57" t="s">
        <v>2109</v>
      </c>
      <c r="E57" t="s">
        <v>2022</v>
      </c>
      <c r="F57" t="s">
        <v>2349</v>
      </c>
      <c r="G57" t="s">
        <v>2395</v>
      </c>
      <c r="H57" t="s">
        <v>2175</v>
      </c>
      <c r="I57" t="s">
        <v>98</v>
      </c>
      <c r="J57">
        <v>7.0</v>
      </c>
      <c r="K57">
        <v>9.0</v>
      </c>
      <c r="L57">
        <v>0.0</v>
      </c>
      <c r="M57">
        <v>0.0</v>
      </c>
      <c r="N57">
        <v>1.0</v>
      </c>
      <c r="O57">
        <v>0.0</v>
      </c>
      <c r="P57">
        <v>0.0</v>
      </c>
      <c r="Q57">
        <v>0.0</v>
      </c>
      <c r="R57">
        <v>4.0</v>
      </c>
      <c r="S57">
        <v>2.0</v>
      </c>
      <c r="T57">
        <v>0.0</v>
      </c>
      <c r="U57">
        <v>0.0</v>
      </c>
      <c r="V57">
        <v>0.0</v>
      </c>
      <c r="W57">
        <v>2.0</v>
      </c>
      <c r="X57" t="s">
        <v>2396</v>
      </c>
      <c r="Y57">
        <v>2.0</v>
      </c>
      <c r="Z57">
        <v>110.0</v>
      </c>
      <c r="AA57" t="s">
        <v>2397</v>
      </c>
      <c r="AB57">
        <v>3.0</v>
      </c>
      <c r="AC57">
        <v>0.0</v>
      </c>
      <c r="AD57">
        <v>1.0</v>
      </c>
      <c r="AE57" t="s">
        <v>2398</v>
      </c>
      <c r="AG57" t="s">
        <v>2399</v>
      </c>
      <c r="AH57" t="s">
        <v>3425</v>
      </c>
    </row>
    <row r="58" ht="15.75" customHeight="1">
      <c r="A58" t="s">
        <v>2572</v>
      </c>
      <c r="B58" t="s">
        <v>2573</v>
      </c>
      <c r="C58" t="s">
        <v>584</v>
      </c>
      <c r="D58" t="s">
        <v>2109</v>
      </c>
      <c r="E58" t="s">
        <v>2022</v>
      </c>
      <c r="F58" t="s">
        <v>2349</v>
      </c>
      <c r="G58" t="s">
        <v>2395</v>
      </c>
      <c r="H58" t="s">
        <v>2175</v>
      </c>
      <c r="I58" t="s">
        <v>98</v>
      </c>
      <c r="J58">
        <v>8.0</v>
      </c>
      <c r="K58">
        <v>11.0</v>
      </c>
      <c r="L58">
        <v>0.0</v>
      </c>
      <c r="M58">
        <v>0.0</v>
      </c>
      <c r="N58">
        <v>2.0</v>
      </c>
      <c r="O58">
        <v>0.0</v>
      </c>
      <c r="P58">
        <v>0.0</v>
      </c>
      <c r="Q58">
        <v>0.0</v>
      </c>
      <c r="R58">
        <v>5.0</v>
      </c>
      <c r="S58">
        <v>2.0</v>
      </c>
      <c r="T58">
        <v>0.0</v>
      </c>
      <c r="U58">
        <v>0.0</v>
      </c>
      <c r="V58">
        <v>0.0</v>
      </c>
      <c r="W58">
        <v>3.0</v>
      </c>
      <c r="X58" t="s">
        <v>2396</v>
      </c>
      <c r="Y58">
        <v>2.0</v>
      </c>
      <c r="Z58">
        <v>110.0</v>
      </c>
      <c r="AA58" t="s">
        <v>2397</v>
      </c>
      <c r="AB58">
        <v>3.0</v>
      </c>
      <c r="AC58">
        <v>0.0</v>
      </c>
      <c r="AD58">
        <v>1.0</v>
      </c>
      <c r="AE58" t="s">
        <v>2398</v>
      </c>
      <c r="AG58" t="s">
        <v>2399</v>
      </c>
      <c r="AH58" t="s">
        <v>3425</v>
      </c>
    </row>
    <row r="59" ht="15.75" customHeight="1">
      <c r="A59" t="s">
        <v>2574</v>
      </c>
      <c r="B59" t="s">
        <v>1862</v>
      </c>
      <c r="C59" t="s">
        <v>569</v>
      </c>
      <c r="D59" t="s">
        <v>2109</v>
      </c>
      <c r="E59" t="s">
        <v>1862</v>
      </c>
      <c r="F59" t="s">
        <v>2400</v>
      </c>
      <c r="G59" t="s">
        <v>2367</v>
      </c>
      <c r="H59" t="s">
        <v>573</v>
      </c>
      <c r="I59" t="s">
        <v>94</v>
      </c>
      <c r="J59">
        <v>4.0</v>
      </c>
      <c r="K59">
        <v>6.0</v>
      </c>
      <c r="L59">
        <v>0.0</v>
      </c>
      <c r="M59">
        <v>0.0</v>
      </c>
      <c r="N59">
        <v>0.0</v>
      </c>
      <c r="O59">
        <v>0.0</v>
      </c>
      <c r="P59">
        <v>1.0</v>
      </c>
      <c r="Q59">
        <v>0.0</v>
      </c>
      <c r="R59">
        <v>0.0</v>
      </c>
      <c r="S59">
        <v>0.0</v>
      </c>
      <c r="T59">
        <v>0.0</v>
      </c>
      <c r="U59">
        <v>0.0</v>
      </c>
      <c r="V59">
        <v>0.0</v>
      </c>
      <c r="W59">
        <v>0.0</v>
      </c>
      <c r="X59" t="s">
        <v>2401</v>
      </c>
      <c r="Y59">
        <v>2.0</v>
      </c>
      <c r="Z59">
        <v>115.0</v>
      </c>
      <c r="AA59" t="s">
        <v>2403</v>
      </c>
      <c r="AB59">
        <v>3.0</v>
      </c>
      <c r="AC59">
        <v>95.0</v>
      </c>
      <c r="AD59">
        <v>1.0</v>
      </c>
      <c r="AE59" t="s">
        <v>2404</v>
      </c>
      <c r="AG59" t="s">
        <v>2405</v>
      </c>
      <c r="AH59" t="s">
        <v>3425</v>
      </c>
    </row>
    <row r="60" ht="15.75" customHeight="1">
      <c r="A60" t="s">
        <v>2575</v>
      </c>
      <c r="B60" t="s">
        <v>2576</v>
      </c>
      <c r="C60" t="s">
        <v>572</v>
      </c>
      <c r="D60" t="s">
        <v>2109</v>
      </c>
      <c r="E60" t="s">
        <v>1862</v>
      </c>
      <c r="F60" t="s">
        <v>2400</v>
      </c>
      <c r="G60" t="s">
        <v>2367</v>
      </c>
      <c r="H60" t="s">
        <v>573</v>
      </c>
      <c r="I60" t="s">
        <v>94</v>
      </c>
      <c r="J60">
        <v>5.0</v>
      </c>
      <c r="K60">
        <v>8.0</v>
      </c>
      <c r="L60">
        <v>0.0</v>
      </c>
      <c r="M60">
        <v>0.0</v>
      </c>
      <c r="N60">
        <v>0.0</v>
      </c>
      <c r="O60">
        <v>0.0</v>
      </c>
      <c r="P60">
        <v>1.0</v>
      </c>
      <c r="Q60">
        <v>0.0</v>
      </c>
      <c r="R60">
        <v>0.0</v>
      </c>
      <c r="S60">
        <v>0.0</v>
      </c>
      <c r="T60">
        <v>1.0</v>
      </c>
      <c r="U60">
        <v>0.0</v>
      </c>
      <c r="V60">
        <v>0.0</v>
      </c>
      <c r="W60">
        <v>0.0</v>
      </c>
      <c r="X60" t="s">
        <v>2401</v>
      </c>
      <c r="Y60">
        <v>2.0</v>
      </c>
      <c r="Z60">
        <v>115.0</v>
      </c>
      <c r="AA60" t="s">
        <v>2403</v>
      </c>
      <c r="AB60">
        <v>3.0</v>
      </c>
      <c r="AC60">
        <v>95.0</v>
      </c>
      <c r="AD60">
        <v>1.0</v>
      </c>
      <c r="AE60" t="s">
        <v>2404</v>
      </c>
      <c r="AG60" t="s">
        <v>2405</v>
      </c>
      <c r="AH60" t="s">
        <v>3425</v>
      </c>
    </row>
    <row r="61" ht="15.75" customHeight="1">
      <c r="A61" t="s">
        <v>2577</v>
      </c>
      <c r="B61" t="s">
        <v>2578</v>
      </c>
      <c r="C61" t="s">
        <v>575</v>
      </c>
      <c r="D61" t="s">
        <v>2109</v>
      </c>
      <c r="E61" t="s">
        <v>1862</v>
      </c>
      <c r="F61" t="s">
        <v>2400</v>
      </c>
      <c r="G61" t="s">
        <v>2367</v>
      </c>
      <c r="H61" t="s">
        <v>573</v>
      </c>
      <c r="I61" t="s">
        <v>94</v>
      </c>
      <c r="J61">
        <v>6.0</v>
      </c>
      <c r="K61">
        <v>9.0</v>
      </c>
      <c r="L61">
        <v>0.0</v>
      </c>
      <c r="M61">
        <v>0.0</v>
      </c>
      <c r="N61">
        <v>0.0</v>
      </c>
      <c r="O61">
        <v>0.0</v>
      </c>
      <c r="P61">
        <v>2.0</v>
      </c>
      <c r="Q61">
        <v>0.0</v>
      </c>
      <c r="R61">
        <v>0.0</v>
      </c>
      <c r="S61">
        <v>0.0</v>
      </c>
      <c r="T61">
        <v>1.0</v>
      </c>
      <c r="U61">
        <v>1.0</v>
      </c>
      <c r="V61">
        <v>0.0</v>
      </c>
      <c r="W61">
        <v>0.0</v>
      </c>
      <c r="X61" t="s">
        <v>2401</v>
      </c>
      <c r="Y61">
        <v>2.0</v>
      </c>
      <c r="Z61">
        <v>115.0</v>
      </c>
      <c r="AA61" t="s">
        <v>2403</v>
      </c>
      <c r="AB61">
        <v>3.0</v>
      </c>
      <c r="AC61">
        <v>95.0</v>
      </c>
      <c r="AD61">
        <v>1.0</v>
      </c>
      <c r="AE61" t="s">
        <v>2404</v>
      </c>
      <c r="AG61" t="s">
        <v>2405</v>
      </c>
      <c r="AH61" t="s">
        <v>3425</v>
      </c>
    </row>
    <row r="62" ht="15.75" customHeight="1">
      <c r="A62" t="s">
        <v>2579</v>
      </c>
      <c r="B62" t="s">
        <v>2580</v>
      </c>
      <c r="C62" t="s">
        <v>578</v>
      </c>
      <c r="D62" t="s">
        <v>2109</v>
      </c>
      <c r="E62" t="s">
        <v>1862</v>
      </c>
      <c r="F62" t="s">
        <v>2400</v>
      </c>
      <c r="G62" t="s">
        <v>2367</v>
      </c>
      <c r="H62" t="s">
        <v>573</v>
      </c>
      <c r="I62" t="s">
        <v>94</v>
      </c>
      <c r="J62">
        <v>8.0</v>
      </c>
      <c r="K62">
        <v>11.0</v>
      </c>
      <c r="L62">
        <v>0.0</v>
      </c>
      <c r="M62">
        <v>0.0</v>
      </c>
      <c r="N62">
        <v>1.0</v>
      </c>
      <c r="O62">
        <v>0.0</v>
      </c>
      <c r="P62">
        <v>3.0</v>
      </c>
      <c r="Q62">
        <v>0.0</v>
      </c>
      <c r="R62">
        <v>0.0</v>
      </c>
      <c r="S62">
        <v>0.0</v>
      </c>
      <c r="T62">
        <v>1.0</v>
      </c>
      <c r="U62">
        <v>2.0</v>
      </c>
      <c r="V62">
        <v>0.0</v>
      </c>
      <c r="W62">
        <v>0.0</v>
      </c>
      <c r="X62" t="s">
        <v>2401</v>
      </c>
      <c r="Y62">
        <v>2.0</v>
      </c>
      <c r="Z62">
        <v>115.0</v>
      </c>
      <c r="AA62" t="s">
        <v>2403</v>
      </c>
      <c r="AB62">
        <v>3.0</v>
      </c>
      <c r="AC62">
        <v>95.0</v>
      </c>
      <c r="AD62">
        <v>1.0</v>
      </c>
      <c r="AE62" t="s">
        <v>2404</v>
      </c>
      <c r="AG62" t="s">
        <v>2405</v>
      </c>
      <c r="AH62" t="s">
        <v>3425</v>
      </c>
    </row>
    <row r="63" ht="15.75" customHeight="1">
      <c r="A63" t="s">
        <v>2581</v>
      </c>
      <c r="B63" t="s">
        <v>2582</v>
      </c>
      <c r="C63" t="s">
        <v>581</v>
      </c>
      <c r="D63" t="s">
        <v>2109</v>
      </c>
      <c r="E63" t="s">
        <v>1862</v>
      </c>
      <c r="F63" t="s">
        <v>2400</v>
      </c>
      <c r="G63" t="s">
        <v>2367</v>
      </c>
      <c r="H63" t="s">
        <v>573</v>
      </c>
      <c r="I63" t="s">
        <v>94</v>
      </c>
      <c r="J63">
        <v>9.0</v>
      </c>
      <c r="K63">
        <v>14.0</v>
      </c>
      <c r="L63">
        <v>0.0</v>
      </c>
      <c r="M63">
        <v>0.0</v>
      </c>
      <c r="N63">
        <v>1.0</v>
      </c>
      <c r="O63">
        <v>0.0</v>
      </c>
      <c r="P63">
        <v>4.0</v>
      </c>
      <c r="Q63">
        <v>0.0</v>
      </c>
      <c r="R63">
        <v>0.0</v>
      </c>
      <c r="S63">
        <v>0.0</v>
      </c>
      <c r="T63">
        <v>2.0</v>
      </c>
      <c r="U63">
        <v>3.0</v>
      </c>
      <c r="V63">
        <v>0.0</v>
      </c>
      <c r="W63">
        <v>0.0</v>
      </c>
      <c r="X63" t="s">
        <v>2401</v>
      </c>
      <c r="Y63">
        <v>2.0</v>
      </c>
      <c r="Z63">
        <v>115.0</v>
      </c>
      <c r="AA63" t="s">
        <v>2403</v>
      </c>
      <c r="AB63">
        <v>3.0</v>
      </c>
      <c r="AC63">
        <v>95.0</v>
      </c>
      <c r="AD63">
        <v>1.0</v>
      </c>
      <c r="AE63" t="s">
        <v>2404</v>
      </c>
      <c r="AG63" t="s">
        <v>2405</v>
      </c>
      <c r="AH63" t="s">
        <v>3425</v>
      </c>
    </row>
    <row r="64" ht="15.75" customHeight="1">
      <c r="A64" t="s">
        <v>2583</v>
      </c>
      <c r="B64" t="s">
        <v>2584</v>
      </c>
      <c r="C64" t="s">
        <v>584</v>
      </c>
      <c r="D64" t="s">
        <v>2109</v>
      </c>
      <c r="E64" t="s">
        <v>1862</v>
      </c>
      <c r="F64" t="s">
        <v>2400</v>
      </c>
      <c r="G64" t="s">
        <v>2367</v>
      </c>
      <c r="H64" t="s">
        <v>573</v>
      </c>
      <c r="I64" t="s">
        <v>94</v>
      </c>
      <c r="J64">
        <v>11.0</v>
      </c>
      <c r="K64">
        <v>17.0</v>
      </c>
      <c r="L64">
        <v>0.0</v>
      </c>
      <c r="M64">
        <v>0.0</v>
      </c>
      <c r="N64">
        <v>2.0</v>
      </c>
      <c r="O64">
        <v>0.0</v>
      </c>
      <c r="P64">
        <v>5.0</v>
      </c>
      <c r="Q64">
        <v>0.0</v>
      </c>
      <c r="R64">
        <v>0.0</v>
      </c>
      <c r="S64">
        <v>0.0</v>
      </c>
      <c r="T64">
        <v>2.0</v>
      </c>
      <c r="U64">
        <v>4.0</v>
      </c>
      <c r="V64">
        <v>0.0</v>
      </c>
      <c r="W64">
        <v>0.0</v>
      </c>
      <c r="X64" t="s">
        <v>2401</v>
      </c>
      <c r="Y64">
        <v>2.0</v>
      </c>
      <c r="Z64">
        <v>115.0</v>
      </c>
      <c r="AA64" t="s">
        <v>2403</v>
      </c>
      <c r="AB64">
        <v>3.0</v>
      </c>
      <c r="AC64">
        <v>95.0</v>
      </c>
      <c r="AD64">
        <v>1.0</v>
      </c>
      <c r="AE64" t="s">
        <v>2404</v>
      </c>
      <c r="AG64" t="s">
        <v>2405</v>
      </c>
      <c r="AH64" t="s">
        <v>3425</v>
      </c>
    </row>
    <row r="65" ht="15.75" customHeight="1">
      <c r="A65" t="s">
        <v>2585</v>
      </c>
      <c r="B65" t="s">
        <v>1998</v>
      </c>
      <c r="C65" t="s">
        <v>569</v>
      </c>
      <c r="D65" t="s">
        <v>2109</v>
      </c>
      <c r="E65" t="s">
        <v>1998</v>
      </c>
      <c r="F65" t="s">
        <v>2400</v>
      </c>
      <c r="G65" t="s">
        <v>2406</v>
      </c>
      <c r="H65" t="s">
        <v>570</v>
      </c>
      <c r="I65" t="s">
        <v>89</v>
      </c>
      <c r="J65">
        <v>5.0</v>
      </c>
      <c r="K65">
        <v>7.0</v>
      </c>
      <c r="L65">
        <v>0.0</v>
      </c>
      <c r="M65">
        <v>0.0</v>
      </c>
      <c r="N65">
        <v>0.0</v>
      </c>
      <c r="O65">
        <v>1.0</v>
      </c>
      <c r="P65">
        <v>0.0</v>
      </c>
      <c r="Q65">
        <v>0.0</v>
      </c>
      <c r="R65">
        <v>0.0</v>
      </c>
      <c r="S65">
        <v>0.0</v>
      </c>
      <c r="T65">
        <v>0.0</v>
      </c>
      <c r="U65">
        <v>0.0</v>
      </c>
      <c r="V65">
        <v>0.0</v>
      </c>
      <c r="W65">
        <v>0.0</v>
      </c>
      <c r="X65" t="s">
        <v>2407</v>
      </c>
      <c r="Y65">
        <v>2.0</v>
      </c>
      <c r="Z65">
        <v>120.0</v>
      </c>
      <c r="AA65" t="s">
        <v>2409</v>
      </c>
      <c r="AB65">
        <v>3.0</v>
      </c>
      <c r="AC65">
        <v>135.0</v>
      </c>
      <c r="AD65">
        <v>1.0</v>
      </c>
      <c r="AE65" t="s">
        <v>2410</v>
      </c>
      <c r="AG65" t="s">
        <v>2411</v>
      </c>
      <c r="AH65" t="s">
        <v>3425</v>
      </c>
    </row>
    <row r="66" ht="15.75" customHeight="1">
      <c r="A66" t="s">
        <v>2586</v>
      </c>
      <c r="B66" t="s">
        <v>2587</v>
      </c>
      <c r="C66" t="s">
        <v>572</v>
      </c>
      <c r="D66" t="s">
        <v>2109</v>
      </c>
      <c r="E66" t="s">
        <v>1998</v>
      </c>
      <c r="F66" t="s">
        <v>2400</v>
      </c>
      <c r="G66" t="s">
        <v>2406</v>
      </c>
      <c r="H66" t="s">
        <v>570</v>
      </c>
      <c r="I66" t="s">
        <v>89</v>
      </c>
      <c r="J66">
        <v>6.0</v>
      </c>
      <c r="K66">
        <v>9.0</v>
      </c>
      <c r="L66">
        <v>0.0</v>
      </c>
      <c r="M66">
        <v>0.0</v>
      </c>
      <c r="N66">
        <v>0.0</v>
      </c>
      <c r="O66">
        <v>1.0</v>
      </c>
      <c r="P66">
        <v>0.0</v>
      </c>
      <c r="Q66">
        <v>1.0</v>
      </c>
      <c r="R66">
        <v>0.0</v>
      </c>
      <c r="S66">
        <v>0.0</v>
      </c>
      <c r="T66">
        <v>0.0</v>
      </c>
      <c r="U66">
        <v>0.0</v>
      </c>
      <c r="V66">
        <v>0.0</v>
      </c>
      <c r="W66">
        <v>0.0</v>
      </c>
      <c r="X66" t="s">
        <v>2407</v>
      </c>
      <c r="Y66">
        <v>2.0</v>
      </c>
      <c r="Z66">
        <v>120.0</v>
      </c>
      <c r="AA66" t="s">
        <v>2409</v>
      </c>
      <c r="AB66">
        <v>3.0</v>
      </c>
      <c r="AC66">
        <v>135.0</v>
      </c>
      <c r="AD66">
        <v>1.0</v>
      </c>
      <c r="AE66" t="s">
        <v>2410</v>
      </c>
      <c r="AG66" t="s">
        <v>2411</v>
      </c>
      <c r="AH66" t="s">
        <v>3425</v>
      </c>
    </row>
    <row r="67" ht="15.75" customHeight="1">
      <c r="A67" t="s">
        <v>2588</v>
      </c>
      <c r="B67" t="s">
        <v>2589</v>
      </c>
      <c r="C67" t="s">
        <v>575</v>
      </c>
      <c r="D67" t="s">
        <v>2109</v>
      </c>
      <c r="E67" t="s">
        <v>1998</v>
      </c>
      <c r="F67" t="s">
        <v>2400</v>
      </c>
      <c r="G67" t="s">
        <v>2406</v>
      </c>
      <c r="H67" t="s">
        <v>570</v>
      </c>
      <c r="I67" t="s">
        <v>89</v>
      </c>
      <c r="J67">
        <v>8.0</v>
      </c>
      <c r="K67">
        <v>11.0</v>
      </c>
      <c r="L67">
        <v>0.0</v>
      </c>
      <c r="M67">
        <v>0.0</v>
      </c>
      <c r="N67">
        <v>0.0</v>
      </c>
      <c r="O67">
        <v>2.0</v>
      </c>
      <c r="P67">
        <v>0.0</v>
      </c>
      <c r="Q67">
        <v>1.0</v>
      </c>
      <c r="R67">
        <v>0.0</v>
      </c>
      <c r="S67">
        <v>0.0</v>
      </c>
      <c r="T67">
        <v>0.0</v>
      </c>
      <c r="U67">
        <v>0.0</v>
      </c>
      <c r="V67">
        <v>0.0</v>
      </c>
      <c r="W67">
        <v>0.0</v>
      </c>
      <c r="X67" t="s">
        <v>2407</v>
      </c>
      <c r="Y67">
        <v>2.0</v>
      </c>
      <c r="Z67">
        <v>120.0</v>
      </c>
      <c r="AA67" t="s">
        <v>2409</v>
      </c>
      <c r="AB67">
        <v>3.0</v>
      </c>
      <c r="AC67">
        <v>135.0</v>
      </c>
      <c r="AD67">
        <v>1.0</v>
      </c>
      <c r="AE67" t="s">
        <v>2410</v>
      </c>
      <c r="AG67" t="s">
        <v>2411</v>
      </c>
      <c r="AH67" t="s">
        <v>3425</v>
      </c>
    </row>
    <row r="68" ht="15.75" customHeight="1">
      <c r="A68" t="s">
        <v>2590</v>
      </c>
      <c r="B68" t="s">
        <v>2591</v>
      </c>
      <c r="C68" t="s">
        <v>578</v>
      </c>
      <c r="D68" t="s">
        <v>2109</v>
      </c>
      <c r="E68" t="s">
        <v>1998</v>
      </c>
      <c r="F68" t="s">
        <v>2400</v>
      </c>
      <c r="G68" t="s">
        <v>2406</v>
      </c>
      <c r="H68" t="s">
        <v>570</v>
      </c>
      <c r="I68" t="s">
        <v>89</v>
      </c>
      <c r="J68">
        <v>10.0</v>
      </c>
      <c r="K68">
        <v>13.0</v>
      </c>
      <c r="L68">
        <v>0.0</v>
      </c>
      <c r="M68">
        <v>0.0</v>
      </c>
      <c r="N68">
        <v>1.0</v>
      </c>
      <c r="O68">
        <v>3.0</v>
      </c>
      <c r="P68">
        <v>0.0</v>
      </c>
      <c r="Q68">
        <v>1.0</v>
      </c>
      <c r="R68">
        <v>0.0</v>
      </c>
      <c r="S68">
        <v>0.0</v>
      </c>
      <c r="T68">
        <v>0.0</v>
      </c>
      <c r="U68">
        <v>0.0</v>
      </c>
      <c r="V68">
        <v>1.0</v>
      </c>
      <c r="W68">
        <v>0.0</v>
      </c>
      <c r="X68" t="s">
        <v>2407</v>
      </c>
      <c r="Y68">
        <v>2.0</v>
      </c>
      <c r="Z68">
        <v>120.0</v>
      </c>
      <c r="AA68" t="s">
        <v>2409</v>
      </c>
      <c r="AB68">
        <v>3.0</v>
      </c>
      <c r="AC68">
        <v>135.0</v>
      </c>
      <c r="AD68">
        <v>1.0</v>
      </c>
      <c r="AE68" t="s">
        <v>2410</v>
      </c>
      <c r="AG68" t="s">
        <v>2411</v>
      </c>
      <c r="AH68" t="s">
        <v>3425</v>
      </c>
    </row>
    <row r="69" ht="15.75" customHeight="1">
      <c r="A69" t="s">
        <v>2592</v>
      </c>
      <c r="B69" t="s">
        <v>2593</v>
      </c>
      <c r="C69" t="s">
        <v>581</v>
      </c>
      <c r="D69" t="s">
        <v>2109</v>
      </c>
      <c r="E69" t="s">
        <v>1998</v>
      </c>
      <c r="F69" t="s">
        <v>2400</v>
      </c>
      <c r="G69" t="s">
        <v>2406</v>
      </c>
      <c r="H69" t="s">
        <v>570</v>
      </c>
      <c r="I69" t="s">
        <v>89</v>
      </c>
      <c r="J69">
        <v>12.0</v>
      </c>
      <c r="K69">
        <v>16.0</v>
      </c>
      <c r="L69">
        <v>0.0</v>
      </c>
      <c r="M69">
        <v>0.0</v>
      </c>
      <c r="N69">
        <v>1.0</v>
      </c>
      <c r="O69">
        <v>4.0</v>
      </c>
      <c r="P69">
        <v>0.0</v>
      </c>
      <c r="Q69">
        <v>2.0</v>
      </c>
      <c r="R69">
        <v>0.0</v>
      </c>
      <c r="S69">
        <v>0.0</v>
      </c>
      <c r="T69">
        <v>0.0</v>
      </c>
      <c r="U69">
        <v>0.0</v>
      </c>
      <c r="V69">
        <v>2.0</v>
      </c>
      <c r="W69">
        <v>0.0</v>
      </c>
      <c r="X69" t="s">
        <v>2407</v>
      </c>
      <c r="Y69">
        <v>2.0</v>
      </c>
      <c r="Z69">
        <v>120.0</v>
      </c>
      <c r="AA69" t="s">
        <v>2409</v>
      </c>
      <c r="AB69">
        <v>3.0</v>
      </c>
      <c r="AC69">
        <v>135.0</v>
      </c>
      <c r="AD69">
        <v>1.0</v>
      </c>
      <c r="AE69" t="s">
        <v>2410</v>
      </c>
      <c r="AG69" t="s">
        <v>2411</v>
      </c>
      <c r="AH69" t="s">
        <v>3425</v>
      </c>
    </row>
    <row r="70" ht="15.75" customHeight="1">
      <c r="A70" t="s">
        <v>2594</v>
      </c>
      <c r="B70" t="s">
        <v>2595</v>
      </c>
      <c r="C70" t="s">
        <v>584</v>
      </c>
      <c r="D70" t="s">
        <v>2109</v>
      </c>
      <c r="E70" t="s">
        <v>1998</v>
      </c>
      <c r="F70" t="s">
        <v>2400</v>
      </c>
      <c r="G70" t="s">
        <v>2406</v>
      </c>
      <c r="H70" t="s">
        <v>570</v>
      </c>
      <c r="I70" t="s">
        <v>89</v>
      </c>
      <c r="J70">
        <v>14.0</v>
      </c>
      <c r="K70">
        <v>19.0</v>
      </c>
      <c r="L70">
        <v>0.0</v>
      </c>
      <c r="M70">
        <v>0.0</v>
      </c>
      <c r="N70">
        <v>2.0</v>
      </c>
      <c r="O70">
        <v>5.0</v>
      </c>
      <c r="P70">
        <v>0.0</v>
      </c>
      <c r="Q70">
        <v>2.0</v>
      </c>
      <c r="R70">
        <v>0.0</v>
      </c>
      <c r="S70">
        <v>0.0</v>
      </c>
      <c r="T70">
        <v>0.0</v>
      </c>
      <c r="U70">
        <v>0.0</v>
      </c>
      <c r="V70">
        <v>3.0</v>
      </c>
      <c r="W70">
        <v>0.0</v>
      </c>
      <c r="X70" t="s">
        <v>2407</v>
      </c>
      <c r="Y70">
        <v>2.0</v>
      </c>
      <c r="Z70">
        <v>120.0</v>
      </c>
      <c r="AA70" t="s">
        <v>2409</v>
      </c>
      <c r="AB70">
        <v>3.0</v>
      </c>
      <c r="AC70">
        <v>135.0</v>
      </c>
      <c r="AD70">
        <v>1.0</v>
      </c>
      <c r="AE70" t="s">
        <v>2410</v>
      </c>
      <c r="AG70" t="s">
        <v>2411</v>
      </c>
      <c r="AH70" t="s">
        <v>3425</v>
      </c>
    </row>
    <row r="71" ht="15.75" customHeight="1">
      <c r="A71" t="s">
        <v>2596</v>
      </c>
      <c r="B71" t="s">
        <v>2023</v>
      </c>
      <c r="C71" t="s">
        <v>569</v>
      </c>
      <c r="D71" t="s">
        <v>2109</v>
      </c>
      <c r="E71" t="s">
        <v>2023</v>
      </c>
      <c r="F71" t="s">
        <v>2400</v>
      </c>
      <c r="G71" t="s">
        <v>2412</v>
      </c>
      <c r="H71" t="s">
        <v>2175</v>
      </c>
      <c r="I71" t="s">
        <v>98</v>
      </c>
      <c r="J71">
        <v>4.0</v>
      </c>
      <c r="K71">
        <v>6.0</v>
      </c>
      <c r="L71">
        <v>0.0</v>
      </c>
      <c r="M71">
        <v>0.0</v>
      </c>
      <c r="N71">
        <v>0.0</v>
      </c>
      <c r="O71">
        <v>0.0</v>
      </c>
      <c r="P71">
        <v>0.0</v>
      </c>
      <c r="Q71">
        <v>0.0</v>
      </c>
      <c r="R71">
        <v>1.0</v>
      </c>
      <c r="S71">
        <v>0.0</v>
      </c>
      <c r="T71">
        <v>0.0</v>
      </c>
      <c r="U71">
        <v>0.0</v>
      </c>
      <c r="V71">
        <v>0.0</v>
      </c>
      <c r="W71">
        <v>0.0</v>
      </c>
      <c r="X71" t="s">
        <v>2413</v>
      </c>
      <c r="Y71">
        <v>2.0</v>
      </c>
      <c r="Z71">
        <v>110.0</v>
      </c>
      <c r="AA71" t="s">
        <v>2414</v>
      </c>
      <c r="AB71">
        <v>3.0</v>
      </c>
      <c r="AC71">
        <v>0.0</v>
      </c>
      <c r="AD71">
        <v>2.0</v>
      </c>
      <c r="AE71" t="s">
        <v>2415</v>
      </c>
      <c r="AG71" t="s">
        <v>2416</v>
      </c>
      <c r="AH71" t="s">
        <v>3425</v>
      </c>
    </row>
    <row r="72" ht="15.75" customHeight="1">
      <c r="A72" t="s">
        <v>2597</v>
      </c>
      <c r="B72" t="s">
        <v>2598</v>
      </c>
      <c r="C72" t="s">
        <v>572</v>
      </c>
      <c r="D72" t="s">
        <v>2109</v>
      </c>
      <c r="E72" t="s">
        <v>2023</v>
      </c>
      <c r="F72" t="s">
        <v>2400</v>
      </c>
      <c r="G72" t="s">
        <v>2412</v>
      </c>
      <c r="H72" t="s">
        <v>2175</v>
      </c>
      <c r="I72" t="s">
        <v>98</v>
      </c>
      <c r="J72">
        <v>5.0</v>
      </c>
      <c r="K72">
        <v>8.0</v>
      </c>
      <c r="L72">
        <v>0.0</v>
      </c>
      <c r="M72">
        <v>0.0</v>
      </c>
      <c r="N72">
        <v>0.0</v>
      </c>
      <c r="O72">
        <v>0.0</v>
      </c>
      <c r="P72">
        <v>0.0</v>
      </c>
      <c r="Q72">
        <v>0.0</v>
      </c>
      <c r="R72">
        <v>1.0</v>
      </c>
      <c r="S72">
        <v>1.0</v>
      </c>
      <c r="T72">
        <v>0.0</v>
      </c>
      <c r="U72">
        <v>0.0</v>
      </c>
      <c r="V72">
        <v>0.0</v>
      </c>
      <c r="W72">
        <v>0.0</v>
      </c>
      <c r="X72" t="s">
        <v>2413</v>
      </c>
      <c r="Y72">
        <v>2.0</v>
      </c>
      <c r="Z72">
        <v>110.0</v>
      </c>
      <c r="AA72" t="s">
        <v>2414</v>
      </c>
      <c r="AB72">
        <v>3.0</v>
      </c>
      <c r="AC72">
        <v>0.0</v>
      </c>
      <c r="AD72">
        <v>2.0</v>
      </c>
      <c r="AE72" t="s">
        <v>2415</v>
      </c>
      <c r="AG72" t="s">
        <v>2416</v>
      </c>
      <c r="AH72" t="s">
        <v>3425</v>
      </c>
    </row>
    <row r="73" ht="15.75" customHeight="1">
      <c r="A73" t="s">
        <v>2599</v>
      </c>
      <c r="B73" t="s">
        <v>2600</v>
      </c>
      <c r="C73" t="s">
        <v>575</v>
      </c>
      <c r="D73" t="s">
        <v>2109</v>
      </c>
      <c r="E73" t="s">
        <v>2023</v>
      </c>
      <c r="F73" t="s">
        <v>2400</v>
      </c>
      <c r="G73" t="s">
        <v>2412</v>
      </c>
      <c r="H73" t="s">
        <v>2175</v>
      </c>
      <c r="I73" t="s">
        <v>98</v>
      </c>
      <c r="J73">
        <v>6.0</v>
      </c>
      <c r="K73">
        <v>9.0</v>
      </c>
      <c r="L73">
        <v>0.0</v>
      </c>
      <c r="M73">
        <v>0.0</v>
      </c>
      <c r="N73">
        <v>0.0</v>
      </c>
      <c r="O73">
        <v>0.0</v>
      </c>
      <c r="P73">
        <v>0.0</v>
      </c>
      <c r="Q73">
        <v>0.0</v>
      </c>
      <c r="R73">
        <v>2.0</v>
      </c>
      <c r="S73">
        <v>1.0</v>
      </c>
      <c r="T73">
        <v>0.0</v>
      </c>
      <c r="U73">
        <v>0.0</v>
      </c>
      <c r="V73">
        <v>0.0</v>
      </c>
      <c r="W73">
        <v>0.0</v>
      </c>
      <c r="X73" t="s">
        <v>2413</v>
      </c>
      <c r="Y73">
        <v>2.0</v>
      </c>
      <c r="Z73">
        <v>110.0</v>
      </c>
      <c r="AA73" t="s">
        <v>2414</v>
      </c>
      <c r="AB73">
        <v>3.0</v>
      </c>
      <c r="AC73">
        <v>0.0</v>
      </c>
      <c r="AD73">
        <v>2.0</v>
      </c>
      <c r="AE73" t="s">
        <v>2415</v>
      </c>
      <c r="AG73" t="s">
        <v>2416</v>
      </c>
      <c r="AH73" t="s">
        <v>3425</v>
      </c>
    </row>
    <row r="74" ht="15.75" customHeight="1">
      <c r="A74" t="s">
        <v>2601</v>
      </c>
      <c r="B74" t="s">
        <v>2602</v>
      </c>
      <c r="C74" t="s">
        <v>578</v>
      </c>
      <c r="D74" t="s">
        <v>2109</v>
      </c>
      <c r="E74" t="s">
        <v>2023</v>
      </c>
      <c r="F74" t="s">
        <v>2400</v>
      </c>
      <c r="G74" t="s">
        <v>2412</v>
      </c>
      <c r="H74" t="s">
        <v>2175</v>
      </c>
      <c r="I74" t="s">
        <v>98</v>
      </c>
      <c r="J74">
        <v>8.0</v>
      </c>
      <c r="K74">
        <v>11.0</v>
      </c>
      <c r="L74">
        <v>0.0</v>
      </c>
      <c r="M74">
        <v>0.0</v>
      </c>
      <c r="N74">
        <v>1.0</v>
      </c>
      <c r="O74">
        <v>0.0</v>
      </c>
      <c r="P74">
        <v>0.0</v>
      </c>
      <c r="Q74">
        <v>0.0</v>
      </c>
      <c r="R74">
        <v>3.0</v>
      </c>
      <c r="S74">
        <v>1.0</v>
      </c>
      <c r="T74">
        <v>0.0</v>
      </c>
      <c r="U74">
        <v>0.0</v>
      </c>
      <c r="V74">
        <v>0.0</v>
      </c>
      <c r="W74">
        <v>1.0</v>
      </c>
      <c r="X74" t="s">
        <v>2413</v>
      </c>
      <c r="Y74">
        <v>2.0</v>
      </c>
      <c r="Z74">
        <v>110.0</v>
      </c>
      <c r="AA74" t="s">
        <v>2414</v>
      </c>
      <c r="AB74">
        <v>3.0</v>
      </c>
      <c r="AC74">
        <v>0.0</v>
      </c>
      <c r="AD74">
        <v>2.0</v>
      </c>
      <c r="AE74" t="s">
        <v>2415</v>
      </c>
      <c r="AG74" t="s">
        <v>2416</v>
      </c>
      <c r="AH74" t="s">
        <v>3425</v>
      </c>
    </row>
    <row r="75" ht="15.75" customHeight="1">
      <c r="A75" t="s">
        <v>2603</v>
      </c>
      <c r="B75" t="s">
        <v>2604</v>
      </c>
      <c r="C75" t="s">
        <v>581</v>
      </c>
      <c r="D75" t="s">
        <v>2109</v>
      </c>
      <c r="E75" t="s">
        <v>2023</v>
      </c>
      <c r="F75" t="s">
        <v>2400</v>
      </c>
      <c r="G75" t="s">
        <v>2412</v>
      </c>
      <c r="H75" t="s">
        <v>2175</v>
      </c>
      <c r="I75" t="s">
        <v>98</v>
      </c>
      <c r="J75">
        <v>9.0</v>
      </c>
      <c r="K75">
        <v>14.0</v>
      </c>
      <c r="L75">
        <v>0.0</v>
      </c>
      <c r="M75">
        <v>0.0</v>
      </c>
      <c r="N75">
        <v>1.0</v>
      </c>
      <c r="O75">
        <v>0.0</v>
      </c>
      <c r="P75">
        <v>0.0</v>
      </c>
      <c r="Q75">
        <v>0.0</v>
      </c>
      <c r="R75">
        <v>4.0</v>
      </c>
      <c r="S75">
        <v>2.0</v>
      </c>
      <c r="T75">
        <v>0.0</v>
      </c>
      <c r="U75">
        <v>0.0</v>
      </c>
      <c r="V75">
        <v>0.0</v>
      </c>
      <c r="W75">
        <v>2.0</v>
      </c>
      <c r="X75" t="s">
        <v>2413</v>
      </c>
      <c r="Y75">
        <v>2.0</v>
      </c>
      <c r="Z75">
        <v>110.0</v>
      </c>
      <c r="AA75" t="s">
        <v>2414</v>
      </c>
      <c r="AB75">
        <v>3.0</v>
      </c>
      <c r="AC75">
        <v>0.0</v>
      </c>
      <c r="AD75">
        <v>2.0</v>
      </c>
      <c r="AE75" t="s">
        <v>2415</v>
      </c>
      <c r="AG75" t="s">
        <v>2416</v>
      </c>
      <c r="AH75" t="s">
        <v>3425</v>
      </c>
    </row>
    <row r="76" ht="15.75" customHeight="1">
      <c r="A76" t="s">
        <v>2605</v>
      </c>
      <c r="B76" t="s">
        <v>2606</v>
      </c>
      <c r="C76" t="s">
        <v>584</v>
      </c>
      <c r="D76" t="s">
        <v>2109</v>
      </c>
      <c r="E76" t="s">
        <v>2023</v>
      </c>
      <c r="F76" t="s">
        <v>2400</v>
      </c>
      <c r="G76" t="s">
        <v>2412</v>
      </c>
      <c r="H76" t="s">
        <v>2175</v>
      </c>
      <c r="I76" t="s">
        <v>98</v>
      </c>
      <c r="J76">
        <v>11.0</v>
      </c>
      <c r="K76">
        <v>17.0</v>
      </c>
      <c r="L76">
        <v>0.0</v>
      </c>
      <c r="M76">
        <v>0.0</v>
      </c>
      <c r="N76">
        <v>2.0</v>
      </c>
      <c r="O76">
        <v>0.0</v>
      </c>
      <c r="P76">
        <v>0.0</v>
      </c>
      <c r="Q76">
        <v>0.0</v>
      </c>
      <c r="R76">
        <v>5.0</v>
      </c>
      <c r="S76">
        <v>2.0</v>
      </c>
      <c r="T76">
        <v>0.0</v>
      </c>
      <c r="U76">
        <v>0.0</v>
      </c>
      <c r="V76">
        <v>0.0</v>
      </c>
      <c r="W76">
        <v>3.0</v>
      </c>
      <c r="X76" t="s">
        <v>2413</v>
      </c>
      <c r="Y76">
        <v>2.0</v>
      </c>
      <c r="Z76">
        <v>110.0</v>
      </c>
      <c r="AA76" t="s">
        <v>2414</v>
      </c>
      <c r="AB76">
        <v>3.0</v>
      </c>
      <c r="AC76">
        <v>0.0</v>
      </c>
      <c r="AD76">
        <v>2.0</v>
      </c>
      <c r="AE76" t="s">
        <v>2415</v>
      </c>
      <c r="AG76" t="s">
        <v>2416</v>
      </c>
      <c r="AH76" t="s">
        <v>3425</v>
      </c>
    </row>
    <row r="77" ht="15.75" customHeight="1">
      <c r="A77" t="s">
        <v>2607</v>
      </c>
      <c r="B77" t="s">
        <v>2002</v>
      </c>
      <c r="C77" t="s">
        <v>569</v>
      </c>
      <c r="D77" t="s">
        <v>2109</v>
      </c>
      <c r="E77" t="s">
        <v>2002</v>
      </c>
      <c r="F77" t="s">
        <v>2400</v>
      </c>
      <c r="G77" t="s">
        <v>2406</v>
      </c>
      <c r="H77" t="s">
        <v>570</v>
      </c>
      <c r="I77" t="s">
        <v>89</v>
      </c>
      <c r="J77">
        <v>6.0</v>
      </c>
      <c r="K77">
        <v>8.0</v>
      </c>
      <c r="L77">
        <v>0.0</v>
      </c>
      <c r="M77">
        <v>0.0</v>
      </c>
      <c r="N77">
        <v>0.0</v>
      </c>
      <c r="O77">
        <v>1.0</v>
      </c>
      <c r="P77">
        <v>0.0</v>
      </c>
      <c r="Q77">
        <v>0.0</v>
      </c>
      <c r="R77">
        <v>0.0</v>
      </c>
      <c r="S77">
        <v>0.0</v>
      </c>
      <c r="T77">
        <v>0.0</v>
      </c>
      <c r="U77">
        <v>0.0</v>
      </c>
      <c r="V77">
        <v>0.0</v>
      </c>
      <c r="W77">
        <v>0.0</v>
      </c>
      <c r="X77" t="s">
        <v>2417</v>
      </c>
      <c r="Y77">
        <v>2.0</v>
      </c>
      <c r="Z77">
        <v>120.0</v>
      </c>
      <c r="AA77" t="s">
        <v>2418</v>
      </c>
      <c r="AB77">
        <v>3.0</v>
      </c>
      <c r="AC77">
        <v>125.0</v>
      </c>
      <c r="AD77">
        <v>1.0</v>
      </c>
      <c r="AE77" t="s">
        <v>2419</v>
      </c>
      <c r="AG77" t="s">
        <v>2420</v>
      </c>
      <c r="AH77" t="s">
        <v>3425</v>
      </c>
    </row>
    <row r="78" ht="15.75" customHeight="1">
      <c r="A78" t="s">
        <v>2608</v>
      </c>
      <c r="B78" t="s">
        <v>2609</v>
      </c>
      <c r="C78" t="s">
        <v>572</v>
      </c>
      <c r="D78" t="s">
        <v>2109</v>
      </c>
      <c r="E78" t="s">
        <v>2002</v>
      </c>
      <c r="F78" t="s">
        <v>2400</v>
      </c>
      <c r="G78" t="s">
        <v>2406</v>
      </c>
      <c r="H78" t="s">
        <v>570</v>
      </c>
      <c r="I78" t="s">
        <v>89</v>
      </c>
      <c r="J78">
        <v>8.0</v>
      </c>
      <c r="K78">
        <v>10.0</v>
      </c>
      <c r="L78">
        <v>0.0</v>
      </c>
      <c r="M78">
        <v>0.0</v>
      </c>
      <c r="N78">
        <v>0.0</v>
      </c>
      <c r="O78">
        <v>1.0</v>
      </c>
      <c r="P78">
        <v>0.0</v>
      </c>
      <c r="Q78">
        <v>1.0</v>
      </c>
      <c r="R78">
        <v>0.0</v>
      </c>
      <c r="S78">
        <v>0.0</v>
      </c>
      <c r="T78">
        <v>0.0</v>
      </c>
      <c r="U78">
        <v>0.0</v>
      </c>
      <c r="V78">
        <v>0.0</v>
      </c>
      <c r="W78">
        <v>0.0</v>
      </c>
      <c r="X78" t="s">
        <v>2417</v>
      </c>
      <c r="Y78">
        <v>2.0</v>
      </c>
      <c r="Z78">
        <v>120.0</v>
      </c>
      <c r="AA78" t="s">
        <v>2418</v>
      </c>
      <c r="AB78">
        <v>3.0</v>
      </c>
      <c r="AC78">
        <v>125.0</v>
      </c>
      <c r="AD78">
        <v>1.0</v>
      </c>
      <c r="AE78" t="s">
        <v>2419</v>
      </c>
      <c r="AG78" t="s">
        <v>2420</v>
      </c>
      <c r="AH78" t="s">
        <v>3425</v>
      </c>
    </row>
    <row r="79" ht="15.75" customHeight="1">
      <c r="A79" t="s">
        <v>2610</v>
      </c>
      <c r="B79" t="s">
        <v>2611</v>
      </c>
      <c r="C79" t="s">
        <v>575</v>
      </c>
      <c r="D79" t="s">
        <v>2109</v>
      </c>
      <c r="E79" t="s">
        <v>2002</v>
      </c>
      <c r="F79" t="s">
        <v>2400</v>
      </c>
      <c r="G79" t="s">
        <v>2406</v>
      </c>
      <c r="H79" t="s">
        <v>570</v>
      </c>
      <c r="I79" t="s">
        <v>89</v>
      </c>
      <c r="J79">
        <v>9.0</v>
      </c>
      <c r="K79">
        <v>12.0</v>
      </c>
      <c r="L79">
        <v>0.0</v>
      </c>
      <c r="M79">
        <v>0.0</v>
      </c>
      <c r="N79">
        <v>0.0</v>
      </c>
      <c r="O79">
        <v>2.0</v>
      </c>
      <c r="P79">
        <v>0.0</v>
      </c>
      <c r="Q79">
        <v>1.0</v>
      </c>
      <c r="R79">
        <v>0.0</v>
      </c>
      <c r="S79">
        <v>0.0</v>
      </c>
      <c r="T79">
        <v>0.0</v>
      </c>
      <c r="U79">
        <v>0.0</v>
      </c>
      <c r="V79">
        <v>0.0</v>
      </c>
      <c r="W79">
        <v>0.0</v>
      </c>
      <c r="X79" t="s">
        <v>2417</v>
      </c>
      <c r="Y79">
        <v>2.0</v>
      </c>
      <c r="Z79">
        <v>120.0</v>
      </c>
      <c r="AA79" t="s">
        <v>2418</v>
      </c>
      <c r="AB79">
        <v>3.0</v>
      </c>
      <c r="AC79">
        <v>125.0</v>
      </c>
      <c r="AD79">
        <v>1.0</v>
      </c>
      <c r="AE79" t="s">
        <v>2419</v>
      </c>
      <c r="AG79" t="s">
        <v>2420</v>
      </c>
      <c r="AH79" t="s">
        <v>3425</v>
      </c>
    </row>
    <row r="80" ht="15.75" customHeight="1">
      <c r="A80" t="s">
        <v>2612</v>
      </c>
      <c r="B80" t="s">
        <v>2613</v>
      </c>
      <c r="C80" t="s">
        <v>578</v>
      </c>
      <c r="D80" t="s">
        <v>2109</v>
      </c>
      <c r="E80" t="s">
        <v>2002</v>
      </c>
      <c r="F80" t="s">
        <v>2400</v>
      </c>
      <c r="G80" t="s">
        <v>2406</v>
      </c>
      <c r="H80" t="s">
        <v>570</v>
      </c>
      <c r="I80" t="s">
        <v>89</v>
      </c>
      <c r="J80">
        <v>11.0</v>
      </c>
      <c r="K80">
        <v>15.0</v>
      </c>
      <c r="L80">
        <v>0.0</v>
      </c>
      <c r="M80">
        <v>0.0</v>
      </c>
      <c r="N80">
        <v>1.0</v>
      </c>
      <c r="O80">
        <v>3.0</v>
      </c>
      <c r="P80">
        <v>0.0</v>
      </c>
      <c r="Q80">
        <v>1.0</v>
      </c>
      <c r="R80">
        <v>0.0</v>
      </c>
      <c r="S80">
        <v>0.0</v>
      </c>
      <c r="T80">
        <v>0.0</v>
      </c>
      <c r="U80">
        <v>0.0</v>
      </c>
      <c r="V80">
        <v>1.0</v>
      </c>
      <c r="W80">
        <v>0.0</v>
      </c>
      <c r="X80" t="s">
        <v>2417</v>
      </c>
      <c r="Y80">
        <v>2.0</v>
      </c>
      <c r="Z80">
        <v>120.0</v>
      </c>
      <c r="AA80" t="s">
        <v>2418</v>
      </c>
      <c r="AB80">
        <v>3.0</v>
      </c>
      <c r="AC80">
        <v>125.0</v>
      </c>
      <c r="AD80">
        <v>1.0</v>
      </c>
      <c r="AE80" t="s">
        <v>2419</v>
      </c>
      <c r="AG80" t="s">
        <v>2420</v>
      </c>
      <c r="AH80" t="s">
        <v>3425</v>
      </c>
    </row>
    <row r="81" ht="15.75" customHeight="1">
      <c r="A81" t="s">
        <v>2614</v>
      </c>
      <c r="B81" t="s">
        <v>2615</v>
      </c>
      <c r="C81" t="s">
        <v>581</v>
      </c>
      <c r="D81" t="s">
        <v>2109</v>
      </c>
      <c r="E81" t="s">
        <v>2002</v>
      </c>
      <c r="F81" t="s">
        <v>2400</v>
      </c>
      <c r="G81" t="s">
        <v>2406</v>
      </c>
      <c r="H81" t="s">
        <v>570</v>
      </c>
      <c r="I81" t="s">
        <v>89</v>
      </c>
      <c r="J81">
        <v>14.0</v>
      </c>
      <c r="K81">
        <v>18.0</v>
      </c>
      <c r="L81">
        <v>0.0</v>
      </c>
      <c r="M81">
        <v>0.0</v>
      </c>
      <c r="N81">
        <v>1.0</v>
      </c>
      <c r="O81">
        <v>4.0</v>
      </c>
      <c r="P81">
        <v>0.0</v>
      </c>
      <c r="Q81">
        <v>2.0</v>
      </c>
      <c r="R81">
        <v>0.0</v>
      </c>
      <c r="S81">
        <v>0.0</v>
      </c>
      <c r="T81">
        <v>0.0</v>
      </c>
      <c r="U81">
        <v>0.0</v>
      </c>
      <c r="V81">
        <v>2.0</v>
      </c>
      <c r="W81">
        <v>0.0</v>
      </c>
      <c r="X81" t="s">
        <v>2417</v>
      </c>
      <c r="Y81">
        <v>2.0</v>
      </c>
      <c r="Z81">
        <v>120.0</v>
      </c>
      <c r="AA81" t="s">
        <v>2418</v>
      </c>
      <c r="AB81">
        <v>3.0</v>
      </c>
      <c r="AC81">
        <v>125.0</v>
      </c>
      <c r="AD81">
        <v>1.0</v>
      </c>
      <c r="AE81" t="s">
        <v>2419</v>
      </c>
      <c r="AG81" t="s">
        <v>2420</v>
      </c>
      <c r="AH81" t="s">
        <v>3425</v>
      </c>
    </row>
    <row r="82" ht="15.75" customHeight="1">
      <c r="A82" t="s">
        <v>2616</v>
      </c>
      <c r="B82" t="s">
        <v>2617</v>
      </c>
      <c r="C82" t="s">
        <v>584</v>
      </c>
      <c r="D82" t="s">
        <v>2109</v>
      </c>
      <c r="E82" t="s">
        <v>2002</v>
      </c>
      <c r="F82" t="s">
        <v>2400</v>
      </c>
      <c r="G82" t="s">
        <v>2406</v>
      </c>
      <c r="H82" t="s">
        <v>570</v>
      </c>
      <c r="I82" t="s">
        <v>89</v>
      </c>
      <c r="J82">
        <v>17.0</v>
      </c>
      <c r="K82">
        <v>22.0</v>
      </c>
      <c r="L82">
        <v>0.0</v>
      </c>
      <c r="M82">
        <v>0.0</v>
      </c>
      <c r="N82">
        <v>2.0</v>
      </c>
      <c r="O82">
        <v>5.0</v>
      </c>
      <c r="P82">
        <v>0.0</v>
      </c>
      <c r="Q82">
        <v>2.0</v>
      </c>
      <c r="R82">
        <v>0.0</v>
      </c>
      <c r="S82">
        <v>0.0</v>
      </c>
      <c r="T82">
        <v>0.0</v>
      </c>
      <c r="U82">
        <v>0.0</v>
      </c>
      <c r="V82">
        <v>3.0</v>
      </c>
      <c r="W82">
        <v>0.0</v>
      </c>
      <c r="X82" t="s">
        <v>2417</v>
      </c>
      <c r="Y82">
        <v>2.0</v>
      </c>
      <c r="Z82">
        <v>120.0</v>
      </c>
      <c r="AA82" t="s">
        <v>2418</v>
      </c>
      <c r="AB82">
        <v>3.0</v>
      </c>
      <c r="AC82">
        <v>125.0</v>
      </c>
      <c r="AD82">
        <v>1.0</v>
      </c>
      <c r="AE82" t="s">
        <v>2419</v>
      </c>
      <c r="AG82" t="s">
        <v>2420</v>
      </c>
      <c r="AH82" t="s">
        <v>3425</v>
      </c>
    </row>
    <row r="83" ht="15.75" customHeight="1">
      <c r="A83" t="s">
        <v>2618</v>
      </c>
      <c r="B83" t="s">
        <v>1875</v>
      </c>
      <c r="C83" t="s">
        <v>569</v>
      </c>
      <c r="D83" t="s">
        <v>2109</v>
      </c>
      <c r="E83" t="s">
        <v>1875</v>
      </c>
      <c r="F83" t="s">
        <v>2400</v>
      </c>
      <c r="G83" t="s">
        <v>2421</v>
      </c>
      <c r="H83" t="s">
        <v>573</v>
      </c>
      <c r="I83" t="s">
        <v>94</v>
      </c>
      <c r="J83">
        <v>5.0</v>
      </c>
      <c r="K83">
        <v>8.0</v>
      </c>
      <c r="L83">
        <v>0.0</v>
      </c>
      <c r="M83">
        <v>0.0</v>
      </c>
      <c r="N83">
        <v>0.0</v>
      </c>
      <c r="O83">
        <v>0.0</v>
      </c>
      <c r="P83">
        <v>1.0</v>
      </c>
      <c r="Q83">
        <v>0.0</v>
      </c>
      <c r="R83">
        <v>0.0</v>
      </c>
      <c r="S83">
        <v>0.0</v>
      </c>
      <c r="T83">
        <v>0.0</v>
      </c>
      <c r="U83">
        <v>0.0</v>
      </c>
      <c r="V83">
        <v>0.0</v>
      </c>
      <c r="W83">
        <v>0.0</v>
      </c>
      <c r="X83" t="s">
        <v>2422</v>
      </c>
      <c r="Y83">
        <v>2.0</v>
      </c>
      <c r="Z83">
        <v>120.0</v>
      </c>
      <c r="AA83" t="s">
        <v>2424</v>
      </c>
      <c r="AB83">
        <v>3.0</v>
      </c>
      <c r="AC83">
        <v>140.0</v>
      </c>
      <c r="AD83">
        <v>1.0</v>
      </c>
      <c r="AE83" t="s">
        <v>2425</v>
      </c>
      <c r="AG83" t="s">
        <v>2426</v>
      </c>
      <c r="AH83" t="s">
        <v>3425</v>
      </c>
    </row>
    <row r="84" ht="15.75" customHeight="1">
      <c r="A84" t="s">
        <v>2619</v>
      </c>
      <c r="B84" t="s">
        <v>2620</v>
      </c>
      <c r="C84" t="s">
        <v>572</v>
      </c>
      <c r="D84" t="s">
        <v>2109</v>
      </c>
      <c r="E84" t="s">
        <v>1875</v>
      </c>
      <c r="F84" t="s">
        <v>2400</v>
      </c>
      <c r="G84" t="s">
        <v>2421</v>
      </c>
      <c r="H84" t="s">
        <v>573</v>
      </c>
      <c r="I84" t="s">
        <v>94</v>
      </c>
      <c r="J84">
        <v>6.0</v>
      </c>
      <c r="K84">
        <v>10.0</v>
      </c>
      <c r="L84">
        <v>0.0</v>
      </c>
      <c r="M84">
        <v>0.0</v>
      </c>
      <c r="N84">
        <v>0.0</v>
      </c>
      <c r="O84">
        <v>0.0</v>
      </c>
      <c r="P84">
        <v>1.0</v>
      </c>
      <c r="Q84">
        <v>0.0</v>
      </c>
      <c r="R84">
        <v>0.0</v>
      </c>
      <c r="S84">
        <v>0.0</v>
      </c>
      <c r="T84">
        <v>1.0</v>
      </c>
      <c r="U84">
        <v>0.0</v>
      </c>
      <c r="V84">
        <v>0.0</v>
      </c>
      <c r="W84">
        <v>0.0</v>
      </c>
      <c r="X84" t="s">
        <v>2422</v>
      </c>
      <c r="Y84">
        <v>2.0</v>
      </c>
      <c r="Z84">
        <v>120.0</v>
      </c>
      <c r="AA84" t="s">
        <v>2424</v>
      </c>
      <c r="AB84">
        <v>3.0</v>
      </c>
      <c r="AC84">
        <v>140.0</v>
      </c>
      <c r="AD84">
        <v>1.0</v>
      </c>
      <c r="AE84" t="s">
        <v>2425</v>
      </c>
      <c r="AG84" t="s">
        <v>2426</v>
      </c>
      <c r="AH84" t="s">
        <v>3425</v>
      </c>
    </row>
    <row r="85" ht="15.75" customHeight="1">
      <c r="A85" t="s">
        <v>2621</v>
      </c>
      <c r="B85" t="s">
        <v>2622</v>
      </c>
      <c r="C85" t="s">
        <v>575</v>
      </c>
      <c r="D85" t="s">
        <v>2109</v>
      </c>
      <c r="E85" t="s">
        <v>1875</v>
      </c>
      <c r="F85" t="s">
        <v>2400</v>
      </c>
      <c r="G85" t="s">
        <v>2421</v>
      </c>
      <c r="H85" t="s">
        <v>573</v>
      </c>
      <c r="I85" t="s">
        <v>94</v>
      </c>
      <c r="J85">
        <v>8.0</v>
      </c>
      <c r="K85">
        <v>12.0</v>
      </c>
      <c r="L85">
        <v>0.0</v>
      </c>
      <c r="M85">
        <v>0.0</v>
      </c>
      <c r="N85">
        <v>0.0</v>
      </c>
      <c r="O85">
        <v>0.0</v>
      </c>
      <c r="P85">
        <v>2.0</v>
      </c>
      <c r="Q85">
        <v>0.0</v>
      </c>
      <c r="R85">
        <v>0.0</v>
      </c>
      <c r="S85">
        <v>0.0</v>
      </c>
      <c r="T85">
        <v>1.0</v>
      </c>
      <c r="U85">
        <v>1.0</v>
      </c>
      <c r="V85">
        <v>0.0</v>
      </c>
      <c r="W85">
        <v>0.0</v>
      </c>
      <c r="X85" t="s">
        <v>2422</v>
      </c>
      <c r="Y85">
        <v>2.0</v>
      </c>
      <c r="Z85">
        <v>120.0</v>
      </c>
      <c r="AA85" t="s">
        <v>2424</v>
      </c>
      <c r="AB85">
        <v>3.0</v>
      </c>
      <c r="AC85">
        <v>140.0</v>
      </c>
      <c r="AD85">
        <v>1.0</v>
      </c>
      <c r="AE85" t="s">
        <v>2425</v>
      </c>
      <c r="AG85" t="s">
        <v>2426</v>
      </c>
      <c r="AH85" t="s">
        <v>3425</v>
      </c>
    </row>
    <row r="86" ht="15.75" customHeight="1">
      <c r="A86" t="s">
        <v>2623</v>
      </c>
      <c r="B86" t="s">
        <v>2624</v>
      </c>
      <c r="C86" t="s">
        <v>578</v>
      </c>
      <c r="D86" t="s">
        <v>2109</v>
      </c>
      <c r="E86" t="s">
        <v>1875</v>
      </c>
      <c r="F86" t="s">
        <v>2400</v>
      </c>
      <c r="G86" t="s">
        <v>2421</v>
      </c>
      <c r="H86" t="s">
        <v>573</v>
      </c>
      <c r="I86" t="s">
        <v>94</v>
      </c>
      <c r="J86">
        <v>10.0</v>
      </c>
      <c r="K86">
        <v>15.0</v>
      </c>
      <c r="L86">
        <v>0.0</v>
      </c>
      <c r="M86">
        <v>0.0</v>
      </c>
      <c r="N86">
        <v>1.0</v>
      </c>
      <c r="O86">
        <v>0.0</v>
      </c>
      <c r="P86">
        <v>3.0</v>
      </c>
      <c r="Q86">
        <v>0.0</v>
      </c>
      <c r="R86">
        <v>0.0</v>
      </c>
      <c r="S86">
        <v>0.0</v>
      </c>
      <c r="T86">
        <v>1.0</v>
      </c>
      <c r="U86">
        <v>2.0</v>
      </c>
      <c r="V86">
        <v>0.0</v>
      </c>
      <c r="W86">
        <v>0.0</v>
      </c>
      <c r="X86" t="s">
        <v>2422</v>
      </c>
      <c r="Y86">
        <v>2.0</v>
      </c>
      <c r="Z86">
        <v>120.0</v>
      </c>
      <c r="AA86" t="s">
        <v>2424</v>
      </c>
      <c r="AB86">
        <v>3.0</v>
      </c>
      <c r="AC86">
        <v>140.0</v>
      </c>
      <c r="AD86">
        <v>1.0</v>
      </c>
      <c r="AE86" t="s">
        <v>2425</v>
      </c>
      <c r="AG86" t="s">
        <v>2426</v>
      </c>
      <c r="AH86" t="s">
        <v>3425</v>
      </c>
    </row>
    <row r="87" ht="15.75" customHeight="1">
      <c r="A87" t="s">
        <v>2625</v>
      </c>
      <c r="B87" t="s">
        <v>2626</v>
      </c>
      <c r="C87" t="s">
        <v>581</v>
      </c>
      <c r="D87" t="s">
        <v>2109</v>
      </c>
      <c r="E87" t="s">
        <v>1875</v>
      </c>
      <c r="F87" t="s">
        <v>2400</v>
      </c>
      <c r="G87" t="s">
        <v>2421</v>
      </c>
      <c r="H87" t="s">
        <v>573</v>
      </c>
      <c r="I87" t="s">
        <v>94</v>
      </c>
      <c r="J87">
        <v>12.0</v>
      </c>
      <c r="K87">
        <v>18.0</v>
      </c>
      <c r="L87">
        <v>0.0</v>
      </c>
      <c r="M87">
        <v>0.0</v>
      </c>
      <c r="N87">
        <v>1.0</v>
      </c>
      <c r="O87">
        <v>0.0</v>
      </c>
      <c r="P87">
        <v>4.0</v>
      </c>
      <c r="Q87">
        <v>0.0</v>
      </c>
      <c r="R87">
        <v>0.0</v>
      </c>
      <c r="S87">
        <v>0.0</v>
      </c>
      <c r="T87">
        <v>2.0</v>
      </c>
      <c r="U87">
        <v>3.0</v>
      </c>
      <c r="V87">
        <v>0.0</v>
      </c>
      <c r="W87">
        <v>0.0</v>
      </c>
      <c r="X87" t="s">
        <v>2422</v>
      </c>
      <c r="Y87">
        <v>2.0</v>
      </c>
      <c r="Z87">
        <v>120.0</v>
      </c>
      <c r="AA87" t="s">
        <v>2424</v>
      </c>
      <c r="AB87">
        <v>3.0</v>
      </c>
      <c r="AC87">
        <v>140.0</v>
      </c>
      <c r="AD87">
        <v>1.0</v>
      </c>
      <c r="AE87" t="s">
        <v>2425</v>
      </c>
      <c r="AG87" t="s">
        <v>2426</v>
      </c>
      <c r="AH87" t="s">
        <v>3425</v>
      </c>
    </row>
    <row r="88" ht="15.75" customHeight="1">
      <c r="A88" t="s">
        <v>2627</v>
      </c>
      <c r="B88" t="s">
        <v>2628</v>
      </c>
      <c r="C88" t="s">
        <v>584</v>
      </c>
      <c r="D88" t="s">
        <v>2109</v>
      </c>
      <c r="E88" t="s">
        <v>1875</v>
      </c>
      <c r="F88" t="s">
        <v>2400</v>
      </c>
      <c r="G88" t="s">
        <v>2421</v>
      </c>
      <c r="H88" t="s">
        <v>573</v>
      </c>
      <c r="I88" t="s">
        <v>94</v>
      </c>
      <c r="J88">
        <v>14.0</v>
      </c>
      <c r="K88">
        <v>22.0</v>
      </c>
      <c r="L88">
        <v>0.0</v>
      </c>
      <c r="M88">
        <v>0.0</v>
      </c>
      <c r="N88">
        <v>2.0</v>
      </c>
      <c r="O88">
        <v>0.0</v>
      </c>
      <c r="P88">
        <v>5.0</v>
      </c>
      <c r="Q88">
        <v>0.0</v>
      </c>
      <c r="R88">
        <v>0.0</v>
      </c>
      <c r="S88">
        <v>0.0</v>
      </c>
      <c r="T88">
        <v>2.0</v>
      </c>
      <c r="U88">
        <v>4.0</v>
      </c>
      <c r="V88">
        <v>0.0</v>
      </c>
      <c r="W88">
        <v>0.0</v>
      </c>
      <c r="X88" t="s">
        <v>2422</v>
      </c>
      <c r="Y88">
        <v>2.0</v>
      </c>
      <c r="Z88">
        <v>120.0</v>
      </c>
      <c r="AA88" t="s">
        <v>2424</v>
      </c>
      <c r="AB88">
        <v>3.0</v>
      </c>
      <c r="AC88">
        <v>140.0</v>
      </c>
      <c r="AD88">
        <v>1.0</v>
      </c>
      <c r="AE88" t="s">
        <v>2425</v>
      </c>
      <c r="AG88" t="s">
        <v>2426</v>
      </c>
      <c r="AH88" t="s">
        <v>3425</v>
      </c>
    </row>
    <row r="89" ht="15.75" customHeight="1">
      <c r="A89" t="s">
        <v>2629</v>
      </c>
      <c r="B89" t="s">
        <v>2008</v>
      </c>
      <c r="C89" t="s">
        <v>569</v>
      </c>
      <c r="D89" t="s">
        <v>2109</v>
      </c>
      <c r="E89" t="s">
        <v>2008</v>
      </c>
      <c r="F89" t="s">
        <v>2400</v>
      </c>
      <c r="G89" t="s">
        <v>2427</v>
      </c>
      <c r="H89" t="s">
        <v>570</v>
      </c>
      <c r="I89" t="s">
        <v>89</v>
      </c>
      <c r="J89">
        <v>5.0</v>
      </c>
      <c r="K89">
        <v>7.0</v>
      </c>
      <c r="L89">
        <v>0.0</v>
      </c>
      <c r="M89">
        <v>0.0</v>
      </c>
      <c r="N89">
        <v>0.0</v>
      </c>
      <c r="O89">
        <v>1.0</v>
      </c>
      <c r="P89">
        <v>0.0</v>
      </c>
      <c r="Q89">
        <v>0.0</v>
      </c>
      <c r="R89">
        <v>0.0</v>
      </c>
      <c r="S89">
        <v>0.0</v>
      </c>
      <c r="T89">
        <v>0.0</v>
      </c>
      <c r="U89">
        <v>0.0</v>
      </c>
      <c r="V89">
        <v>0.0</v>
      </c>
      <c r="W89">
        <v>0.0</v>
      </c>
      <c r="X89" t="s">
        <v>2428</v>
      </c>
      <c r="Y89">
        <v>2.0</v>
      </c>
      <c r="Z89">
        <v>100.0</v>
      </c>
      <c r="AA89" t="s">
        <v>2430</v>
      </c>
      <c r="AB89">
        <v>3.0</v>
      </c>
      <c r="AC89">
        <v>125.0</v>
      </c>
      <c r="AD89">
        <v>1.0</v>
      </c>
      <c r="AE89" t="s">
        <v>2431</v>
      </c>
      <c r="AG89" t="s">
        <v>2432</v>
      </c>
      <c r="AH89" t="s">
        <v>3425</v>
      </c>
    </row>
    <row r="90" ht="15.75" customHeight="1">
      <c r="A90" t="s">
        <v>2630</v>
      </c>
      <c r="B90" t="s">
        <v>2631</v>
      </c>
      <c r="C90" t="s">
        <v>572</v>
      </c>
      <c r="D90" t="s">
        <v>2109</v>
      </c>
      <c r="E90" t="s">
        <v>2008</v>
      </c>
      <c r="F90" t="s">
        <v>2400</v>
      </c>
      <c r="G90" t="s">
        <v>2427</v>
      </c>
      <c r="H90" t="s">
        <v>570</v>
      </c>
      <c r="I90" t="s">
        <v>89</v>
      </c>
      <c r="J90">
        <v>6.0</v>
      </c>
      <c r="K90">
        <v>9.0</v>
      </c>
      <c r="L90">
        <v>0.0</v>
      </c>
      <c r="M90">
        <v>0.0</v>
      </c>
      <c r="N90">
        <v>1.0</v>
      </c>
      <c r="O90">
        <v>1.0</v>
      </c>
      <c r="P90">
        <v>0.0</v>
      </c>
      <c r="Q90">
        <v>0.0</v>
      </c>
      <c r="R90">
        <v>0.0</v>
      </c>
      <c r="S90">
        <v>0.0</v>
      </c>
      <c r="T90">
        <v>0.0</v>
      </c>
      <c r="U90">
        <v>0.0</v>
      </c>
      <c r="V90">
        <v>0.0</v>
      </c>
      <c r="W90">
        <v>0.0</v>
      </c>
      <c r="X90" t="s">
        <v>2428</v>
      </c>
      <c r="Y90">
        <v>2.0</v>
      </c>
      <c r="Z90">
        <v>100.0</v>
      </c>
      <c r="AA90" t="s">
        <v>2430</v>
      </c>
      <c r="AB90">
        <v>3.0</v>
      </c>
      <c r="AC90">
        <v>125.0</v>
      </c>
      <c r="AD90">
        <v>1.0</v>
      </c>
      <c r="AE90" t="s">
        <v>2431</v>
      </c>
      <c r="AG90" t="s">
        <v>2432</v>
      </c>
      <c r="AH90" t="s">
        <v>3425</v>
      </c>
    </row>
    <row r="91" ht="15.75" customHeight="1">
      <c r="A91" t="s">
        <v>2632</v>
      </c>
      <c r="B91" t="s">
        <v>2633</v>
      </c>
      <c r="C91" t="s">
        <v>575</v>
      </c>
      <c r="D91" t="s">
        <v>2109</v>
      </c>
      <c r="E91" t="s">
        <v>2008</v>
      </c>
      <c r="F91" t="s">
        <v>2400</v>
      </c>
      <c r="G91" t="s">
        <v>2427</v>
      </c>
      <c r="H91" t="s">
        <v>570</v>
      </c>
      <c r="I91" t="s">
        <v>89</v>
      </c>
      <c r="J91">
        <v>8.0</v>
      </c>
      <c r="K91">
        <v>11.0</v>
      </c>
      <c r="L91">
        <v>0.0</v>
      </c>
      <c r="M91">
        <v>0.0</v>
      </c>
      <c r="N91">
        <v>1.0</v>
      </c>
      <c r="O91">
        <v>2.0</v>
      </c>
      <c r="P91">
        <v>0.0</v>
      </c>
      <c r="Q91">
        <v>0.0</v>
      </c>
      <c r="R91">
        <v>0.0</v>
      </c>
      <c r="S91">
        <v>0.0</v>
      </c>
      <c r="T91">
        <v>0.0</v>
      </c>
      <c r="U91">
        <v>0.0</v>
      </c>
      <c r="V91">
        <v>0.0</v>
      </c>
      <c r="W91">
        <v>0.0</v>
      </c>
      <c r="X91" t="s">
        <v>2428</v>
      </c>
      <c r="Y91">
        <v>2.0</v>
      </c>
      <c r="Z91">
        <v>100.0</v>
      </c>
      <c r="AA91" t="s">
        <v>2430</v>
      </c>
      <c r="AB91">
        <v>3.0</v>
      </c>
      <c r="AC91">
        <v>125.0</v>
      </c>
      <c r="AD91">
        <v>1.0</v>
      </c>
      <c r="AE91" t="s">
        <v>2431</v>
      </c>
      <c r="AG91" t="s">
        <v>2432</v>
      </c>
      <c r="AH91" t="s">
        <v>3425</v>
      </c>
    </row>
    <row r="92" ht="15.75" customHeight="1">
      <c r="A92" t="s">
        <v>2634</v>
      </c>
      <c r="B92" t="s">
        <v>2635</v>
      </c>
      <c r="C92" t="s">
        <v>578</v>
      </c>
      <c r="D92" t="s">
        <v>2109</v>
      </c>
      <c r="E92" t="s">
        <v>2008</v>
      </c>
      <c r="F92" t="s">
        <v>2400</v>
      </c>
      <c r="G92" t="s">
        <v>2427</v>
      </c>
      <c r="H92" t="s">
        <v>570</v>
      </c>
      <c r="I92" t="s">
        <v>89</v>
      </c>
      <c r="J92">
        <v>10.0</v>
      </c>
      <c r="K92">
        <v>13.0</v>
      </c>
      <c r="L92">
        <v>0.0</v>
      </c>
      <c r="M92">
        <v>0.0</v>
      </c>
      <c r="N92">
        <v>1.0</v>
      </c>
      <c r="O92">
        <v>3.0</v>
      </c>
      <c r="P92">
        <v>0.0</v>
      </c>
      <c r="Q92">
        <v>1.0</v>
      </c>
      <c r="R92">
        <v>0.0</v>
      </c>
      <c r="S92">
        <v>0.0</v>
      </c>
      <c r="T92">
        <v>0.0</v>
      </c>
      <c r="U92">
        <v>0.0</v>
      </c>
      <c r="V92">
        <v>1.0</v>
      </c>
      <c r="W92">
        <v>0.0</v>
      </c>
      <c r="X92" t="s">
        <v>2428</v>
      </c>
      <c r="Y92">
        <v>2.0</v>
      </c>
      <c r="Z92">
        <v>100.0</v>
      </c>
      <c r="AA92" t="s">
        <v>2430</v>
      </c>
      <c r="AB92">
        <v>3.0</v>
      </c>
      <c r="AC92">
        <v>125.0</v>
      </c>
      <c r="AD92">
        <v>1.0</v>
      </c>
      <c r="AE92" t="s">
        <v>2431</v>
      </c>
      <c r="AG92" t="s">
        <v>2432</v>
      </c>
      <c r="AH92" t="s">
        <v>3425</v>
      </c>
    </row>
    <row r="93" ht="15.75" customHeight="1">
      <c r="A93" t="s">
        <v>2636</v>
      </c>
      <c r="B93" t="s">
        <v>2637</v>
      </c>
      <c r="C93" t="s">
        <v>581</v>
      </c>
      <c r="D93" t="s">
        <v>2109</v>
      </c>
      <c r="E93" t="s">
        <v>2008</v>
      </c>
      <c r="F93" t="s">
        <v>2400</v>
      </c>
      <c r="G93" t="s">
        <v>2427</v>
      </c>
      <c r="H93" t="s">
        <v>570</v>
      </c>
      <c r="I93" t="s">
        <v>89</v>
      </c>
      <c r="J93">
        <v>12.0</v>
      </c>
      <c r="K93">
        <v>16.0</v>
      </c>
      <c r="L93">
        <v>0.0</v>
      </c>
      <c r="M93">
        <v>0.0</v>
      </c>
      <c r="N93">
        <v>2.0</v>
      </c>
      <c r="O93">
        <v>4.0</v>
      </c>
      <c r="P93">
        <v>0.0</v>
      </c>
      <c r="Q93">
        <v>1.0</v>
      </c>
      <c r="R93">
        <v>0.0</v>
      </c>
      <c r="S93">
        <v>0.0</v>
      </c>
      <c r="T93">
        <v>0.0</v>
      </c>
      <c r="U93">
        <v>0.0</v>
      </c>
      <c r="V93">
        <v>2.0</v>
      </c>
      <c r="W93">
        <v>0.0</v>
      </c>
      <c r="X93" t="s">
        <v>2428</v>
      </c>
      <c r="Y93">
        <v>2.0</v>
      </c>
      <c r="Z93">
        <v>100.0</v>
      </c>
      <c r="AA93" t="s">
        <v>2430</v>
      </c>
      <c r="AB93">
        <v>3.0</v>
      </c>
      <c r="AC93">
        <v>125.0</v>
      </c>
      <c r="AD93">
        <v>1.0</v>
      </c>
      <c r="AE93" t="s">
        <v>2431</v>
      </c>
      <c r="AG93" t="s">
        <v>2432</v>
      </c>
      <c r="AH93" t="s">
        <v>3425</v>
      </c>
    </row>
    <row r="94" ht="15.75" customHeight="1">
      <c r="A94" t="s">
        <v>2638</v>
      </c>
      <c r="B94" t="s">
        <v>2639</v>
      </c>
      <c r="C94" t="s">
        <v>584</v>
      </c>
      <c r="D94" t="s">
        <v>2109</v>
      </c>
      <c r="E94" t="s">
        <v>2008</v>
      </c>
      <c r="F94" t="s">
        <v>2400</v>
      </c>
      <c r="G94" t="s">
        <v>2427</v>
      </c>
      <c r="H94" t="s">
        <v>570</v>
      </c>
      <c r="I94" t="s">
        <v>89</v>
      </c>
      <c r="J94">
        <v>14.0</v>
      </c>
      <c r="K94">
        <v>19.0</v>
      </c>
      <c r="L94">
        <v>0.0</v>
      </c>
      <c r="M94">
        <v>0.0</v>
      </c>
      <c r="N94">
        <v>2.0</v>
      </c>
      <c r="O94">
        <v>5.0</v>
      </c>
      <c r="P94">
        <v>0.0</v>
      </c>
      <c r="Q94">
        <v>2.0</v>
      </c>
      <c r="R94">
        <v>0.0</v>
      </c>
      <c r="S94">
        <v>0.0</v>
      </c>
      <c r="T94">
        <v>0.0</v>
      </c>
      <c r="U94">
        <v>0.0</v>
      </c>
      <c r="V94">
        <v>3.0</v>
      </c>
      <c r="W94">
        <v>0.0</v>
      </c>
      <c r="X94" t="s">
        <v>2428</v>
      </c>
      <c r="Y94">
        <v>2.0</v>
      </c>
      <c r="Z94">
        <v>100.0</v>
      </c>
      <c r="AA94" t="s">
        <v>2430</v>
      </c>
      <c r="AB94">
        <v>3.0</v>
      </c>
      <c r="AC94">
        <v>125.0</v>
      </c>
      <c r="AD94">
        <v>1.0</v>
      </c>
      <c r="AE94" t="s">
        <v>2431</v>
      </c>
      <c r="AG94" t="s">
        <v>2432</v>
      </c>
      <c r="AH94" t="s">
        <v>3425</v>
      </c>
    </row>
    <row r="95" ht="15.75" customHeight="1">
      <c r="A95" t="s">
        <v>2640</v>
      </c>
      <c r="B95" t="s">
        <v>2024</v>
      </c>
      <c r="C95" t="s">
        <v>569</v>
      </c>
      <c r="D95" t="s">
        <v>2109</v>
      </c>
      <c r="E95" t="s">
        <v>2024</v>
      </c>
      <c r="F95" t="s">
        <v>2400</v>
      </c>
      <c r="G95" t="s">
        <v>2384</v>
      </c>
      <c r="H95" t="s">
        <v>2175</v>
      </c>
      <c r="I95" t="s">
        <v>98</v>
      </c>
      <c r="J95">
        <v>3.0</v>
      </c>
      <c r="K95">
        <v>5.0</v>
      </c>
      <c r="L95">
        <v>0.0</v>
      </c>
      <c r="M95">
        <v>0.0</v>
      </c>
      <c r="N95">
        <v>0.0</v>
      </c>
      <c r="O95">
        <v>0.0</v>
      </c>
      <c r="P95">
        <v>0.0</v>
      </c>
      <c r="Q95">
        <v>0.0</v>
      </c>
      <c r="R95">
        <v>1.0</v>
      </c>
      <c r="S95">
        <v>0.0</v>
      </c>
      <c r="T95">
        <v>0.0</v>
      </c>
      <c r="U95">
        <v>0.0</v>
      </c>
      <c r="V95">
        <v>0.0</v>
      </c>
      <c r="W95">
        <v>0.0</v>
      </c>
      <c r="X95" t="s">
        <v>2433</v>
      </c>
      <c r="Y95">
        <v>2.0</v>
      </c>
      <c r="Z95">
        <v>100.0</v>
      </c>
      <c r="AA95" t="s">
        <v>2435</v>
      </c>
      <c r="AB95">
        <v>3.0</v>
      </c>
      <c r="AC95">
        <v>0.0</v>
      </c>
      <c r="AD95">
        <v>3.0</v>
      </c>
      <c r="AE95" t="s">
        <v>2436</v>
      </c>
      <c r="AG95" t="s">
        <v>2437</v>
      </c>
      <c r="AH95" t="s">
        <v>3425</v>
      </c>
    </row>
    <row r="96" ht="15.75" customHeight="1">
      <c r="A96" t="s">
        <v>2641</v>
      </c>
      <c r="B96" t="s">
        <v>2642</v>
      </c>
      <c r="C96" t="s">
        <v>572</v>
      </c>
      <c r="D96" t="s">
        <v>2109</v>
      </c>
      <c r="E96" t="s">
        <v>2024</v>
      </c>
      <c r="F96" t="s">
        <v>2400</v>
      </c>
      <c r="G96" t="s">
        <v>2384</v>
      </c>
      <c r="H96" t="s">
        <v>2175</v>
      </c>
      <c r="I96" t="s">
        <v>98</v>
      </c>
      <c r="J96">
        <v>4.0</v>
      </c>
      <c r="K96">
        <v>6.0</v>
      </c>
      <c r="L96">
        <v>0.0</v>
      </c>
      <c r="M96">
        <v>0.0</v>
      </c>
      <c r="N96">
        <v>0.0</v>
      </c>
      <c r="O96">
        <v>0.0</v>
      </c>
      <c r="P96">
        <v>0.0</v>
      </c>
      <c r="Q96">
        <v>0.0</v>
      </c>
      <c r="R96">
        <v>1.0</v>
      </c>
      <c r="S96">
        <v>1.0</v>
      </c>
      <c r="T96">
        <v>0.0</v>
      </c>
      <c r="U96">
        <v>0.0</v>
      </c>
      <c r="V96">
        <v>0.0</v>
      </c>
      <c r="W96">
        <v>0.0</v>
      </c>
      <c r="X96" t="s">
        <v>2433</v>
      </c>
      <c r="Y96">
        <v>2.0</v>
      </c>
      <c r="Z96">
        <v>100.0</v>
      </c>
      <c r="AA96" t="s">
        <v>2435</v>
      </c>
      <c r="AB96">
        <v>3.0</v>
      </c>
      <c r="AC96">
        <v>0.0</v>
      </c>
      <c r="AD96">
        <v>3.0</v>
      </c>
      <c r="AE96" t="s">
        <v>2436</v>
      </c>
      <c r="AG96" t="s">
        <v>2437</v>
      </c>
      <c r="AH96" t="s">
        <v>3425</v>
      </c>
    </row>
    <row r="97" ht="15.75" customHeight="1">
      <c r="A97" t="s">
        <v>2643</v>
      </c>
      <c r="B97" t="s">
        <v>2644</v>
      </c>
      <c r="C97" t="s">
        <v>575</v>
      </c>
      <c r="D97" t="s">
        <v>2109</v>
      </c>
      <c r="E97" t="s">
        <v>2024</v>
      </c>
      <c r="F97" t="s">
        <v>2400</v>
      </c>
      <c r="G97" t="s">
        <v>2384</v>
      </c>
      <c r="H97" t="s">
        <v>2175</v>
      </c>
      <c r="I97" t="s">
        <v>98</v>
      </c>
      <c r="J97">
        <v>5.0</v>
      </c>
      <c r="K97">
        <v>8.0</v>
      </c>
      <c r="L97">
        <v>0.0</v>
      </c>
      <c r="M97">
        <v>0.0</v>
      </c>
      <c r="N97">
        <v>0.0</v>
      </c>
      <c r="O97">
        <v>0.0</v>
      </c>
      <c r="P97">
        <v>0.0</v>
      </c>
      <c r="Q97">
        <v>0.0</v>
      </c>
      <c r="R97">
        <v>2.0</v>
      </c>
      <c r="S97">
        <v>1.0</v>
      </c>
      <c r="T97">
        <v>0.0</v>
      </c>
      <c r="U97">
        <v>0.0</v>
      </c>
      <c r="V97">
        <v>0.0</v>
      </c>
      <c r="W97">
        <v>0.0</v>
      </c>
      <c r="X97" t="s">
        <v>2433</v>
      </c>
      <c r="Y97">
        <v>2.0</v>
      </c>
      <c r="Z97">
        <v>100.0</v>
      </c>
      <c r="AA97" t="s">
        <v>2435</v>
      </c>
      <c r="AB97">
        <v>3.0</v>
      </c>
      <c r="AC97">
        <v>0.0</v>
      </c>
      <c r="AD97">
        <v>3.0</v>
      </c>
      <c r="AE97" t="s">
        <v>2436</v>
      </c>
      <c r="AG97" t="s">
        <v>2437</v>
      </c>
      <c r="AH97" t="s">
        <v>3425</v>
      </c>
    </row>
    <row r="98" ht="15.75" customHeight="1">
      <c r="A98" t="s">
        <v>2645</v>
      </c>
      <c r="B98" t="s">
        <v>2646</v>
      </c>
      <c r="C98" t="s">
        <v>578</v>
      </c>
      <c r="D98" t="s">
        <v>2109</v>
      </c>
      <c r="E98" t="s">
        <v>2024</v>
      </c>
      <c r="F98" t="s">
        <v>2400</v>
      </c>
      <c r="G98" t="s">
        <v>2384</v>
      </c>
      <c r="H98" t="s">
        <v>2175</v>
      </c>
      <c r="I98" t="s">
        <v>98</v>
      </c>
      <c r="J98">
        <v>6.0</v>
      </c>
      <c r="K98">
        <v>10.0</v>
      </c>
      <c r="L98">
        <v>0.0</v>
      </c>
      <c r="M98">
        <v>0.0</v>
      </c>
      <c r="N98">
        <v>1.0</v>
      </c>
      <c r="O98">
        <v>0.0</v>
      </c>
      <c r="P98">
        <v>0.0</v>
      </c>
      <c r="Q98">
        <v>0.0</v>
      </c>
      <c r="R98">
        <v>3.0</v>
      </c>
      <c r="S98">
        <v>1.0</v>
      </c>
      <c r="T98">
        <v>0.0</v>
      </c>
      <c r="U98">
        <v>0.0</v>
      </c>
      <c r="V98">
        <v>0.0</v>
      </c>
      <c r="W98">
        <v>1.0</v>
      </c>
      <c r="X98" t="s">
        <v>2433</v>
      </c>
      <c r="Y98">
        <v>2.0</v>
      </c>
      <c r="Z98">
        <v>100.0</v>
      </c>
      <c r="AA98" t="s">
        <v>2435</v>
      </c>
      <c r="AB98">
        <v>3.0</v>
      </c>
      <c r="AC98">
        <v>0.0</v>
      </c>
      <c r="AD98">
        <v>3.0</v>
      </c>
      <c r="AE98" t="s">
        <v>2436</v>
      </c>
      <c r="AG98" t="s">
        <v>2437</v>
      </c>
      <c r="AH98" t="s">
        <v>3425</v>
      </c>
    </row>
    <row r="99" ht="15.75" customHeight="1">
      <c r="A99" t="s">
        <v>2647</v>
      </c>
      <c r="B99" t="s">
        <v>2648</v>
      </c>
      <c r="C99" t="s">
        <v>581</v>
      </c>
      <c r="D99" t="s">
        <v>2109</v>
      </c>
      <c r="E99" t="s">
        <v>2024</v>
      </c>
      <c r="F99" t="s">
        <v>2400</v>
      </c>
      <c r="G99" t="s">
        <v>2384</v>
      </c>
      <c r="H99" t="s">
        <v>2175</v>
      </c>
      <c r="I99" t="s">
        <v>98</v>
      </c>
      <c r="J99">
        <v>7.0</v>
      </c>
      <c r="K99">
        <v>12.0</v>
      </c>
      <c r="L99">
        <v>0.0</v>
      </c>
      <c r="M99">
        <v>0.0</v>
      </c>
      <c r="N99">
        <v>1.0</v>
      </c>
      <c r="O99">
        <v>0.0</v>
      </c>
      <c r="P99">
        <v>0.0</v>
      </c>
      <c r="Q99">
        <v>0.0</v>
      </c>
      <c r="R99">
        <v>4.0</v>
      </c>
      <c r="S99">
        <v>2.0</v>
      </c>
      <c r="T99">
        <v>0.0</v>
      </c>
      <c r="U99">
        <v>0.0</v>
      </c>
      <c r="V99">
        <v>0.0</v>
      </c>
      <c r="W99">
        <v>2.0</v>
      </c>
      <c r="X99" t="s">
        <v>2433</v>
      </c>
      <c r="Y99">
        <v>2.0</v>
      </c>
      <c r="Z99">
        <v>100.0</v>
      </c>
      <c r="AA99" t="s">
        <v>2435</v>
      </c>
      <c r="AB99">
        <v>3.0</v>
      </c>
      <c r="AC99">
        <v>0.0</v>
      </c>
      <c r="AD99">
        <v>3.0</v>
      </c>
      <c r="AE99" t="s">
        <v>2436</v>
      </c>
      <c r="AG99" t="s">
        <v>2437</v>
      </c>
      <c r="AH99" t="s">
        <v>3425</v>
      </c>
    </row>
    <row r="100" ht="15.75" customHeight="1">
      <c r="A100" t="s">
        <v>2649</v>
      </c>
      <c r="B100" t="s">
        <v>2650</v>
      </c>
      <c r="C100" t="s">
        <v>584</v>
      </c>
      <c r="D100" t="s">
        <v>2109</v>
      </c>
      <c r="E100" t="s">
        <v>2024</v>
      </c>
      <c r="F100" t="s">
        <v>2400</v>
      </c>
      <c r="G100" t="s">
        <v>2384</v>
      </c>
      <c r="H100" t="s">
        <v>2175</v>
      </c>
      <c r="I100" t="s">
        <v>98</v>
      </c>
      <c r="J100">
        <v>8.0</v>
      </c>
      <c r="K100">
        <v>14.0</v>
      </c>
      <c r="L100">
        <v>0.0</v>
      </c>
      <c r="M100">
        <v>0.0</v>
      </c>
      <c r="N100">
        <v>2.0</v>
      </c>
      <c r="O100">
        <v>0.0</v>
      </c>
      <c r="P100">
        <v>0.0</v>
      </c>
      <c r="Q100">
        <v>0.0</v>
      </c>
      <c r="R100">
        <v>5.0</v>
      </c>
      <c r="S100">
        <v>2.0</v>
      </c>
      <c r="T100">
        <v>0.0</v>
      </c>
      <c r="U100">
        <v>0.0</v>
      </c>
      <c r="V100">
        <v>0.0</v>
      </c>
      <c r="W100">
        <v>3.0</v>
      </c>
      <c r="X100" t="s">
        <v>2433</v>
      </c>
      <c r="Y100">
        <v>2.0</v>
      </c>
      <c r="Z100">
        <v>100.0</v>
      </c>
      <c r="AA100" t="s">
        <v>2435</v>
      </c>
      <c r="AB100">
        <v>3.0</v>
      </c>
      <c r="AC100">
        <v>0.0</v>
      </c>
      <c r="AD100">
        <v>3.0</v>
      </c>
      <c r="AE100" t="s">
        <v>2436</v>
      </c>
      <c r="AG100" t="s">
        <v>2437</v>
      </c>
      <c r="AH100" t="s">
        <v>3425</v>
      </c>
    </row>
    <row r="101" ht="15.75" customHeight="1">
      <c r="A101" t="s">
        <v>2651</v>
      </c>
      <c r="B101" t="s">
        <v>2025</v>
      </c>
      <c r="C101" t="s">
        <v>569</v>
      </c>
      <c r="D101" t="s">
        <v>2109</v>
      </c>
      <c r="E101" t="s">
        <v>2025</v>
      </c>
      <c r="F101" t="s">
        <v>2400</v>
      </c>
      <c r="G101" t="s">
        <v>2438</v>
      </c>
      <c r="H101" t="s">
        <v>2175</v>
      </c>
      <c r="I101" t="s">
        <v>98</v>
      </c>
      <c r="J101">
        <v>2.0</v>
      </c>
      <c r="K101">
        <v>4.0</v>
      </c>
      <c r="L101">
        <v>0.0</v>
      </c>
      <c r="M101">
        <v>0.0</v>
      </c>
      <c r="N101">
        <v>0.0</v>
      </c>
      <c r="O101">
        <v>0.0</v>
      </c>
      <c r="P101">
        <v>0.0</v>
      </c>
      <c r="Q101">
        <v>0.0</v>
      </c>
      <c r="R101">
        <v>1.0</v>
      </c>
      <c r="S101">
        <v>0.0</v>
      </c>
      <c r="T101">
        <v>0.0</v>
      </c>
      <c r="U101">
        <v>0.0</v>
      </c>
      <c r="V101">
        <v>0.0</v>
      </c>
      <c r="W101">
        <v>0.0</v>
      </c>
      <c r="X101" t="s">
        <v>2439</v>
      </c>
      <c r="Y101">
        <v>2.0</v>
      </c>
      <c r="Z101">
        <v>70.0</v>
      </c>
      <c r="AA101" t="s">
        <v>2441</v>
      </c>
      <c r="AB101">
        <v>3.0</v>
      </c>
      <c r="AC101">
        <v>90.0</v>
      </c>
      <c r="AD101">
        <v>1.0</v>
      </c>
      <c r="AE101" t="s">
        <v>2442</v>
      </c>
      <c r="AG101" t="s">
        <v>2443</v>
      </c>
      <c r="AH101" t="s">
        <v>3425</v>
      </c>
    </row>
    <row r="102" ht="15.75" customHeight="1">
      <c r="A102" t="s">
        <v>2652</v>
      </c>
      <c r="B102" t="s">
        <v>2653</v>
      </c>
      <c r="C102" t="s">
        <v>572</v>
      </c>
      <c r="D102" t="s">
        <v>2109</v>
      </c>
      <c r="E102" t="s">
        <v>2025</v>
      </c>
      <c r="F102" t="s">
        <v>2400</v>
      </c>
      <c r="G102" t="s">
        <v>2438</v>
      </c>
      <c r="H102" t="s">
        <v>2175</v>
      </c>
      <c r="I102" t="s">
        <v>98</v>
      </c>
      <c r="J102">
        <v>3.0</v>
      </c>
      <c r="K102">
        <v>5.0</v>
      </c>
      <c r="L102">
        <v>0.0</v>
      </c>
      <c r="M102">
        <v>0.0</v>
      </c>
      <c r="N102">
        <v>0.0</v>
      </c>
      <c r="O102">
        <v>0.0</v>
      </c>
      <c r="P102">
        <v>1.0</v>
      </c>
      <c r="Q102">
        <v>0.0</v>
      </c>
      <c r="R102">
        <v>1.0</v>
      </c>
      <c r="S102">
        <v>0.0</v>
      </c>
      <c r="T102">
        <v>0.0</v>
      </c>
      <c r="U102">
        <v>0.0</v>
      </c>
      <c r="V102">
        <v>0.0</v>
      </c>
      <c r="W102">
        <v>0.0</v>
      </c>
      <c r="X102" t="s">
        <v>2439</v>
      </c>
      <c r="Y102">
        <v>2.0</v>
      </c>
      <c r="Z102">
        <v>70.0</v>
      </c>
      <c r="AA102" t="s">
        <v>2441</v>
      </c>
      <c r="AB102">
        <v>3.0</v>
      </c>
      <c r="AC102">
        <v>90.0</v>
      </c>
      <c r="AD102">
        <v>1.0</v>
      </c>
      <c r="AE102" t="s">
        <v>2442</v>
      </c>
      <c r="AG102" t="s">
        <v>2443</v>
      </c>
      <c r="AH102" t="s">
        <v>3425</v>
      </c>
    </row>
    <row r="103" ht="15.75" customHeight="1">
      <c r="A103" t="s">
        <v>2654</v>
      </c>
      <c r="B103" t="s">
        <v>2655</v>
      </c>
      <c r="C103" t="s">
        <v>575</v>
      </c>
      <c r="D103" t="s">
        <v>2109</v>
      </c>
      <c r="E103" t="s">
        <v>2025</v>
      </c>
      <c r="F103" t="s">
        <v>2400</v>
      </c>
      <c r="G103" t="s">
        <v>2438</v>
      </c>
      <c r="H103" t="s">
        <v>2175</v>
      </c>
      <c r="I103" t="s">
        <v>98</v>
      </c>
      <c r="J103">
        <v>3.0</v>
      </c>
      <c r="K103">
        <v>6.0</v>
      </c>
      <c r="L103">
        <v>0.0</v>
      </c>
      <c r="M103">
        <v>0.0</v>
      </c>
      <c r="N103">
        <v>0.0</v>
      </c>
      <c r="O103">
        <v>0.0</v>
      </c>
      <c r="P103">
        <v>1.0</v>
      </c>
      <c r="Q103">
        <v>0.0</v>
      </c>
      <c r="R103">
        <v>2.0</v>
      </c>
      <c r="S103">
        <v>0.0</v>
      </c>
      <c r="T103">
        <v>0.0</v>
      </c>
      <c r="U103">
        <v>0.0</v>
      </c>
      <c r="V103">
        <v>0.0</v>
      </c>
      <c r="W103">
        <v>0.0</v>
      </c>
      <c r="X103" t="s">
        <v>2439</v>
      </c>
      <c r="Y103">
        <v>2.0</v>
      </c>
      <c r="Z103">
        <v>70.0</v>
      </c>
      <c r="AA103" t="s">
        <v>2441</v>
      </c>
      <c r="AB103">
        <v>3.0</v>
      </c>
      <c r="AC103">
        <v>90.0</v>
      </c>
      <c r="AD103">
        <v>1.0</v>
      </c>
      <c r="AE103" t="s">
        <v>2442</v>
      </c>
      <c r="AG103" t="s">
        <v>2443</v>
      </c>
      <c r="AH103" t="s">
        <v>3425</v>
      </c>
    </row>
    <row r="104" ht="15.75" customHeight="1">
      <c r="A104" t="s">
        <v>2656</v>
      </c>
      <c r="B104" t="s">
        <v>2657</v>
      </c>
      <c r="C104" t="s">
        <v>578</v>
      </c>
      <c r="D104" t="s">
        <v>2109</v>
      </c>
      <c r="E104" t="s">
        <v>2025</v>
      </c>
      <c r="F104" t="s">
        <v>2400</v>
      </c>
      <c r="G104" t="s">
        <v>2438</v>
      </c>
      <c r="H104" t="s">
        <v>2175</v>
      </c>
      <c r="I104" t="s">
        <v>98</v>
      </c>
      <c r="J104">
        <v>4.0</v>
      </c>
      <c r="K104">
        <v>8.0</v>
      </c>
      <c r="L104">
        <v>0.0</v>
      </c>
      <c r="M104">
        <v>0.0</v>
      </c>
      <c r="N104">
        <v>0.0</v>
      </c>
      <c r="O104">
        <v>0.0</v>
      </c>
      <c r="P104">
        <v>1.0</v>
      </c>
      <c r="Q104">
        <v>0.0</v>
      </c>
      <c r="R104">
        <v>3.0</v>
      </c>
      <c r="S104">
        <v>1.0</v>
      </c>
      <c r="T104">
        <v>0.0</v>
      </c>
      <c r="U104">
        <v>0.0</v>
      </c>
      <c r="V104">
        <v>0.0</v>
      </c>
      <c r="W104">
        <v>1.0</v>
      </c>
      <c r="X104" t="s">
        <v>2439</v>
      </c>
      <c r="Y104">
        <v>2.0</v>
      </c>
      <c r="Z104">
        <v>70.0</v>
      </c>
      <c r="AA104" t="s">
        <v>2441</v>
      </c>
      <c r="AB104">
        <v>3.0</v>
      </c>
      <c r="AC104">
        <v>90.0</v>
      </c>
      <c r="AD104">
        <v>1.0</v>
      </c>
      <c r="AE104" t="s">
        <v>2442</v>
      </c>
      <c r="AG104" t="s">
        <v>2443</v>
      </c>
      <c r="AH104" t="s">
        <v>3425</v>
      </c>
    </row>
    <row r="105" ht="15.75" customHeight="1">
      <c r="A105" t="s">
        <v>2658</v>
      </c>
      <c r="B105" t="s">
        <v>2659</v>
      </c>
      <c r="C105" t="s">
        <v>581</v>
      </c>
      <c r="D105" t="s">
        <v>2109</v>
      </c>
      <c r="E105" t="s">
        <v>2025</v>
      </c>
      <c r="F105" t="s">
        <v>2400</v>
      </c>
      <c r="G105" t="s">
        <v>2438</v>
      </c>
      <c r="H105" t="s">
        <v>2175</v>
      </c>
      <c r="I105" t="s">
        <v>98</v>
      </c>
      <c r="J105">
        <v>5.0</v>
      </c>
      <c r="K105">
        <v>9.0</v>
      </c>
      <c r="L105">
        <v>0.0</v>
      </c>
      <c r="M105">
        <v>0.0</v>
      </c>
      <c r="N105">
        <v>0.0</v>
      </c>
      <c r="O105">
        <v>0.0</v>
      </c>
      <c r="P105">
        <v>2.0</v>
      </c>
      <c r="Q105">
        <v>0.0</v>
      </c>
      <c r="R105">
        <v>4.0</v>
      </c>
      <c r="S105">
        <v>1.0</v>
      </c>
      <c r="T105">
        <v>0.0</v>
      </c>
      <c r="U105">
        <v>0.0</v>
      </c>
      <c r="V105">
        <v>0.0</v>
      </c>
      <c r="W105">
        <v>2.0</v>
      </c>
      <c r="X105" t="s">
        <v>2439</v>
      </c>
      <c r="Y105">
        <v>2.0</v>
      </c>
      <c r="Z105">
        <v>70.0</v>
      </c>
      <c r="AA105" t="s">
        <v>2441</v>
      </c>
      <c r="AB105">
        <v>3.0</v>
      </c>
      <c r="AC105">
        <v>90.0</v>
      </c>
      <c r="AD105">
        <v>1.0</v>
      </c>
      <c r="AE105" t="s">
        <v>2442</v>
      </c>
      <c r="AG105" t="s">
        <v>2443</v>
      </c>
      <c r="AH105" t="s">
        <v>3425</v>
      </c>
    </row>
    <row r="106" ht="15.75" customHeight="1">
      <c r="A106" t="s">
        <v>2660</v>
      </c>
      <c r="B106" t="s">
        <v>2661</v>
      </c>
      <c r="C106" t="s">
        <v>584</v>
      </c>
      <c r="D106" t="s">
        <v>2109</v>
      </c>
      <c r="E106" t="s">
        <v>2025</v>
      </c>
      <c r="F106" t="s">
        <v>2400</v>
      </c>
      <c r="G106" t="s">
        <v>2438</v>
      </c>
      <c r="H106" t="s">
        <v>2175</v>
      </c>
      <c r="I106" t="s">
        <v>98</v>
      </c>
      <c r="J106">
        <v>6.0</v>
      </c>
      <c r="K106">
        <v>11.0</v>
      </c>
      <c r="L106">
        <v>0.0</v>
      </c>
      <c r="M106">
        <v>0.0</v>
      </c>
      <c r="N106">
        <v>0.0</v>
      </c>
      <c r="O106">
        <v>0.0</v>
      </c>
      <c r="P106">
        <v>2.0</v>
      </c>
      <c r="Q106">
        <v>0.0</v>
      </c>
      <c r="R106">
        <v>5.0</v>
      </c>
      <c r="S106">
        <v>2.0</v>
      </c>
      <c r="T106">
        <v>0.0</v>
      </c>
      <c r="U106">
        <v>0.0</v>
      </c>
      <c r="V106">
        <v>0.0</v>
      </c>
      <c r="W106">
        <v>3.0</v>
      </c>
      <c r="X106" t="s">
        <v>2439</v>
      </c>
      <c r="Y106">
        <v>2.0</v>
      </c>
      <c r="Z106">
        <v>70.0</v>
      </c>
      <c r="AA106" t="s">
        <v>2441</v>
      </c>
      <c r="AB106">
        <v>3.0</v>
      </c>
      <c r="AC106">
        <v>90.0</v>
      </c>
      <c r="AD106">
        <v>1.0</v>
      </c>
      <c r="AE106" t="s">
        <v>2442</v>
      </c>
      <c r="AG106" t="s">
        <v>2443</v>
      </c>
      <c r="AH106" t="s">
        <v>3425</v>
      </c>
    </row>
    <row r="107" ht="15.75" customHeight="1">
      <c r="A107" t="s">
        <v>2662</v>
      </c>
      <c r="B107" t="s">
        <v>2026</v>
      </c>
      <c r="C107" t="s">
        <v>569</v>
      </c>
      <c r="D107" t="s">
        <v>2109</v>
      </c>
      <c r="E107" t="s">
        <v>2026</v>
      </c>
      <c r="F107" t="s">
        <v>2400</v>
      </c>
      <c r="G107" t="s">
        <v>2444</v>
      </c>
      <c r="H107" t="s">
        <v>2175</v>
      </c>
      <c r="I107" t="s">
        <v>98</v>
      </c>
      <c r="J107">
        <v>2.0</v>
      </c>
      <c r="K107">
        <v>4.0</v>
      </c>
      <c r="L107">
        <v>0.0</v>
      </c>
      <c r="M107">
        <v>0.0</v>
      </c>
      <c r="N107">
        <v>0.0</v>
      </c>
      <c r="O107">
        <v>0.0</v>
      </c>
      <c r="P107">
        <v>0.0</v>
      </c>
      <c r="Q107">
        <v>0.0</v>
      </c>
      <c r="R107">
        <v>1.0</v>
      </c>
      <c r="S107">
        <v>0.0</v>
      </c>
      <c r="T107">
        <v>0.0</v>
      </c>
      <c r="U107">
        <v>0.0</v>
      </c>
      <c r="V107">
        <v>0.0</v>
      </c>
      <c r="W107">
        <v>0.0</v>
      </c>
      <c r="X107" t="s">
        <v>2445</v>
      </c>
      <c r="Y107">
        <v>2.0</v>
      </c>
      <c r="Z107">
        <v>85.0</v>
      </c>
      <c r="AA107" t="s">
        <v>2447</v>
      </c>
      <c r="AB107">
        <v>3.0</v>
      </c>
      <c r="AC107">
        <v>100.0</v>
      </c>
      <c r="AD107">
        <v>1.0</v>
      </c>
      <c r="AE107" t="s">
        <v>2448</v>
      </c>
      <c r="AG107" t="s">
        <v>2449</v>
      </c>
      <c r="AH107" t="s">
        <v>3425</v>
      </c>
    </row>
    <row r="108" ht="15.75" customHeight="1">
      <c r="A108" t="s">
        <v>2663</v>
      </c>
      <c r="B108" t="s">
        <v>2664</v>
      </c>
      <c r="C108" t="s">
        <v>572</v>
      </c>
      <c r="D108" t="s">
        <v>2109</v>
      </c>
      <c r="E108" t="s">
        <v>2026</v>
      </c>
      <c r="F108" t="s">
        <v>2400</v>
      </c>
      <c r="G108" t="s">
        <v>2444</v>
      </c>
      <c r="H108" t="s">
        <v>2175</v>
      </c>
      <c r="I108" t="s">
        <v>98</v>
      </c>
      <c r="J108">
        <v>3.0</v>
      </c>
      <c r="K108">
        <v>5.0</v>
      </c>
      <c r="L108">
        <v>0.0</v>
      </c>
      <c r="M108">
        <v>0.0</v>
      </c>
      <c r="N108">
        <v>0.0</v>
      </c>
      <c r="O108">
        <v>0.0</v>
      </c>
      <c r="P108">
        <v>0.0</v>
      </c>
      <c r="Q108">
        <v>0.0</v>
      </c>
      <c r="R108">
        <v>1.0</v>
      </c>
      <c r="S108">
        <v>1.0</v>
      </c>
      <c r="T108">
        <v>0.0</v>
      </c>
      <c r="U108">
        <v>0.0</v>
      </c>
      <c r="V108">
        <v>0.0</v>
      </c>
      <c r="W108">
        <v>0.0</v>
      </c>
      <c r="X108" t="s">
        <v>2445</v>
      </c>
      <c r="Y108">
        <v>2.0</v>
      </c>
      <c r="Z108">
        <v>85.0</v>
      </c>
      <c r="AA108" t="s">
        <v>2447</v>
      </c>
      <c r="AB108">
        <v>3.0</v>
      </c>
      <c r="AC108">
        <v>100.0</v>
      </c>
      <c r="AD108">
        <v>1.0</v>
      </c>
      <c r="AE108" t="s">
        <v>2448</v>
      </c>
      <c r="AG108" t="s">
        <v>2449</v>
      </c>
      <c r="AH108" t="s">
        <v>3425</v>
      </c>
    </row>
    <row r="109" ht="15.75" customHeight="1">
      <c r="A109" t="s">
        <v>2665</v>
      </c>
      <c r="B109" t="s">
        <v>2666</v>
      </c>
      <c r="C109" t="s">
        <v>575</v>
      </c>
      <c r="D109" t="s">
        <v>2109</v>
      </c>
      <c r="E109" t="s">
        <v>2026</v>
      </c>
      <c r="F109" t="s">
        <v>2400</v>
      </c>
      <c r="G109" t="s">
        <v>2444</v>
      </c>
      <c r="H109" t="s">
        <v>2175</v>
      </c>
      <c r="I109" t="s">
        <v>98</v>
      </c>
      <c r="J109">
        <v>3.0</v>
      </c>
      <c r="K109">
        <v>6.0</v>
      </c>
      <c r="L109">
        <v>0.0</v>
      </c>
      <c r="M109">
        <v>0.0</v>
      </c>
      <c r="N109">
        <v>0.0</v>
      </c>
      <c r="O109">
        <v>0.0</v>
      </c>
      <c r="P109">
        <v>0.0</v>
      </c>
      <c r="Q109">
        <v>0.0</v>
      </c>
      <c r="R109">
        <v>2.0</v>
      </c>
      <c r="S109">
        <v>1.0</v>
      </c>
      <c r="T109">
        <v>0.0</v>
      </c>
      <c r="U109">
        <v>0.0</v>
      </c>
      <c r="V109">
        <v>0.0</v>
      </c>
      <c r="W109">
        <v>0.0</v>
      </c>
      <c r="X109" t="s">
        <v>2445</v>
      </c>
      <c r="Y109">
        <v>2.0</v>
      </c>
      <c r="Z109">
        <v>85.0</v>
      </c>
      <c r="AA109" t="s">
        <v>2447</v>
      </c>
      <c r="AB109">
        <v>3.0</v>
      </c>
      <c r="AC109">
        <v>100.0</v>
      </c>
      <c r="AD109">
        <v>1.0</v>
      </c>
      <c r="AE109" t="s">
        <v>2448</v>
      </c>
      <c r="AG109" t="s">
        <v>2449</v>
      </c>
      <c r="AH109" t="s">
        <v>3425</v>
      </c>
    </row>
    <row r="110" ht="15.75" customHeight="1">
      <c r="A110" t="s">
        <v>2667</v>
      </c>
      <c r="B110" t="s">
        <v>2668</v>
      </c>
      <c r="C110" t="s">
        <v>578</v>
      </c>
      <c r="D110" t="s">
        <v>2109</v>
      </c>
      <c r="E110" t="s">
        <v>2026</v>
      </c>
      <c r="F110" t="s">
        <v>2400</v>
      </c>
      <c r="G110" t="s">
        <v>2444</v>
      </c>
      <c r="H110" t="s">
        <v>2175</v>
      </c>
      <c r="I110" t="s">
        <v>98</v>
      </c>
      <c r="J110">
        <v>4.0</v>
      </c>
      <c r="K110">
        <v>8.0</v>
      </c>
      <c r="L110">
        <v>0.0</v>
      </c>
      <c r="M110">
        <v>0.0</v>
      </c>
      <c r="N110">
        <v>0.0</v>
      </c>
      <c r="O110">
        <v>0.0</v>
      </c>
      <c r="P110">
        <v>0.0</v>
      </c>
      <c r="Q110">
        <v>0.0</v>
      </c>
      <c r="R110">
        <v>3.0</v>
      </c>
      <c r="S110">
        <v>1.0</v>
      </c>
      <c r="T110">
        <v>1.0</v>
      </c>
      <c r="U110">
        <v>0.0</v>
      </c>
      <c r="V110">
        <v>0.0</v>
      </c>
      <c r="W110">
        <v>1.0</v>
      </c>
      <c r="X110" t="s">
        <v>2445</v>
      </c>
      <c r="Y110">
        <v>2.0</v>
      </c>
      <c r="Z110">
        <v>85.0</v>
      </c>
      <c r="AA110" t="s">
        <v>2447</v>
      </c>
      <c r="AB110">
        <v>3.0</v>
      </c>
      <c r="AC110">
        <v>100.0</v>
      </c>
      <c r="AD110">
        <v>1.0</v>
      </c>
      <c r="AE110" t="s">
        <v>2448</v>
      </c>
      <c r="AG110" t="s">
        <v>2449</v>
      </c>
      <c r="AH110" t="s">
        <v>3425</v>
      </c>
    </row>
    <row r="111" ht="15.75" customHeight="1">
      <c r="A111" t="s">
        <v>2669</v>
      </c>
      <c r="B111" t="s">
        <v>2670</v>
      </c>
      <c r="C111" t="s">
        <v>581</v>
      </c>
      <c r="D111" t="s">
        <v>2109</v>
      </c>
      <c r="E111" t="s">
        <v>2026</v>
      </c>
      <c r="F111" t="s">
        <v>2400</v>
      </c>
      <c r="G111" t="s">
        <v>2444</v>
      </c>
      <c r="H111" t="s">
        <v>2175</v>
      </c>
      <c r="I111" t="s">
        <v>98</v>
      </c>
      <c r="J111">
        <v>5.0</v>
      </c>
      <c r="K111">
        <v>9.0</v>
      </c>
      <c r="L111">
        <v>0.0</v>
      </c>
      <c r="M111">
        <v>0.0</v>
      </c>
      <c r="N111">
        <v>0.0</v>
      </c>
      <c r="O111">
        <v>0.0</v>
      </c>
      <c r="P111">
        <v>0.0</v>
      </c>
      <c r="Q111">
        <v>0.0</v>
      </c>
      <c r="R111">
        <v>4.0</v>
      </c>
      <c r="S111">
        <v>2.0</v>
      </c>
      <c r="T111">
        <v>1.0</v>
      </c>
      <c r="U111">
        <v>0.0</v>
      </c>
      <c r="V111">
        <v>0.0</v>
      </c>
      <c r="W111">
        <v>2.0</v>
      </c>
      <c r="X111" t="s">
        <v>2445</v>
      </c>
      <c r="Y111">
        <v>2.0</v>
      </c>
      <c r="Z111">
        <v>85.0</v>
      </c>
      <c r="AA111" t="s">
        <v>2447</v>
      </c>
      <c r="AB111">
        <v>3.0</v>
      </c>
      <c r="AC111">
        <v>100.0</v>
      </c>
      <c r="AD111">
        <v>1.0</v>
      </c>
      <c r="AE111" t="s">
        <v>2448</v>
      </c>
      <c r="AG111" t="s">
        <v>2449</v>
      </c>
      <c r="AH111" t="s">
        <v>3425</v>
      </c>
    </row>
    <row r="112" ht="15.75" customHeight="1">
      <c r="A112" t="s">
        <v>2671</v>
      </c>
      <c r="B112" t="s">
        <v>2672</v>
      </c>
      <c r="C112" t="s">
        <v>584</v>
      </c>
      <c r="D112" t="s">
        <v>2109</v>
      </c>
      <c r="E112" t="s">
        <v>2026</v>
      </c>
      <c r="F112" t="s">
        <v>2400</v>
      </c>
      <c r="G112" t="s">
        <v>2444</v>
      </c>
      <c r="H112" t="s">
        <v>2175</v>
      </c>
      <c r="I112" t="s">
        <v>98</v>
      </c>
      <c r="J112">
        <v>6.0</v>
      </c>
      <c r="K112">
        <v>11.0</v>
      </c>
      <c r="L112">
        <v>0.0</v>
      </c>
      <c r="M112">
        <v>0.0</v>
      </c>
      <c r="N112">
        <v>0.0</v>
      </c>
      <c r="O112">
        <v>0.0</v>
      </c>
      <c r="P112">
        <v>0.0</v>
      </c>
      <c r="Q112">
        <v>0.0</v>
      </c>
      <c r="R112">
        <v>5.0</v>
      </c>
      <c r="S112">
        <v>2.0</v>
      </c>
      <c r="T112">
        <v>2.0</v>
      </c>
      <c r="U112">
        <v>0.0</v>
      </c>
      <c r="V112">
        <v>0.0</v>
      </c>
      <c r="W112">
        <v>3.0</v>
      </c>
      <c r="X112" t="s">
        <v>2445</v>
      </c>
      <c r="Y112">
        <v>2.0</v>
      </c>
      <c r="Z112">
        <v>85.0</v>
      </c>
      <c r="AA112" t="s">
        <v>2447</v>
      </c>
      <c r="AB112">
        <v>3.0</v>
      </c>
      <c r="AC112">
        <v>100.0</v>
      </c>
      <c r="AD112">
        <v>1.0</v>
      </c>
      <c r="AE112" t="s">
        <v>2448</v>
      </c>
      <c r="AG112" t="s">
        <v>2449</v>
      </c>
      <c r="AH112" t="s">
        <v>3425</v>
      </c>
    </row>
    <row r="113" ht="15.75" customHeight="1">
      <c r="A113" t="s">
        <v>2695</v>
      </c>
      <c r="B113" t="s">
        <v>2696</v>
      </c>
      <c r="C113" t="s">
        <v>569</v>
      </c>
      <c r="D113" t="s">
        <v>2113</v>
      </c>
      <c r="E113" t="s">
        <v>2697</v>
      </c>
      <c r="F113" t="s">
        <v>2698</v>
      </c>
      <c r="G113" t="s">
        <v>2699</v>
      </c>
      <c r="J113">
        <v>0.0</v>
      </c>
      <c r="K113">
        <v>0.0</v>
      </c>
      <c r="L113">
        <v>4.0</v>
      </c>
      <c r="M113">
        <v>0.0</v>
      </c>
      <c r="N113">
        <v>0.0</v>
      </c>
      <c r="O113">
        <v>0.0</v>
      </c>
      <c r="P113">
        <v>0.0</v>
      </c>
      <c r="Q113">
        <v>1.0</v>
      </c>
      <c r="R113">
        <v>0.0</v>
      </c>
      <c r="S113">
        <v>0.0</v>
      </c>
      <c r="T113">
        <v>-2.0</v>
      </c>
      <c r="U113">
        <v>0.0</v>
      </c>
      <c r="V113">
        <v>0.0</v>
      </c>
      <c r="W113">
        <v>0.0</v>
      </c>
      <c r="X113" t="s">
        <v>2705</v>
      </c>
      <c r="Y113">
        <v>2.0</v>
      </c>
      <c r="Z113">
        <v>0.0</v>
      </c>
      <c r="AA113" t="s">
        <v>2706</v>
      </c>
      <c r="AB113">
        <v>3.0</v>
      </c>
      <c r="AC113">
        <v>0.0</v>
      </c>
      <c r="AD113">
        <v>2.0</v>
      </c>
      <c r="AE113" t="s">
        <v>3427</v>
      </c>
      <c r="AF113" t="s">
        <v>3428</v>
      </c>
      <c r="AG113" t="s">
        <v>2702</v>
      </c>
      <c r="AH113" t="s">
        <v>3429</v>
      </c>
    </row>
    <row r="114" ht="15.75" customHeight="1">
      <c r="A114" t="s">
        <v>2708</v>
      </c>
      <c r="B114" t="s">
        <v>2709</v>
      </c>
      <c r="C114" t="s">
        <v>572</v>
      </c>
      <c r="D114" t="s">
        <v>2113</v>
      </c>
      <c r="E114" t="s">
        <v>2697</v>
      </c>
      <c r="F114" t="s">
        <v>2698</v>
      </c>
      <c r="G114" t="s">
        <v>2699</v>
      </c>
      <c r="J114">
        <v>0.0</v>
      </c>
      <c r="K114">
        <v>0.0</v>
      </c>
      <c r="L114">
        <v>6.0</v>
      </c>
      <c r="M114">
        <v>1.0</v>
      </c>
      <c r="N114">
        <v>1.0</v>
      </c>
      <c r="O114">
        <v>0.0</v>
      </c>
      <c r="P114">
        <v>0.0</v>
      </c>
      <c r="Q114">
        <v>1.0</v>
      </c>
      <c r="R114">
        <v>0.0</v>
      </c>
      <c r="S114">
        <v>0.0</v>
      </c>
      <c r="T114">
        <v>-2.0</v>
      </c>
      <c r="U114">
        <v>0.0</v>
      </c>
      <c r="V114">
        <v>0.0</v>
      </c>
      <c r="W114">
        <v>0.0</v>
      </c>
      <c r="X114" t="s">
        <v>2705</v>
      </c>
      <c r="Y114">
        <v>2.0</v>
      </c>
      <c r="Z114">
        <v>0.0</v>
      </c>
      <c r="AA114" t="s">
        <v>2706</v>
      </c>
      <c r="AB114">
        <v>3.0</v>
      </c>
      <c r="AC114">
        <v>0.0</v>
      </c>
      <c r="AD114">
        <v>2.0</v>
      </c>
      <c r="AE114" t="s">
        <v>3430</v>
      </c>
      <c r="AF114" t="s">
        <v>3428</v>
      </c>
      <c r="AG114" t="s">
        <v>2702</v>
      </c>
      <c r="AH114" t="s">
        <v>3429</v>
      </c>
    </row>
    <row r="115" ht="15.75" customHeight="1">
      <c r="A115" t="s">
        <v>2710</v>
      </c>
      <c r="B115" t="s">
        <v>2711</v>
      </c>
      <c r="C115" t="s">
        <v>575</v>
      </c>
      <c r="D115" t="s">
        <v>2113</v>
      </c>
      <c r="E115" t="s">
        <v>2697</v>
      </c>
      <c r="F115" t="s">
        <v>2698</v>
      </c>
      <c r="G115" t="s">
        <v>2699</v>
      </c>
      <c r="J115">
        <v>0.0</v>
      </c>
      <c r="K115">
        <v>0.0</v>
      </c>
      <c r="L115">
        <v>9.0</v>
      </c>
      <c r="M115">
        <v>1.0</v>
      </c>
      <c r="N115">
        <v>1.0</v>
      </c>
      <c r="O115">
        <v>0.0</v>
      </c>
      <c r="P115">
        <v>0.0</v>
      </c>
      <c r="Q115">
        <v>2.0</v>
      </c>
      <c r="R115">
        <v>0.0</v>
      </c>
      <c r="S115">
        <v>0.0</v>
      </c>
      <c r="T115">
        <v>-2.0</v>
      </c>
      <c r="U115">
        <v>0.0</v>
      </c>
      <c r="V115">
        <v>0.0</v>
      </c>
      <c r="W115">
        <v>0.0</v>
      </c>
      <c r="X115" t="s">
        <v>2705</v>
      </c>
      <c r="Y115">
        <v>2.0</v>
      </c>
      <c r="Z115">
        <v>0.0</v>
      </c>
      <c r="AA115" t="s">
        <v>2706</v>
      </c>
      <c r="AB115">
        <v>3.0</v>
      </c>
      <c r="AC115">
        <v>0.0</v>
      </c>
      <c r="AD115">
        <v>2.0</v>
      </c>
      <c r="AE115" t="s">
        <v>3430</v>
      </c>
      <c r="AF115" t="s">
        <v>3431</v>
      </c>
      <c r="AG115" t="s">
        <v>2702</v>
      </c>
      <c r="AH115" t="s">
        <v>3429</v>
      </c>
    </row>
    <row r="116" ht="15.75" customHeight="1">
      <c r="A116" t="s">
        <v>2714</v>
      </c>
      <c r="B116" t="s">
        <v>2715</v>
      </c>
      <c r="C116" t="s">
        <v>578</v>
      </c>
      <c r="D116" t="s">
        <v>2113</v>
      </c>
      <c r="E116" t="s">
        <v>2697</v>
      </c>
      <c r="F116" t="s">
        <v>2698</v>
      </c>
      <c r="G116" t="s">
        <v>2699</v>
      </c>
      <c r="J116">
        <v>0.0</v>
      </c>
      <c r="K116">
        <v>0.0</v>
      </c>
      <c r="L116">
        <v>12.0</v>
      </c>
      <c r="M116">
        <v>1.0</v>
      </c>
      <c r="N116">
        <v>1.0</v>
      </c>
      <c r="O116">
        <v>1.0</v>
      </c>
      <c r="P116">
        <v>0.0</v>
      </c>
      <c r="Q116">
        <v>3.0</v>
      </c>
      <c r="R116">
        <v>0.0</v>
      </c>
      <c r="S116">
        <v>0.0</v>
      </c>
      <c r="T116">
        <v>-2.0</v>
      </c>
      <c r="U116">
        <v>0.0</v>
      </c>
      <c r="V116">
        <v>0.0</v>
      </c>
      <c r="W116">
        <v>0.0</v>
      </c>
      <c r="X116" t="s">
        <v>2705</v>
      </c>
      <c r="Y116">
        <v>2.0</v>
      </c>
      <c r="Z116">
        <v>0.0</v>
      </c>
      <c r="AA116" t="s">
        <v>2706</v>
      </c>
      <c r="AB116">
        <v>3.0</v>
      </c>
      <c r="AC116">
        <v>0.0</v>
      </c>
      <c r="AD116">
        <v>2.0</v>
      </c>
      <c r="AE116" t="s">
        <v>3432</v>
      </c>
      <c r="AF116" t="s">
        <v>3431</v>
      </c>
      <c r="AG116" t="s">
        <v>2702</v>
      </c>
      <c r="AH116" t="s">
        <v>3429</v>
      </c>
    </row>
    <row r="117" ht="15.75" customHeight="1">
      <c r="A117" t="s">
        <v>2717</v>
      </c>
      <c r="B117" t="s">
        <v>2718</v>
      </c>
      <c r="C117" t="s">
        <v>581</v>
      </c>
      <c r="D117" t="s">
        <v>2113</v>
      </c>
      <c r="E117" t="s">
        <v>2697</v>
      </c>
      <c r="F117" t="s">
        <v>2698</v>
      </c>
      <c r="G117" t="s">
        <v>2699</v>
      </c>
      <c r="J117">
        <v>0.0</v>
      </c>
      <c r="K117">
        <v>0.0</v>
      </c>
      <c r="L117">
        <v>16.0</v>
      </c>
      <c r="M117">
        <v>2.0</v>
      </c>
      <c r="N117">
        <v>2.0</v>
      </c>
      <c r="O117">
        <v>1.0</v>
      </c>
      <c r="P117">
        <v>0.0</v>
      </c>
      <c r="Q117">
        <v>4.0</v>
      </c>
      <c r="R117">
        <v>0.0</v>
      </c>
      <c r="S117">
        <v>0.0</v>
      </c>
      <c r="T117">
        <v>-2.0</v>
      </c>
      <c r="U117">
        <v>0.0</v>
      </c>
      <c r="V117">
        <v>0.0</v>
      </c>
      <c r="W117">
        <v>0.0</v>
      </c>
      <c r="X117" t="s">
        <v>2705</v>
      </c>
      <c r="Y117">
        <v>2.0</v>
      </c>
      <c r="Z117">
        <v>0.0</v>
      </c>
      <c r="AA117" t="s">
        <v>2706</v>
      </c>
      <c r="AB117">
        <v>3.0</v>
      </c>
      <c r="AC117">
        <v>0.0</v>
      </c>
      <c r="AD117">
        <v>2.0</v>
      </c>
      <c r="AE117" t="s">
        <v>3432</v>
      </c>
      <c r="AF117" t="s">
        <v>3433</v>
      </c>
      <c r="AG117" t="s">
        <v>2702</v>
      </c>
      <c r="AH117" t="s">
        <v>3429</v>
      </c>
    </row>
    <row r="118" ht="15.75" customHeight="1">
      <c r="A118" t="s">
        <v>2721</v>
      </c>
      <c r="B118" t="s">
        <v>2722</v>
      </c>
      <c r="C118" t="s">
        <v>584</v>
      </c>
      <c r="D118" t="s">
        <v>2113</v>
      </c>
      <c r="E118" t="s">
        <v>2697</v>
      </c>
      <c r="F118" t="s">
        <v>2698</v>
      </c>
      <c r="G118" t="s">
        <v>2699</v>
      </c>
      <c r="J118">
        <v>0.0</v>
      </c>
      <c r="K118">
        <v>0.0</v>
      </c>
      <c r="L118">
        <v>21.0</v>
      </c>
      <c r="M118">
        <v>3.0</v>
      </c>
      <c r="N118">
        <v>2.0</v>
      </c>
      <c r="O118">
        <v>2.0</v>
      </c>
      <c r="P118">
        <v>0.0</v>
      </c>
      <c r="Q118">
        <v>5.0</v>
      </c>
      <c r="R118">
        <v>0.0</v>
      </c>
      <c r="S118">
        <v>0.0</v>
      </c>
      <c r="T118">
        <v>-2.0</v>
      </c>
      <c r="U118">
        <v>0.0</v>
      </c>
      <c r="V118">
        <v>0.0</v>
      </c>
      <c r="W118">
        <v>0.0</v>
      </c>
      <c r="X118" t="s">
        <v>2705</v>
      </c>
      <c r="Y118">
        <v>2.0</v>
      </c>
      <c r="Z118">
        <v>0.0</v>
      </c>
      <c r="AA118" t="s">
        <v>2706</v>
      </c>
      <c r="AB118">
        <v>3.0</v>
      </c>
      <c r="AC118">
        <v>0.0</v>
      </c>
      <c r="AD118">
        <v>2.0</v>
      </c>
      <c r="AE118" t="s">
        <v>3432</v>
      </c>
      <c r="AF118" t="s">
        <v>3434</v>
      </c>
      <c r="AG118" t="s">
        <v>2702</v>
      </c>
      <c r="AH118" t="s">
        <v>3429</v>
      </c>
    </row>
    <row r="119" ht="15.75" customHeight="1">
      <c r="A119" t="s">
        <v>2725</v>
      </c>
      <c r="B119" t="s">
        <v>2726</v>
      </c>
      <c r="C119" t="s">
        <v>569</v>
      </c>
      <c r="D119" t="s">
        <v>2113</v>
      </c>
      <c r="E119" t="s">
        <v>2727</v>
      </c>
      <c r="F119" t="s">
        <v>956</v>
      </c>
      <c r="G119" t="s">
        <v>2728</v>
      </c>
      <c r="J119">
        <v>0.0</v>
      </c>
      <c r="K119">
        <v>0.0</v>
      </c>
      <c r="L119">
        <v>0.0</v>
      </c>
      <c r="M119">
        <v>4.0</v>
      </c>
      <c r="N119">
        <v>0.0</v>
      </c>
      <c r="O119">
        <v>0.0</v>
      </c>
      <c r="P119">
        <v>0.0</v>
      </c>
      <c r="Q119">
        <v>0.0</v>
      </c>
      <c r="R119">
        <v>0.0</v>
      </c>
      <c r="S119">
        <v>1.0</v>
      </c>
      <c r="T119">
        <v>0.0</v>
      </c>
      <c r="U119">
        <v>0.0</v>
      </c>
      <c r="V119">
        <v>0.0</v>
      </c>
      <c r="W119">
        <v>0.0</v>
      </c>
      <c r="X119" t="s">
        <v>2732</v>
      </c>
      <c r="Y119">
        <v>2.0</v>
      </c>
      <c r="Z119">
        <v>0.0</v>
      </c>
      <c r="AA119" t="s">
        <v>2733</v>
      </c>
      <c r="AB119">
        <v>3.0</v>
      </c>
      <c r="AC119">
        <v>0.0</v>
      </c>
      <c r="AD119">
        <v>2.0</v>
      </c>
      <c r="AE119" t="s">
        <v>3435</v>
      </c>
      <c r="AF119" t="s">
        <v>3436</v>
      </c>
      <c r="AG119" t="s">
        <v>2702</v>
      </c>
      <c r="AH119" t="s">
        <v>3429</v>
      </c>
    </row>
    <row r="120" ht="15.75" customHeight="1">
      <c r="A120" t="s">
        <v>2734</v>
      </c>
      <c r="B120" t="s">
        <v>2735</v>
      </c>
      <c r="C120" t="s">
        <v>572</v>
      </c>
      <c r="D120" t="s">
        <v>2113</v>
      </c>
      <c r="E120" t="s">
        <v>2727</v>
      </c>
      <c r="F120" t="s">
        <v>956</v>
      </c>
      <c r="G120" t="s">
        <v>2728</v>
      </c>
      <c r="J120">
        <v>0.0</v>
      </c>
      <c r="K120">
        <v>0.0</v>
      </c>
      <c r="L120">
        <v>0.0</v>
      </c>
      <c r="M120">
        <v>6.0</v>
      </c>
      <c r="N120">
        <v>0.0</v>
      </c>
      <c r="O120">
        <v>0.0</v>
      </c>
      <c r="P120">
        <v>0.0</v>
      </c>
      <c r="Q120">
        <v>0.0</v>
      </c>
      <c r="R120">
        <v>1.0</v>
      </c>
      <c r="S120">
        <v>1.0</v>
      </c>
      <c r="T120">
        <v>0.0</v>
      </c>
      <c r="U120">
        <v>0.0</v>
      </c>
      <c r="V120">
        <v>0.0</v>
      </c>
      <c r="W120">
        <v>0.0</v>
      </c>
      <c r="X120" t="s">
        <v>2732</v>
      </c>
      <c r="Y120">
        <v>2.0</v>
      </c>
      <c r="Z120">
        <v>0.0</v>
      </c>
      <c r="AA120" t="s">
        <v>2733</v>
      </c>
      <c r="AB120">
        <v>3.0</v>
      </c>
      <c r="AC120">
        <v>0.0</v>
      </c>
      <c r="AD120">
        <v>2.0</v>
      </c>
      <c r="AE120" t="s">
        <v>3437</v>
      </c>
      <c r="AF120" t="s">
        <v>3436</v>
      </c>
      <c r="AG120" t="s">
        <v>2702</v>
      </c>
      <c r="AH120" t="s">
        <v>3429</v>
      </c>
    </row>
    <row r="121" ht="15.75" customHeight="1">
      <c r="A121" t="s">
        <v>2737</v>
      </c>
      <c r="B121" t="s">
        <v>2738</v>
      </c>
      <c r="C121" t="s">
        <v>575</v>
      </c>
      <c r="D121" t="s">
        <v>2113</v>
      </c>
      <c r="E121" t="s">
        <v>2727</v>
      </c>
      <c r="F121" t="s">
        <v>956</v>
      </c>
      <c r="G121" t="s">
        <v>2728</v>
      </c>
      <c r="J121">
        <v>0.0</v>
      </c>
      <c r="K121">
        <v>0.0</v>
      </c>
      <c r="L121">
        <v>1.0</v>
      </c>
      <c r="M121">
        <v>8.0</v>
      </c>
      <c r="N121">
        <v>0.0</v>
      </c>
      <c r="O121">
        <v>0.0</v>
      </c>
      <c r="P121">
        <v>0.0</v>
      </c>
      <c r="Q121">
        <v>0.0</v>
      </c>
      <c r="R121">
        <v>1.0</v>
      </c>
      <c r="S121">
        <v>2.0</v>
      </c>
      <c r="T121">
        <v>0.0</v>
      </c>
      <c r="U121">
        <v>0.0</v>
      </c>
      <c r="V121">
        <v>0.0</v>
      </c>
      <c r="W121">
        <v>0.0</v>
      </c>
      <c r="X121" t="s">
        <v>2732</v>
      </c>
      <c r="Y121">
        <v>2.0</v>
      </c>
      <c r="Z121">
        <v>0.0</v>
      </c>
      <c r="AA121" t="s">
        <v>2733</v>
      </c>
      <c r="AB121">
        <v>3.0</v>
      </c>
      <c r="AC121">
        <v>0.0</v>
      </c>
      <c r="AD121">
        <v>2.0</v>
      </c>
      <c r="AE121" t="s">
        <v>3437</v>
      </c>
      <c r="AF121" t="s">
        <v>3438</v>
      </c>
      <c r="AG121" t="s">
        <v>2702</v>
      </c>
      <c r="AH121" t="s">
        <v>3429</v>
      </c>
    </row>
    <row r="122" ht="15.75" customHeight="1">
      <c r="A122" t="s">
        <v>2741</v>
      </c>
      <c r="B122" t="s">
        <v>2742</v>
      </c>
      <c r="C122" t="s">
        <v>578</v>
      </c>
      <c r="D122" t="s">
        <v>2113</v>
      </c>
      <c r="E122" t="s">
        <v>2727</v>
      </c>
      <c r="F122" t="s">
        <v>956</v>
      </c>
      <c r="G122" t="s">
        <v>2728</v>
      </c>
      <c r="J122">
        <v>0.0</v>
      </c>
      <c r="K122">
        <v>0.0</v>
      </c>
      <c r="L122">
        <v>1.0</v>
      </c>
      <c r="M122">
        <v>11.0</v>
      </c>
      <c r="N122">
        <v>1.0</v>
      </c>
      <c r="O122">
        <v>0.0</v>
      </c>
      <c r="P122">
        <v>0.0</v>
      </c>
      <c r="Q122">
        <v>0.0</v>
      </c>
      <c r="R122">
        <v>1.0</v>
      </c>
      <c r="S122">
        <v>3.0</v>
      </c>
      <c r="T122">
        <v>0.0</v>
      </c>
      <c r="U122">
        <v>0.0</v>
      </c>
      <c r="V122">
        <v>0.0</v>
      </c>
      <c r="W122">
        <v>0.0</v>
      </c>
      <c r="X122" t="s">
        <v>2732</v>
      </c>
      <c r="Y122">
        <v>2.0</v>
      </c>
      <c r="Z122">
        <v>0.0</v>
      </c>
      <c r="AA122" t="s">
        <v>2733</v>
      </c>
      <c r="AB122">
        <v>3.0</v>
      </c>
      <c r="AC122">
        <v>0.0</v>
      </c>
      <c r="AD122">
        <v>2.0</v>
      </c>
      <c r="AE122" t="s">
        <v>3439</v>
      </c>
      <c r="AF122" t="s">
        <v>3438</v>
      </c>
      <c r="AG122" t="s">
        <v>2702</v>
      </c>
      <c r="AH122" t="s">
        <v>3429</v>
      </c>
    </row>
    <row r="123" ht="15.75" customHeight="1">
      <c r="A123" t="s">
        <v>2744</v>
      </c>
      <c r="B123" t="s">
        <v>2745</v>
      </c>
      <c r="C123" t="s">
        <v>581</v>
      </c>
      <c r="D123" t="s">
        <v>2113</v>
      </c>
      <c r="E123" t="s">
        <v>2727</v>
      </c>
      <c r="F123" t="s">
        <v>956</v>
      </c>
      <c r="G123" t="s">
        <v>2728</v>
      </c>
      <c r="J123">
        <v>0.0</v>
      </c>
      <c r="K123">
        <v>0.0</v>
      </c>
      <c r="L123">
        <v>2.0</v>
      </c>
      <c r="M123">
        <v>14.0</v>
      </c>
      <c r="N123">
        <v>1.0</v>
      </c>
      <c r="O123">
        <v>0.0</v>
      </c>
      <c r="P123">
        <v>0.0</v>
      </c>
      <c r="Q123">
        <v>0.0</v>
      </c>
      <c r="R123">
        <v>2.0</v>
      </c>
      <c r="S123">
        <v>4.0</v>
      </c>
      <c r="T123">
        <v>0.0</v>
      </c>
      <c r="U123">
        <v>0.0</v>
      </c>
      <c r="V123">
        <v>0.0</v>
      </c>
      <c r="W123">
        <v>0.0</v>
      </c>
      <c r="X123" t="s">
        <v>2732</v>
      </c>
      <c r="Y123">
        <v>2.0</v>
      </c>
      <c r="Z123">
        <v>0.0</v>
      </c>
      <c r="AA123" t="s">
        <v>2733</v>
      </c>
      <c r="AB123">
        <v>3.0</v>
      </c>
      <c r="AC123">
        <v>0.0</v>
      </c>
      <c r="AD123">
        <v>2.0</v>
      </c>
      <c r="AE123" t="s">
        <v>3439</v>
      </c>
      <c r="AF123" t="s">
        <v>3440</v>
      </c>
      <c r="AG123" t="s">
        <v>2702</v>
      </c>
      <c r="AH123" t="s">
        <v>3429</v>
      </c>
    </row>
    <row r="124" ht="15.75" customHeight="1">
      <c r="A124" t="s">
        <v>2748</v>
      </c>
      <c r="B124" t="s">
        <v>2749</v>
      </c>
      <c r="C124" t="s">
        <v>584</v>
      </c>
      <c r="D124" t="s">
        <v>2113</v>
      </c>
      <c r="E124" t="s">
        <v>2727</v>
      </c>
      <c r="F124" t="s">
        <v>956</v>
      </c>
      <c r="G124" t="s">
        <v>2728</v>
      </c>
      <c r="J124">
        <v>0.0</v>
      </c>
      <c r="K124">
        <v>0.0</v>
      </c>
      <c r="L124">
        <v>3.0</v>
      </c>
      <c r="M124">
        <v>19.0</v>
      </c>
      <c r="N124">
        <v>2.0</v>
      </c>
      <c r="O124">
        <v>0.0</v>
      </c>
      <c r="P124">
        <v>0.0</v>
      </c>
      <c r="Q124">
        <v>0.0</v>
      </c>
      <c r="R124">
        <v>2.0</v>
      </c>
      <c r="S124">
        <v>5.0</v>
      </c>
      <c r="T124">
        <v>0.0</v>
      </c>
      <c r="U124">
        <v>0.0</v>
      </c>
      <c r="V124">
        <v>0.0</v>
      </c>
      <c r="W124">
        <v>0.0</v>
      </c>
      <c r="X124" t="s">
        <v>2732</v>
      </c>
      <c r="Y124">
        <v>2.0</v>
      </c>
      <c r="Z124">
        <v>0.0</v>
      </c>
      <c r="AA124" t="s">
        <v>2733</v>
      </c>
      <c r="AB124">
        <v>3.0</v>
      </c>
      <c r="AC124">
        <v>0.0</v>
      </c>
      <c r="AD124">
        <v>2.0</v>
      </c>
      <c r="AE124" t="s">
        <v>3439</v>
      </c>
      <c r="AF124" t="s">
        <v>3441</v>
      </c>
      <c r="AG124" t="s">
        <v>2702</v>
      </c>
      <c r="AH124" t="s">
        <v>3429</v>
      </c>
    </row>
    <row r="125" ht="15.75" customHeight="1">
      <c r="A125" t="s">
        <v>2752</v>
      </c>
      <c r="B125" t="s">
        <v>2753</v>
      </c>
      <c r="C125" t="s">
        <v>569</v>
      </c>
      <c r="D125" t="s">
        <v>2113</v>
      </c>
      <c r="E125" t="s">
        <v>2754</v>
      </c>
      <c r="F125" t="s">
        <v>956</v>
      </c>
      <c r="G125" t="s">
        <v>2755</v>
      </c>
      <c r="J125">
        <v>0.0</v>
      </c>
      <c r="K125">
        <v>0.0</v>
      </c>
      <c r="L125">
        <v>2.0</v>
      </c>
      <c r="M125">
        <v>2.0</v>
      </c>
      <c r="N125">
        <v>1.0</v>
      </c>
      <c r="O125">
        <v>0.0</v>
      </c>
      <c r="P125">
        <v>0.0</v>
      </c>
      <c r="Q125">
        <v>0.0</v>
      </c>
      <c r="R125">
        <v>0.0</v>
      </c>
      <c r="S125">
        <v>0.0</v>
      </c>
      <c r="T125">
        <v>0.0</v>
      </c>
      <c r="U125">
        <v>0.0</v>
      </c>
      <c r="V125">
        <v>0.0</v>
      </c>
      <c r="W125">
        <v>0.0</v>
      </c>
      <c r="X125" t="s">
        <v>2759</v>
      </c>
      <c r="Y125">
        <v>2.0</v>
      </c>
      <c r="Z125">
        <v>0.0</v>
      </c>
      <c r="AA125" t="s">
        <v>2760</v>
      </c>
      <c r="AB125">
        <v>3.0</v>
      </c>
      <c r="AC125">
        <v>0.0</v>
      </c>
      <c r="AD125">
        <v>3.0</v>
      </c>
      <c r="AE125" t="s">
        <v>3442</v>
      </c>
      <c r="AF125" t="s">
        <v>3443</v>
      </c>
      <c r="AG125" t="s">
        <v>2702</v>
      </c>
      <c r="AH125" t="s">
        <v>3429</v>
      </c>
    </row>
    <row r="126" ht="15.75" customHeight="1">
      <c r="A126" t="s">
        <v>2761</v>
      </c>
      <c r="B126" t="s">
        <v>2762</v>
      </c>
      <c r="C126" t="s">
        <v>572</v>
      </c>
      <c r="D126" t="s">
        <v>2113</v>
      </c>
      <c r="E126" t="s">
        <v>2754</v>
      </c>
      <c r="F126" t="s">
        <v>956</v>
      </c>
      <c r="G126" t="s">
        <v>2755</v>
      </c>
      <c r="J126">
        <v>0.0</v>
      </c>
      <c r="K126">
        <v>0.0</v>
      </c>
      <c r="L126">
        <v>3.0</v>
      </c>
      <c r="M126">
        <v>3.0</v>
      </c>
      <c r="N126">
        <v>1.0</v>
      </c>
      <c r="O126">
        <v>0.0</v>
      </c>
      <c r="P126">
        <v>0.0</v>
      </c>
      <c r="Q126">
        <v>1.0</v>
      </c>
      <c r="R126">
        <v>0.0</v>
      </c>
      <c r="S126">
        <v>0.0</v>
      </c>
      <c r="T126">
        <v>0.0</v>
      </c>
      <c r="U126">
        <v>0.0</v>
      </c>
      <c r="V126">
        <v>0.0</v>
      </c>
      <c r="W126">
        <v>0.0</v>
      </c>
      <c r="X126" t="s">
        <v>2759</v>
      </c>
      <c r="Y126">
        <v>2.0</v>
      </c>
      <c r="Z126">
        <v>0.0</v>
      </c>
      <c r="AA126" t="s">
        <v>2760</v>
      </c>
      <c r="AB126">
        <v>3.0</v>
      </c>
      <c r="AC126">
        <v>0.0</v>
      </c>
      <c r="AD126">
        <v>3.0</v>
      </c>
      <c r="AE126" t="s">
        <v>3444</v>
      </c>
      <c r="AF126" t="s">
        <v>3443</v>
      </c>
      <c r="AG126" t="s">
        <v>2702</v>
      </c>
      <c r="AH126" t="s">
        <v>3429</v>
      </c>
    </row>
    <row r="127" ht="15.75" customHeight="1">
      <c r="A127" t="s">
        <v>2764</v>
      </c>
      <c r="B127" t="s">
        <v>2765</v>
      </c>
      <c r="C127" t="s">
        <v>575</v>
      </c>
      <c r="D127" t="s">
        <v>2113</v>
      </c>
      <c r="E127" t="s">
        <v>2754</v>
      </c>
      <c r="F127" t="s">
        <v>956</v>
      </c>
      <c r="G127" t="s">
        <v>2755</v>
      </c>
      <c r="J127">
        <v>0.0</v>
      </c>
      <c r="K127">
        <v>0.0</v>
      </c>
      <c r="L127">
        <v>5.0</v>
      </c>
      <c r="M127">
        <v>4.0</v>
      </c>
      <c r="N127">
        <v>2.0</v>
      </c>
      <c r="O127">
        <v>0.0</v>
      </c>
      <c r="P127">
        <v>0.0</v>
      </c>
      <c r="Q127">
        <v>1.0</v>
      </c>
      <c r="R127">
        <v>0.0</v>
      </c>
      <c r="S127">
        <v>0.0</v>
      </c>
      <c r="T127">
        <v>0.0</v>
      </c>
      <c r="U127">
        <v>0.0</v>
      </c>
      <c r="V127">
        <v>0.0</v>
      </c>
      <c r="W127">
        <v>0.0</v>
      </c>
      <c r="X127" t="s">
        <v>2759</v>
      </c>
      <c r="Y127">
        <v>2.0</v>
      </c>
      <c r="Z127">
        <v>0.0</v>
      </c>
      <c r="AA127" t="s">
        <v>2760</v>
      </c>
      <c r="AB127">
        <v>3.0</v>
      </c>
      <c r="AC127">
        <v>0.0</v>
      </c>
      <c r="AD127">
        <v>3.0</v>
      </c>
      <c r="AE127" t="s">
        <v>3444</v>
      </c>
      <c r="AF127" t="s">
        <v>3445</v>
      </c>
      <c r="AG127" t="s">
        <v>2702</v>
      </c>
      <c r="AH127" t="s">
        <v>3429</v>
      </c>
    </row>
    <row r="128" ht="15.75" customHeight="1">
      <c r="A128" t="s">
        <v>2767</v>
      </c>
      <c r="B128" t="s">
        <v>2768</v>
      </c>
      <c r="C128" t="s">
        <v>578</v>
      </c>
      <c r="D128" t="s">
        <v>2113</v>
      </c>
      <c r="E128" t="s">
        <v>2754</v>
      </c>
      <c r="F128" t="s">
        <v>956</v>
      </c>
      <c r="G128" t="s">
        <v>2755</v>
      </c>
      <c r="J128">
        <v>0.0</v>
      </c>
      <c r="K128">
        <v>0.0</v>
      </c>
      <c r="L128">
        <v>6.0</v>
      </c>
      <c r="M128">
        <v>6.0</v>
      </c>
      <c r="N128">
        <v>3.0</v>
      </c>
      <c r="O128">
        <v>0.0</v>
      </c>
      <c r="P128">
        <v>0.0</v>
      </c>
      <c r="Q128">
        <v>1.0</v>
      </c>
      <c r="R128">
        <v>0.0</v>
      </c>
      <c r="S128">
        <v>1.0</v>
      </c>
      <c r="T128">
        <v>0.0</v>
      </c>
      <c r="U128">
        <v>0.0</v>
      </c>
      <c r="V128">
        <v>0.0</v>
      </c>
      <c r="W128">
        <v>0.0</v>
      </c>
      <c r="X128" t="s">
        <v>2759</v>
      </c>
      <c r="Y128">
        <v>2.0</v>
      </c>
      <c r="Z128">
        <v>0.0</v>
      </c>
      <c r="AA128" t="s">
        <v>2760</v>
      </c>
      <c r="AB128">
        <v>3.0</v>
      </c>
      <c r="AC128">
        <v>0.0</v>
      </c>
      <c r="AD128">
        <v>3.0</v>
      </c>
      <c r="AE128" t="s">
        <v>3446</v>
      </c>
      <c r="AF128" t="s">
        <v>3445</v>
      </c>
      <c r="AG128" t="s">
        <v>2702</v>
      </c>
      <c r="AH128" t="s">
        <v>3429</v>
      </c>
    </row>
    <row r="129" ht="15.75" customHeight="1">
      <c r="A129" t="s">
        <v>2770</v>
      </c>
      <c r="B129" t="s">
        <v>2771</v>
      </c>
      <c r="C129" t="s">
        <v>581</v>
      </c>
      <c r="D129" t="s">
        <v>2113</v>
      </c>
      <c r="E129" t="s">
        <v>2754</v>
      </c>
      <c r="F129" t="s">
        <v>956</v>
      </c>
      <c r="G129" t="s">
        <v>2755</v>
      </c>
      <c r="J129">
        <v>0.0</v>
      </c>
      <c r="K129">
        <v>0.0</v>
      </c>
      <c r="L129">
        <v>8.0</v>
      </c>
      <c r="M129">
        <v>8.0</v>
      </c>
      <c r="N129">
        <v>4.0</v>
      </c>
      <c r="O129">
        <v>0.0</v>
      </c>
      <c r="P129">
        <v>0.0</v>
      </c>
      <c r="Q129">
        <v>2.0</v>
      </c>
      <c r="R129">
        <v>0.0</v>
      </c>
      <c r="S129">
        <v>1.0</v>
      </c>
      <c r="T129">
        <v>0.0</v>
      </c>
      <c r="U129">
        <v>0.0</v>
      </c>
      <c r="V129">
        <v>0.0</v>
      </c>
      <c r="W129">
        <v>0.0</v>
      </c>
      <c r="X129" t="s">
        <v>2759</v>
      </c>
      <c r="Y129">
        <v>2.0</v>
      </c>
      <c r="Z129">
        <v>0.0</v>
      </c>
      <c r="AA129" t="s">
        <v>2760</v>
      </c>
      <c r="AB129">
        <v>3.0</v>
      </c>
      <c r="AC129">
        <v>0.0</v>
      </c>
      <c r="AD129">
        <v>3.0</v>
      </c>
      <c r="AE129" t="s">
        <v>3446</v>
      </c>
      <c r="AF129" t="s">
        <v>3447</v>
      </c>
      <c r="AG129" t="s">
        <v>2702</v>
      </c>
      <c r="AH129" t="s">
        <v>3429</v>
      </c>
    </row>
    <row r="130" ht="15.75" customHeight="1">
      <c r="A130" t="s">
        <v>2774</v>
      </c>
      <c r="B130" t="s">
        <v>2775</v>
      </c>
      <c r="C130" t="s">
        <v>584</v>
      </c>
      <c r="D130" t="s">
        <v>2113</v>
      </c>
      <c r="E130" t="s">
        <v>2754</v>
      </c>
      <c r="F130" t="s">
        <v>956</v>
      </c>
      <c r="G130" t="s">
        <v>2755</v>
      </c>
      <c r="J130">
        <v>0.0</v>
      </c>
      <c r="K130">
        <v>0.0</v>
      </c>
      <c r="L130">
        <v>11.0</v>
      </c>
      <c r="M130">
        <v>11.0</v>
      </c>
      <c r="N130">
        <v>5.0</v>
      </c>
      <c r="O130">
        <v>0.0</v>
      </c>
      <c r="P130">
        <v>0.0</v>
      </c>
      <c r="Q130">
        <v>2.0</v>
      </c>
      <c r="R130">
        <v>0.0</v>
      </c>
      <c r="S130">
        <v>2.0</v>
      </c>
      <c r="T130">
        <v>0.0</v>
      </c>
      <c r="U130">
        <v>0.0</v>
      </c>
      <c r="V130">
        <v>0.0</v>
      </c>
      <c r="W130">
        <v>0.0</v>
      </c>
      <c r="X130" t="s">
        <v>2759</v>
      </c>
      <c r="Y130">
        <v>2.0</v>
      </c>
      <c r="Z130">
        <v>0.0</v>
      </c>
      <c r="AA130" t="s">
        <v>2760</v>
      </c>
      <c r="AB130">
        <v>3.0</v>
      </c>
      <c r="AC130">
        <v>0.0</v>
      </c>
      <c r="AD130">
        <v>3.0</v>
      </c>
      <c r="AE130" t="s">
        <v>3446</v>
      </c>
      <c r="AF130" t="s">
        <v>3448</v>
      </c>
      <c r="AG130" t="s">
        <v>2702</v>
      </c>
      <c r="AH130" t="s">
        <v>3429</v>
      </c>
    </row>
    <row r="131" ht="15.75" customHeight="1">
      <c r="A131" t="s">
        <v>2777</v>
      </c>
      <c r="B131" t="s">
        <v>2778</v>
      </c>
      <c r="C131" t="s">
        <v>569</v>
      </c>
      <c r="D131" t="s">
        <v>2113</v>
      </c>
      <c r="E131" t="s">
        <v>2779</v>
      </c>
      <c r="F131" t="s">
        <v>2780</v>
      </c>
      <c r="G131" t="s">
        <v>2781</v>
      </c>
      <c r="J131">
        <v>0.0</v>
      </c>
      <c r="K131">
        <v>0.0</v>
      </c>
      <c r="L131">
        <v>1.0</v>
      </c>
      <c r="M131">
        <v>2.0</v>
      </c>
      <c r="N131">
        <v>0.0</v>
      </c>
      <c r="O131">
        <v>0.0</v>
      </c>
      <c r="P131">
        <v>1.0</v>
      </c>
      <c r="Q131">
        <v>0.0</v>
      </c>
      <c r="R131">
        <v>0.0</v>
      </c>
      <c r="S131">
        <v>0.0</v>
      </c>
      <c r="T131">
        <v>0.0</v>
      </c>
      <c r="U131">
        <v>0.0</v>
      </c>
      <c r="V131">
        <v>0.0</v>
      </c>
      <c r="W131">
        <v>0.0</v>
      </c>
      <c r="X131" t="s">
        <v>2785</v>
      </c>
      <c r="Y131">
        <v>2.0</v>
      </c>
      <c r="Z131">
        <v>0.0</v>
      </c>
      <c r="AA131" t="s">
        <v>2786</v>
      </c>
      <c r="AB131">
        <v>3.0</v>
      </c>
      <c r="AC131">
        <v>0.0</v>
      </c>
      <c r="AD131">
        <v>2.0</v>
      </c>
      <c r="AE131" t="s">
        <v>3449</v>
      </c>
      <c r="AF131" t="s">
        <v>3450</v>
      </c>
      <c r="AG131" t="s">
        <v>2702</v>
      </c>
      <c r="AH131" t="s">
        <v>3429</v>
      </c>
    </row>
    <row r="132" ht="15.75" customHeight="1">
      <c r="A132" t="s">
        <v>2787</v>
      </c>
      <c r="B132" t="s">
        <v>2788</v>
      </c>
      <c r="C132" t="s">
        <v>572</v>
      </c>
      <c r="D132" t="s">
        <v>2113</v>
      </c>
      <c r="E132" t="s">
        <v>2779</v>
      </c>
      <c r="F132" t="s">
        <v>2780</v>
      </c>
      <c r="G132" t="s">
        <v>2781</v>
      </c>
      <c r="J132">
        <v>0.0</v>
      </c>
      <c r="K132">
        <v>0.0</v>
      </c>
      <c r="L132">
        <v>2.0</v>
      </c>
      <c r="M132">
        <v>3.0</v>
      </c>
      <c r="N132">
        <v>0.0</v>
      </c>
      <c r="O132">
        <v>0.0</v>
      </c>
      <c r="P132">
        <v>1.0</v>
      </c>
      <c r="Q132">
        <v>0.0</v>
      </c>
      <c r="R132">
        <v>0.0</v>
      </c>
      <c r="S132">
        <v>0.0</v>
      </c>
      <c r="T132">
        <v>1.0</v>
      </c>
      <c r="U132">
        <v>0.0</v>
      </c>
      <c r="V132">
        <v>0.0</v>
      </c>
      <c r="W132">
        <v>0.0</v>
      </c>
      <c r="X132" t="s">
        <v>2785</v>
      </c>
      <c r="Y132">
        <v>2.0</v>
      </c>
      <c r="Z132">
        <v>0.0</v>
      </c>
      <c r="AA132" t="s">
        <v>2786</v>
      </c>
      <c r="AB132">
        <v>3.0</v>
      </c>
      <c r="AC132">
        <v>0.0</v>
      </c>
      <c r="AD132">
        <v>2.0</v>
      </c>
      <c r="AE132" t="s">
        <v>3451</v>
      </c>
      <c r="AF132" t="s">
        <v>3450</v>
      </c>
      <c r="AG132" t="s">
        <v>2702</v>
      </c>
      <c r="AH132" t="s">
        <v>3429</v>
      </c>
    </row>
    <row r="133" ht="15.75" customHeight="1">
      <c r="A133" t="s">
        <v>2790</v>
      </c>
      <c r="B133" t="s">
        <v>2791</v>
      </c>
      <c r="C133" t="s">
        <v>575</v>
      </c>
      <c r="D133" t="s">
        <v>2113</v>
      </c>
      <c r="E133" t="s">
        <v>2779</v>
      </c>
      <c r="F133" t="s">
        <v>2780</v>
      </c>
      <c r="G133" t="s">
        <v>2781</v>
      </c>
      <c r="J133">
        <v>0.0</v>
      </c>
      <c r="K133">
        <v>0.0</v>
      </c>
      <c r="L133">
        <v>3.0</v>
      </c>
      <c r="M133">
        <v>4.0</v>
      </c>
      <c r="N133">
        <v>0.0</v>
      </c>
      <c r="O133">
        <v>0.0</v>
      </c>
      <c r="P133">
        <v>2.0</v>
      </c>
      <c r="Q133">
        <v>0.0</v>
      </c>
      <c r="R133">
        <v>0.0</v>
      </c>
      <c r="S133">
        <v>0.0</v>
      </c>
      <c r="T133">
        <v>1.0</v>
      </c>
      <c r="U133">
        <v>0.0</v>
      </c>
      <c r="V133">
        <v>0.0</v>
      </c>
      <c r="W133">
        <v>0.0</v>
      </c>
      <c r="X133" t="s">
        <v>2785</v>
      </c>
      <c r="Y133">
        <v>2.0</v>
      </c>
      <c r="Z133">
        <v>0.0</v>
      </c>
      <c r="AA133" t="s">
        <v>2786</v>
      </c>
      <c r="AB133">
        <v>3.0</v>
      </c>
      <c r="AC133">
        <v>0.0</v>
      </c>
      <c r="AD133">
        <v>2.0</v>
      </c>
      <c r="AE133" t="s">
        <v>3451</v>
      </c>
      <c r="AF133" t="s">
        <v>3452</v>
      </c>
      <c r="AG133" t="s">
        <v>2702</v>
      </c>
      <c r="AH133" t="s">
        <v>3429</v>
      </c>
    </row>
    <row r="134" ht="15.75" customHeight="1">
      <c r="A134" t="s">
        <v>2793</v>
      </c>
      <c r="B134" t="s">
        <v>2794</v>
      </c>
      <c r="C134" t="s">
        <v>578</v>
      </c>
      <c r="D134" t="s">
        <v>2113</v>
      </c>
      <c r="E134" t="s">
        <v>2779</v>
      </c>
      <c r="F134" t="s">
        <v>2780</v>
      </c>
      <c r="G134" t="s">
        <v>2781</v>
      </c>
      <c r="J134">
        <v>0.0</v>
      </c>
      <c r="K134">
        <v>0.0</v>
      </c>
      <c r="L134">
        <v>4.0</v>
      </c>
      <c r="M134">
        <v>6.0</v>
      </c>
      <c r="N134">
        <v>0.0</v>
      </c>
      <c r="O134">
        <v>0.0</v>
      </c>
      <c r="P134">
        <v>3.0</v>
      </c>
      <c r="Q134">
        <v>0.0</v>
      </c>
      <c r="R134">
        <v>0.0</v>
      </c>
      <c r="S134">
        <v>1.0</v>
      </c>
      <c r="T134">
        <v>1.0</v>
      </c>
      <c r="U134">
        <v>0.0</v>
      </c>
      <c r="V134">
        <v>0.0</v>
      </c>
      <c r="W134">
        <v>0.0</v>
      </c>
      <c r="X134" t="s">
        <v>2785</v>
      </c>
      <c r="Y134">
        <v>2.0</v>
      </c>
      <c r="Z134">
        <v>0.0</v>
      </c>
      <c r="AA134" t="s">
        <v>2786</v>
      </c>
      <c r="AB134">
        <v>3.0</v>
      </c>
      <c r="AC134">
        <v>0.0</v>
      </c>
      <c r="AD134">
        <v>2.0</v>
      </c>
      <c r="AE134" t="s">
        <v>3453</v>
      </c>
      <c r="AF134" t="s">
        <v>3452</v>
      </c>
      <c r="AG134" t="s">
        <v>2702</v>
      </c>
      <c r="AH134" t="s">
        <v>3429</v>
      </c>
    </row>
    <row r="135" ht="15.75" customHeight="1">
      <c r="A135" t="s">
        <v>2796</v>
      </c>
      <c r="B135" t="s">
        <v>2797</v>
      </c>
      <c r="C135" t="s">
        <v>581</v>
      </c>
      <c r="D135" t="s">
        <v>2113</v>
      </c>
      <c r="E135" t="s">
        <v>2779</v>
      </c>
      <c r="F135" t="s">
        <v>2780</v>
      </c>
      <c r="G135" t="s">
        <v>2781</v>
      </c>
      <c r="J135">
        <v>0.0</v>
      </c>
      <c r="K135">
        <v>0.0</v>
      </c>
      <c r="L135">
        <v>5.0</v>
      </c>
      <c r="M135">
        <v>8.0</v>
      </c>
      <c r="N135">
        <v>0.0</v>
      </c>
      <c r="O135">
        <v>0.0</v>
      </c>
      <c r="P135">
        <v>4.0</v>
      </c>
      <c r="Q135">
        <v>0.0</v>
      </c>
      <c r="R135">
        <v>0.0</v>
      </c>
      <c r="S135">
        <v>1.0</v>
      </c>
      <c r="T135">
        <v>2.0</v>
      </c>
      <c r="U135">
        <v>0.0</v>
      </c>
      <c r="V135">
        <v>0.0</v>
      </c>
      <c r="W135">
        <v>0.0</v>
      </c>
      <c r="X135" t="s">
        <v>2785</v>
      </c>
      <c r="Y135">
        <v>2.0</v>
      </c>
      <c r="Z135">
        <v>0.0</v>
      </c>
      <c r="AA135" t="s">
        <v>2786</v>
      </c>
      <c r="AB135">
        <v>3.0</v>
      </c>
      <c r="AC135">
        <v>0.0</v>
      </c>
      <c r="AD135">
        <v>2.0</v>
      </c>
      <c r="AE135" t="s">
        <v>3453</v>
      </c>
      <c r="AF135" t="s">
        <v>3454</v>
      </c>
      <c r="AG135" t="s">
        <v>2702</v>
      </c>
      <c r="AH135" t="s">
        <v>3429</v>
      </c>
    </row>
    <row r="136" ht="15.75" customHeight="1">
      <c r="A136" t="s">
        <v>2800</v>
      </c>
      <c r="B136" t="s">
        <v>2801</v>
      </c>
      <c r="C136" t="s">
        <v>584</v>
      </c>
      <c r="D136" t="s">
        <v>2113</v>
      </c>
      <c r="E136" t="s">
        <v>2779</v>
      </c>
      <c r="F136" t="s">
        <v>2780</v>
      </c>
      <c r="G136" t="s">
        <v>2781</v>
      </c>
      <c r="J136">
        <v>0.0</v>
      </c>
      <c r="K136">
        <v>0.0</v>
      </c>
      <c r="L136">
        <v>7.0</v>
      </c>
      <c r="M136">
        <v>11.0</v>
      </c>
      <c r="N136">
        <v>0.0</v>
      </c>
      <c r="O136">
        <v>0.0</v>
      </c>
      <c r="P136">
        <v>5.0</v>
      </c>
      <c r="Q136">
        <v>0.0</v>
      </c>
      <c r="R136">
        <v>0.0</v>
      </c>
      <c r="S136">
        <v>2.0</v>
      </c>
      <c r="T136">
        <v>2.0</v>
      </c>
      <c r="U136">
        <v>0.0</v>
      </c>
      <c r="V136">
        <v>0.0</v>
      </c>
      <c r="W136">
        <v>0.0</v>
      </c>
      <c r="X136" t="s">
        <v>2785</v>
      </c>
      <c r="Y136">
        <v>2.0</v>
      </c>
      <c r="Z136">
        <v>0.0</v>
      </c>
      <c r="AA136" t="s">
        <v>2786</v>
      </c>
      <c r="AB136">
        <v>3.0</v>
      </c>
      <c r="AC136">
        <v>0.0</v>
      </c>
      <c r="AD136">
        <v>2.0</v>
      </c>
      <c r="AE136" t="s">
        <v>3453</v>
      </c>
      <c r="AF136" t="s">
        <v>3455</v>
      </c>
      <c r="AG136" t="s">
        <v>2702</v>
      </c>
      <c r="AH136" t="s">
        <v>3429</v>
      </c>
    </row>
    <row r="137" ht="15.75" customHeight="1">
      <c r="A137" t="s">
        <v>2803</v>
      </c>
      <c r="B137" t="s">
        <v>2804</v>
      </c>
      <c r="C137" t="s">
        <v>569</v>
      </c>
      <c r="D137" t="s">
        <v>2113</v>
      </c>
      <c r="E137" t="s">
        <v>2805</v>
      </c>
      <c r="F137" t="s">
        <v>956</v>
      </c>
      <c r="G137" t="s">
        <v>2806</v>
      </c>
      <c r="J137">
        <v>0.0</v>
      </c>
      <c r="K137">
        <v>0.0</v>
      </c>
      <c r="L137">
        <v>3.0</v>
      </c>
      <c r="M137">
        <v>1.0</v>
      </c>
      <c r="N137">
        <v>0.0</v>
      </c>
      <c r="O137">
        <v>1.0</v>
      </c>
      <c r="P137">
        <v>0.0</v>
      </c>
      <c r="Q137">
        <v>0.0</v>
      </c>
      <c r="R137">
        <v>0.0</v>
      </c>
      <c r="S137">
        <v>0.0</v>
      </c>
      <c r="T137">
        <v>0.0</v>
      </c>
      <c r="U137">
        <v>0.0</v>
      </c>
      <c r="V137">
        <v>0.0</v>
      </c>
      <c r="W137">
        <v>0.0</v>
      </c>
      <c r="X137" t="s">
        <v>2810</v>
      </c>
      <c r="Y137">
        <v>2.0</v>
      </c>
      <c r="Z137">
        <v>0.0</v>
      </c>
      <c r="AA137" t="s">
        <v>2811</v>
      </c>
      <c r="AB137">
        <v>3.0</v>
      </c>
      <c r="AC137">
        <v>0.0</v>
      </c>
      <c r="AD137">
        <v>2.0</v>
      </c>
      <c r="AE137" t="s">
        <v>3456</v>
      </c>
      <c r="AF137" t="s">
        <v>3457</v>
      </c>
      <c r="AG137" t="s">
        <v>2702</v>
      </c>
      <c r="AH137" t="s">
        <v>3429</v>
      </c>
    </row>
    <row r="138" ht="15.75" customHeight="1">
      <c r="A138" t="s">
        <v>2812</v>
      </c>
      <c r="B138" t="s">
        <v>2813</v>
      </c>
      <c r="C138" t="s">
        <v>572</v>
      </c>
      <c r="D138" t="s">
        <v>2113</v>
      </c>
      <c r="E138" t="s">
        <v>2805</v>
      </c>
      <c r="F138" t="s">
        <v>956</v>
      </c>
      <c r="G138" t="s">
        <v>2806</v>
      </c>
      <c r="J138">
        <v>0.0</v>
      </c>
      <c r="K138">
        <v>0.0</v>
      </c>
      <c r="L138">
        <v>5.0</v>
      </c>
      <c r="M138">
        <v>1.0</v>
      </c>
      <c r="N138">
        <v>0.0</v>
      </c>
      <c r="O138">
        <v>1.0</v>
      </c>
      <c r="P138">
        <v>0.0</v>
      </c>
      <c r="Q138">
        <v>1.0</v>
      </c>
      <c r="R138">
        <v>0.0</v>
      </c>
      <c r="S138">
        <v>0.0</v>
      </c>
      <c r="T138">
        <v>0.0</v>
      </c>
      <c r="U138">
        <v>0.0</v>
      </c>
      <c r="V138">
        <v>0.0</v>
      </c>
      <c r="W138">
        <v>0.0</v>
      </c>
      <c r="X138" t="s">
        <v>2810</v>
      </c>
      <c r="Y138">
        <v>2.0</v>
      </c>
      <c r="Z138">
        <v>0.0</v>
      </c>
      <c r="AA138" t="s">
        <v>2811</v>
      </c>
      <c r="AB138">
        <v>3.0</v>
      </c>
      <c r="AC138">
        <v>0.0</v>
      </c>
      <c r="AD138">
        <v>2.0</v>
      </c>
      <c r="AE138" t="s">
        <v>3458</v>
      </c>
      <c r="AF138" t="s">
        <v>3457</v>
      </c>
      <c r="AG138" t="s">
        <v>2702</v>
      </c>
      <c r="AH138" t="s">
        <v>3429</v>
      </c>
    </row>
    <row r="139" ht="15.75" customHeight="1">
      <c r="A139" t="s">
        <v>2815</v>
      </c>
      <c r="B139" t="s">
        <v>2816</v>
      </c>
      <c r="C139" t="s">
        <v>575</v>
      </c>
      <c r="D139" t="s">
        <v>2113</v>
      </c>
      <c r="E139" t="s">
        <v>2805</v>
      </c>
      <c r="F139" t="s">
        <v>956</v>
      </c>
      <c r="G139" t="s">
        <v>2806</v>
      </c>
      <c r="J139">
        <v>0.0</v>
      </c>
      <c r="K139">
        <v>0.0</v>
      </c>
      <c r="L139">
        <v>7.0</v>
      </c>
      <c r="M139">
        <v>2.0</v>
      </c>
      <c r="N139">
        <v>0.0</v>
      </c>
      <c r="O139">
        <v>2.0</v>
      </c>
      <c r="P139">
        <v>0.0</v>
      </c>
      <c r="Q139">
        <v>1.0</v>
      </c>
      <c r="R139">
        <v>0.0</v>
      </c>
      <c r="S139">
        <v>0.0</v>
      </c>
      <c r="T139">
        <v>0.0</v>
      </c>
      <c r="U139">
        <v>0.0</v>
      </c>
      <c r="V139">
        <v>0.0</v>
      </c>
      <c r="W139">
        <v>0.0</v>
      </c>
      <c r="X139" t="s">
        <v>2810</v>
      </c>
      <c r="Y139">
        <v>2.0</v>
      </c>
      <c r="Z139">
        <v>0.0</v>
      </c>
      <c r="AA139" t="s">
        <v>2811</v>
      </c>
      <c r="AB139">
        <v>3.0</v>
      </c>
      <c r="AC139">
        <v>0.0</v>
      </c>
      <c r="AD139">
        <v>2.0</v>
      </c>
      <c r="AE139" t="s">
        <v>3458</v>
      </c>
      <c r="AF139" t="s">
        <v>3459</v>
      </c>
      <c r="AG139" t="s">
        <v>2702</v>
      </c>
      <c r="AH139" t="s">
        <v>3429</v>
      </c>
    </row>
    <row r="140" ht="15.75" customHeight="1">
      <c r="A140" t="s">
        <v>2818</v>
      </c>
      <c r="B140" t="s">
        <v>2819</v>
      </c>
      <c r="C140" t="s">
        <v>578</v>
      </c>
      <c r="D140" t="s">
        <v>2113</v>
      </c>
      <c r="E140" t="s">
        <v>2805</v>
      </c>
      <c r="F140" t="s">
        <v>956</v>
      </c>
      <c r="G140" t="s">
        <v>2806</v>
      </c>
      <c r="J140">
        <v>0.0</v>
      </c>
      <c r="K140">
        <v>0.0</v>
      </c>
      <c r="L140">
        <v>9.0</v>
      </c>
      <c r="M140">
        <v>3.0</v>
      </c>
      <c r="N140">
        <v>1.0</v>
      </c>
      <c r="O140">
        <v>3.0</v>
      </c>
      <c r="P140">
        <v>0.0</v>
      </c>
      <c r="Q140">
        <v>1.0</v>
      </c>
      <c r="R140">
        <v>0.0</v>
      </c>
      <c r="S140">
        <v>0.0</v>
      </c>
      <c r="T140">
        <v>0.0</v>
      </c>
      <c r="U140">
        <v>0.0</v>
      </c>
      <c r="V140">
        <v>0.0</v>
      </c>
      <c r="W140">
        <v>0.0</v>
      </c>
      <c r="X140" t="s">
        <v>2810</v>
      </c>
      <c r="Y140">
        <v>2.0</v>
      </c>
      <c r="Z140">
        <v>0.0</v>
      </c>
      <c r="AA140" t="s">
        <v>2811</v>
      </c>
      <c r="AB140">
        <v>3.0</v>
      </c>
      <c r="AC140">
        <v>0.0</v>
      </c>
      <c r="AD140">
        <v>2.0</v>
      </c>
      <c r="AE140" t="s">
        <v>3460</v>
      </c>
      <c r="AF140" t="s">
        <v>3461</v>
      </c>
      <c r="AG140" t="s">
        <v>2702</v>
      </c>
      <c r="AH140" t="s">
        <v>3429</v>
      </c>
    </row>
    <row r="141" ht="15.75" customHeight="1">
      <c r="A141" t="s">
        <v>2822</v>
      </c>
      <c r="B141" t="s">
        <v>2823</v>
      </c>
      <c r="C141" t="s">
        <v>581</v>
      </c>
      <c r="D141" t="s">
        <v>2113</v>
      </c>
      <c r="E141" t="s">
        <v>2805</v>
      </c>
      <c r="F141" t="s">
        <v>956</v>
      </c>
      <c r="G141" t="s">
        <v>2806</v>
      </c>
      <c r="J141">
        <v>0.0</v>
      </c>
      <c r="K141">
        <v>0.0</v>
      </c>
      <c r="L141">
        <v>12.0</v>
      </c>
      <c r="M141">
        <v>4.0</v>
      </c>
      <c r="N141">
        <v>1.0</v>
      </c>
      <c r="O141">
        <v>4.0</v>
      </c>
      <c r="P141">
        <v>0.0</v>
      </c>
      <c r="Q141">
        <v>2.0</v>
      </c>
      <c r="R141">
        <v>0.0</v>
      </c>
      <c r="S141">
        <v>0.0</v>
      </c>
      <c r="T141">
        <v>0.0</v>
      </c>
      <c r="U141">
        <v>0.0</v>
      </c>
      <c r="V141">
        <v>0.0</v>
      </c>
      <c r="W141">
        <v>0.0</v>
      </c>
      <c r="X141" t="s">
        <v>2810</v>
      </c>
      <c r="Y141">
        <v>2.0</v>
      </c>
      <c r="Z141">
        <v>0.0</v>
      </c>
      <c r="AA141" t="s">
        <v>2811</v>
      </c>
      <c r="AB141">
        <v>3.0</v>
      </c>
      <c r="AC141">
        <v>0.0</v>
      </c>
      <c r="AD141">
        <v>2.0</v>
      </c>
      <c r="AE141" t="s">
        <v>3460</v>
      </c>
      <c r="AF141" t="s">
        <v>3462</v>
      </c>
      <c r="AG141" t="s">
        <v>2702</v>
      </c>
      <c r="AH141" t="s">
        <v>3429</v>
      </c>
    </row>
    <row r="142" ht="15.75" customHeight="1">
      <c r="A142" t="s">
        <v>2826</v>
      </c>
      <c r="B142" t="s">
        <v>2827</v>
      </c>
      <c r="C142" t="s">
        <v>584</v>
      </c>
      <c r="D142" t="s">
        <v>2113</v>
      </c>
      <c r="E142" t="s">
        <v>2805</v>
      </c>
      <c r="F142" t="s">
        <v>956</v>
      </c>
      <c r="G142" t="s">
        <v>2806</v>
      </c>
      <c r="J142">
        <v>0.0</v>
      </c>
      <c r="K142">
        <v>0.0</v>
      </c>
      <c r="L142">
        <v>16.0</v>
      </c>
      <c r="M142">
        <v>6.0</v>
      </c>
      <c r="N142">
        <v>2.0</v>
      </c>
      <c r="O142">
        <v>5.0</v>
      </c>
      <c r="P142">
        <v>0.0</v>
      </c>
      <c r="Q142">
        <v>2.0</v>
      </c>
      <c r="R142">
        <v>0.0</v>
      </c>
      <c r="S142">
        <v>0.0</v>
      </c>
      <c r="T142">
        <v>0.0</v>
      </c>
      <c r="U142">
        <v>0.0</v>
      </c>
      <c r="V142">
        <v>0.0</v>
      </c>
      <c r="W142">
        <v>0.0</v>
      </c>
      <c r="X142" t="s">
        <v>2810</v>
      </c>
      <c r="Y142">
        <v>2.0</v>
      </c>
      <c r="Z142">
        <v>0.0</v>
      </c>
      <c r="AA142" t="s">
        <v>2811</v>
      </c>
      <c r="AB142">
        <v>3.0</v>
      </c>
      <c r="AC142">
        <v>0.0</v>
      </c>
      <c r="AD142">
        <v>2.0</v>
      </c>
      <c r="AE142" t="s">
        <v>3460</v>
      </c>
      <c r="AF142" t="s">
        <v>3463</v>
      </c>
      <c r="AG142" t="s">
        <v>2702</v>
      </c>
      <c r="AH142" t="s">
        <v>3429</v>
      </c>
    </row>
    <row r="143" ht="15.75" customHeight="1">
      <c r="A143" t="s">
        <v>2829</v>
      </c>
      <c r="B143" t="s">
        <v>2830</v>
      </c>
      <c r="C143" t="s">
        <v>569</v>
      </c>
      <c r="D143" t="s">
        <v>2113</v>
      </c>
      <c r="E143" t="s">
        <v>2831</v>
      </c>
      <c r="F143" t="s">
        <v>2780</v>
      </c>
      <c r="G143" t="s">
        <v>2832</v>
      </c>
      <c r="J143">
        <v>0.0</v>
      </c>
      <c r="K143">
        <v>0.0</v>
      </c>
      <c r="L143">
        <v>0.0</v>
      </c>
      <c r="M143">
        <v>3.0</v>
      </c>
      <c r="N143">
        <v>0.0</v>
      </c>
      <c r="O143">
        <v>0.0</v>
      </c>
      <c r="P143">
        <v>0.0</v>
      </c>
      <c r="Q143">
        <v>0.0</v>
      </c>
      <c r="R143">
        <v>1.0</v>
      </c>
      <c r="S143">
        <v>0.0</v>
      </c>
      <c r="T143">
        <v>0.0</v>
      </c>
      <c r="U143">
        <v>0.0</v>
      </c>
      <c r="V143">
        <v>0.0</v>
      </c>
      <c r="W143">
        <v>0.0</v>
      </c>
      <c r="X143" t="s">
        <v>2836</v>
      </c>
      <c r="Y143">
        <v>2.0</v>
      </c>
      <c r="Z143">
        <v>0.0</v>
      </c>
      <c r="AA143" t="s">
        <v>2837</v>
      </c>
      <c r="AB143">
        <v>3.0</v>
      </c>
      <c r="AC143">
        <v>0.0</v>
      </c>
      <c r="AD143">
        <v>2.0</v>
      </c>
      <c r="AE143" t="s">
        <v>3464</v>
      </c>
      <c r="AF143" t="s">
        <v>3465</v>
      </c>
      <c r="AG143" t="s">
        <v>2702</v>
      </c>
      <c r="AH143" t="s">
        <v>3429</v>
      </c>
    </row>
    <row r="144" ht="15.75" customHeight="1">
      <c r="A144" t="s">
        <v>2838</v>
      </c>
      <c r="B144" t="s">
        <v>2839</v>
      </c>
      <c r="C144" t="s">
        <v>572</v>
      </c>
      <c r="D144" t="s">
        <v>2113</v>
      </c>
      <c r="E144" t="s">
        <v>2831</v>
      </c>
      <c r="F144" t="s">
        <v>2780</v>
      </c>
      <c r="G144" t="s">
        <v>2832</v>
      </c>
      <c r="J144">
        <v>0.0</v>
      </c>
      <c r="K144">
        <v>0.0</v>
      </c>
      <c r="L144">
        <v>1.0</v>
      </c>
      <c r="M144">
        <v>4.0</v>
      </c>
      <c r="N144">
        <v>0.0</v>
      </c>
      <c r="O144">
        <v>0.0</v>
      </c>
      <c r="P144">
        <v>0.0</v>
      </c>
      <c r="Q144">
        <v>0.0</v>
      </c>
      <c r="R144">
        <v>1.0</v>
      </c>
      <c r="S144">
        <v>0.0</v>
      </c>
      <c r="T144">
        <v>1.0</v>
      </c>
      <c r="U144">
        <v>0.0</v>
      </c>
      <c r="V144">
        <v>0.0</v>
      </c>
      <c r="W144">
        <v>0.0</v>
      </c>
      <c r="X144" t="s">
        <v>2836</v>
      </c>
      <c r="Y144">
        <v>2.0</v>
      </c>
      <c r="Z144">
        <v>0.0</v>
      </c>
      <c r="AA144" t="s">
        <v>2837</v>
      </c>
      <c r="AB144">
        <v>3.0</v>
      </c>
      <c r="AC144">
        <v>0.0</v>
      </c>
      <c r="AD144">
        <v>2.0</v>
      </c>
      <c r="AE144" t="s">
        <v>3466</v>
      </c>
      <c r="AF144" t="s">
        <v>3465</v>
      </c>
      <c r="AG144" t="s">
        <v>2702</v>
      </c>
      <c r="AH144" t="s">
        <v>3429</v>
      </c>
    </row>
    <row r="145" ht="15.75" customHeight="1">
      <c r="A145" t="s">
        <v>2841</v>
      </c>
      <c r="B145" t="s">
        <v>2842</v>
      </c>
      <c r="C145" t="s">
        <v>575</v>
      </c>
      <c r="D145" t="s">
        <v>2113</v>
      </c>
      <c r="E145" t="s">
        <v>2831</v>
      </c>
      <c r="F145" t="s">
        <v>2780</v>
      </c>
      <c r="G145" t="s">
        <v>2832</v>
      </c>
      <c r="J145">
        <v>0.0</v>
      </c>
      <c r="K145">
        <v>0.0</v>
      </c>
      <c r="L145">
        <v>1.0</v>
      </c>
      <c r="M145">
        <v>6.0</v>
      </c>
      <c r="N145">
        <v>0.0</v>
      </c>
      <c r="O145">
        <v>0.0</v>
      </c>
      <c r="P145">
        <v>0.0</v>
      </c>
      <c r="Q145">
        <v>0.0</v>
      </c>
      <c r="R145">
        <v>2.0</v>
      </c>
      <c r="S145">
        <v>0.0</v>
      </c>
      <c r="T145">
        <v>1.0</v>
      </c>
      <c r="U145">
        <v>0.0</v>
      </c>
      <c r="V145">
        <v>0.0</v>
      </c>
      <c r="W145">
        <v>0.0</v>
      </c>
      <c r="X145" t="s">
        <v>2836</v>
      </c>
      <c r="Y145">
        <v>2.0</v>
      </c>
      <c r="Z145">
        <v>0.0</v>
      </c>
      <c r="AA145" t="s">
        <v>2837</v>
      </c>
      <c r="AB145">
        <v>3.0</v>
      </c>
      <c r="AC145">
        <v>0.0</v>
      </c>
      <c r="AD145">
        <v>2.0</v>
      </c>
      <c r="AE145" t="s">
        <v>3466</v>
      </c>
      <c r="AF145" t="s">
        <v>3467</v>
      </c>
      <c r="AG145" t="s">
        <v>2702</v>
      </c>
      <c r="AH145" t="s">
        <v>3429</v>
      </c>
    </row>
    <row r="146" ht="15.75" customHeight="1">
      <c r="A146" t="s">
        <v>2844</v>
      </c>
      <c r="B146" t="s">
        <v>2845</v>
      </c>
      <c r="C146" t="s">
        <v>578</v>
      </c>
      <c r="D146" t="s">
        <v>2113</v>
      </c>
      <c r="E146" t="s">
        <v>2831</v>
      </c>
      <c r="F146" t="s">
        <v>2780</v>
      </c>
      <c r="G146" t="s">
        <v>2832</v>
      </c>
      <c r="J146">
        <v>0.0</v>
      </c>
      <c r="K146">
        <v>0.0</v>
      </c>
      <c r="L146">
        <v>2.0</v>
      </c>
      <c r="M146">
        <v>8.0</v>
      </c>
      <c r="N146">
        <v>0.0</v>
      </c>
      <c r="O146">
        <v>0.0</v>
      </c>
      <c r="P146">
        <v>0.0</v>
      </c>
      <c r="Q146">
        <v>0.0</v>
      </c>
      <c r="R146">
        <v>3.0</v>
      </c>
      <c r="S146">
        <v>1.0</v>
      </c>
      <c r="T146">
        <v>1.0</v>
      </c>
      <c r="U146">
        <v>0.0</v>
      </c>
      <c r="V146">
        <v>0.0</v>
      </c>
      <c r="W146">
        <v>0.0</v>
      </c>
      <c r="X146" t="s">
        <v>2836</v>
      </c>
      <c r="Y146">
        <v>2.0</v>
      </c>
      <c r="Z146">
        <v>0.0</v>
      </c>
      <c r="AA146" t="s">
        <v>2837</v>
      </c>
      <c r="AB146">
        <v>3.0</v>
      </c>
      <c r="AC146">
        <v>0.0</v>
      </c>
      <c r="AD146">
        <v>2.0</v>
      </c>
      <c r="AE146" t="s">
        <v>3468</v>
      </c>
      <c r="AF146" t="s">
        <v>3467</v>
      </c>
      <c r="AG146" t="s">
        <v>2702</v>
      </c>
      <c r="AH146" t="s">
        <v>3429</v>
      </c>
    </row>
    <row r="147" ht="15.75" customHeight="1">
      <c r="A147" t="s">
        <v>2847</v>
      </c>
      <c r="B147" t="s">
        <v>2848</v>
      </c>
      <c r="C147" t="s">
        <v>581</v>
      </c>
      <c r="D147" t="s">
        <v>2113</v>
      </c>
      <c r="E147" t="s">
        <v>2831</v>
      </c>
      <c r="F147" t="s">
        <v>2780</v>
      </c>
      <c r="G147" t="s">
        <v>2832</v>
      </c>
      <c r="J147">
        <v>0.0</v>
      </c>
      <c r="K147">
        <v>0.0</v>
      </c>
      <c r="L147">
        <v>3.0</v>
      </c>
      <c r="M147">
        <v>10.0</v>
      </c>
      <c r="N147">
        <v>0.0</v>
      </c>
      <c r="O147">
        <v>0.0</v>
      </c>
      <c r="P147">
        <v>0.0</v>
      </c>
      <c r="Q147">
        <v>0.0</v>
      </c>
      <c r="R147">
        <v>4.0</v>
      </c>
      <c r="S147">
        <v>1.0</v>
      </c>
      <c r="T147">
        <v>2.0</v>
      </c>
      <c r="U147">
        <v>0.0</v>
      </c>
      <c r="V147">
        <v>0.0</v>
      </c>
      <c r="W147">
        <v>0.0</v>
      </c>
      <c r="X147" t="s">
        <v>2836</v>
      </c>
      <c r="Y147">
        <v>2.0</v>
      </c>
      <c r="Z147">
        <v>0.0</v>
      </c>
      <c r="AA147" t="s">
        <v>2837</v>
      </c>
      <c r="AB147">
        <v>3.0</v>
      </c>
      <c r="AC147">
        <v>0.0</v>
      </c>
      <c r="AD147">
        <v>2.0</v>
      </c>
      <c r="AE147" t="s">
        <v>3468</v>
      </c>
      <c r="AF147" t="s">
        <v>3469</v>
      </c>
      <c r="AG147" t="s">
        <v>2702</v>
      </c>
      <c r="AH147" t="s">
        <v>3429</v>
      </c>
    </row>
    <row r="148" ht="15.75" customHeight="1">
      <c r="A148" t="s">
        <v>2850</v>
      </c>
      <c r="B148" t="s">
        <v>2851</v>
      </c>
      <c r="C148" t="s">
        <v>584</v>
      </c>
      <c r="D148" t="s">
        <v>2113</v>
      </c>
      <c r="E148" t="s">
        <v>2831</v>
      </c>
      <c r="F148" t="s">
        <v>2780</v>
      </c>
      <c r="G148" t="s">
        <v>2832</v>
      </c>
      <c r="J148">
        <v>0.0</v>
      </c>
      <c r="K148">
        <v>0.0</v>
      </c>
      <c r="L148">
        <v>4.0</v>
      </c>
      <c r="M148">
        <v>14.0</v>
      </c>
      <c r="N148">
        <v>0.0</v>
      </c>
      <c r="O148">
        <v>0.0</v>
      </c>
      <c r="P148">
        <v>0.0</v>
      </c>
      <c r="Q148">
        <v>0.0</v>
      </c>
      <c r="R148">
        <v>5.0</v>
      </c>
      <c r="S148">
        <v>2.0</v>
      </c>
      <c r="T148">
        <v>2.0</v>
      </c>
      <c r="U148">
        <v>0.0</v>
      </c>
      <c r="V148">
        <v>0.0</v>
      </c>
      <c r="W148">
        <v>0.0</v>
      </c>
      <c r="X148" t="s">
        <v>2836</v>
      </c>
      <c r="Y148">
        <v>2.0</v>
      </c>
      <c r="Z148">
        <v>0.0</v>
      </c>
      <c r="AA148" t="s">
        <v>2837</v>
      </c>
      <c r="AB148">
        <v>3.0</v>
      </c>
      <c r="AC148">
        <v>0.0</v>
      </c>
      <c r="AD148">
        <v>2.0</v>
      </c>
      <c r="AE148" t="s">
        <v>3468</v>
      </c>
      <c r="AF148" t="s">
        <v>3470</v>
      </c>
      <c r="AG148" t="s">
        <v>2702</v>
      </c>
      <c r="AH148" t="s">
        <v>3429</v>
      </c>
    </row>
    <row r="149" ht="15.75" customHeight="1">
      <c r="A149" t="s">
        <v>2853</v>
      </c>
      <c r="B149" t="s">
        <v>2854</v>
      </c>
      <c r="C149" t="s">
        <v>569</v>
      </c>
      <c r="D149" t="s">
        <v>2113</v>
      </c>
      <c r="E149" t="s">
        <v>2855</v>
      </c>
      <c r="F149" t="s">
        <v>956</v>
      </c>
      <c r="G149" t="s">
        <v>2856</v>
      </c>
      <c r="J149">
        <v>0.0</v>
      </c>
      <c r="K149">
        <v>0.0</v>
      </c>
      <c r="L149">
        <v>2.0</v>
      </c>
      <c r="M149">
        <v>2.0</v>
      </c>
      <c r="N149">
        <v>1.0</v>
      </c>
      <c r="O149">
        <v>0.0</v>
      </c>
      <c r="P149">
        <v>0.0</v>
      </c>
      <c r="Q149">
        <v>0.0</v>
      </c>
      <c r="R149">
        <v>0.0</v>
      </c>
      <c r="S149">
        <v>0.0</v>
      </c>
      <c r="T149">
        <v>0.0</v>
      </c>
      <c r="U149">
        <v>0.0</v>
      </c>
      <c r="V149">
        <v>0.0</v>
      </c>
      <c r="W149">
        <v>0.0</v>
      </c>
      <c r="X149" t="s">
        <v>2860</v>
      </c>
      <c r="Y149">
        <v>2.0</v>
      </c>
      <c r="Z149">
        <v>0.0</v>
      </c>
      <c r="AA149" t="s">
        <v>2861</v>
      </c>
      <c r="AB149">
        <v>3.0</v>
      </c>
      <c r="AC149">
        <v>0.0</v>
      </c>
      <c r="AD149">
        <v>3.0</v>
      </c>
      <c r="AE149" t="s">
        <v>3442</v>
      </c>
      <c r="AF149" t="s">
        <v>3471</v>
      </c>
      <c r="AG149" t="s">
        <v>2702</v>
      </c>
      <c r="AH149" t="s">
        <v>3429</v>
      </c>
    </row>
    <row r="150" ht="15.75" customHeight="1">
      <c r="A150" t="s">
        <v>2862</v>
      </c>
      <c r="B150" t="s">
        <v>2863</v>
      </c>
      <c r="C150" t="s">
        <v>572</v>
      </c>
      <c r="D150" t="s">
        <v>2113</v>
      </c>
      <c r="E150" t="s">
        <v>2855</v>
      </c>
      <c r="F150" t="s">
        <v>956</v>
      </c>
      <c r="G150" t="s">
        <v>2856</v>
      </c>
      <c r="J150">
        <v>0.0</v>
      </c>
      <c r="K150">
        <v>0.0</v>
      </c>
      <c r="L150">
        <v>2.0</v>
      </c>
      <c r="M150">
        <v>4.0</v>
      </c>
      <c r="N150">
        <v>1.0</v>
      </c>
      <c r="O150">
        <v>0.0</v>
      </c>
      <c r="P150">
        <v>0.0</v>
      </c>
      <c r="Q150">
        <v>0.0</v>
      </c>
      <c r="R150">
        <v>0.0</v>
      </c>
      <c r="S150">
        <v>1.0</v>
      </c>
      <c r="T150">
        <v>0.0</v>
      </c>
      <c r="U150">
        <v>0.0</v>
      </c>
      <c r="V150">
        <v>0.0</v>
      </c>
      <c r="W150">
        <v>0.0</v>
      </c>
      <c r="X150" t="s">
        <v>2860</v>
      </c>
      <c r="Y150">
        <v>2.0</v>
      </c>
      <c r="Z150">
        <v>0.0</v>
      </c>
      <c r="AA150" t="s">
        <v>2861</v>
      </c>
      <c r="AB150">
        <v>3.0</v>
      </c>
      <c r="AC150">
        <v>0.0</v>
      </c>
      <c r="AD150">
        <v>3.0</v>
      </c>
      <c r="AE150" t="s">
        <v>3472</v>
      </c>
      <c r="AF150" t="s">
        <v>3471</v>
      </c>
      <c r="AG150" t="s">
        <v>2702</v>
      </c>
      <c r="AH150" t="s">
        <v>3429</v>
      </c>
    </row>
    <row r="151" ht="15.75" customHeight="1">
      <c r="A151" t="s">
        <v>2864</v>
      </c>
      <c r="B151" t="s">
        <v>2865</v>
      </c>
      <c r="C151" t="s">
        <v>575</v>
      </c>
      <c r="D151" t="s">
        <v>2113</v>
      </c>
      <c r="E151" t="s">
        <v>2855</v>
      </c>
      <c r="F151" t="s">
        <v>956</v>
      </c>
      <c r="G151" t="s">
        <v>2856</v>
      </c>
      <c r="J151">
        <v>0.0</v>
      </c>
      <c r="K151">
        <v>0.0</v>
      </c>
      <c r="L151">
        <v>4.0</v>
      </c>
      <c r="M151">
        <v>5.0</v>
      </c>
      <c r="N151">
        <v>2.0</v>
      </c>
      <c r="O151">
        <v>0.0</v>
      </c>
      <c r="P151">
        <v>0.0</v>
      </c>
      <c r="Q151">
        <v>0.0</v>
      </c>
      <c r="R151">
        <v>0.0</v>
      </c>
      <c r="S151">
        <v>1.0</v>
      </c>
      <c r="T151">
        <v>0.0</v>
      </c>
      <c r="U151">
        <v>0.0</v>
      </c>
      <c r="V151">
        <v>0.0</v>
      </c>
      <c r="W151">
        <v>0.0</v>
      </c>
      <c r="X151" t="s">
        <v>2860</v>
      </c>
      <c r="Y151">
        <v>2.0</v>
      </c>
      <c r="Z151">
        <v>0.0</v>
      </c>
      <c r="AA151" t="s">
        <v>2861</v>
      </c>
      <c r="AB151">
        <v>3.0</v>
      </c>
      <c r="AC151">
        <v>0.0</v>
      </c>
      <c r="AD151">
        <v>3.0</v>
      </c>
      <c r="AE151" t="s">
        <v>3472</v>
      </c>
      <c r="AF151" t="s">
        <v>3473</v>
      </c>
      <c r="AG151" t="s">
        <v>2702</v>
      </c>
      <c r="AH151" t="s">
        <v>3429</v>
      </c>
    </row>
    <row r="152" ht="15.75" customHeight="1">
      <c r="A152" t="s">
        <v>2868</v>
      </c>
      <c r="B152" t="s">
        <v>2869</v>
      </c>
      <c r="C152" t="s">
        <v>578</v>
      </c>
      <c r="D152" t="s">
        <v>2113</v>
      </c>
      <c r="E152" t="s">
        <v>2855</v>
      </c>
      <c r="F152" t="s">
        <v>956</v>
      </c>
      <c r="G152" t="s">
        <v>2856</v>
      </c>
      <c r="J152">
        <v>0.0</v>
      </c>
      <c r="K152">
        <v>0.0</v>
      </c>
      <c r="L152">
        <v>5.0</v>
      </c>
      <c r="M152">
        <v>7.0</v>
      </c>
      <c r="N152">
        <v>3.0</v>
      </c>
      <c r="O152">
        <v>0.0</v>
      </c>
      <c r="P152">
        <v>0.0</v>
      </c>
      <c r="Q152">
        <v>1.0</v>
      </c>
      <c r="R152">
        <v>0.0</v>
      </c>
      <c r="S152">
        <v>1.0</v>
      </c>
      <c r="T152">
        <v>0.0</v>
      </c>
      <c r="U152">
        <v>0.0</v>
      </c>
      <c r="V152">
        <v>0.0</v>
      </c>
      <c r="W152">
        <v>0.0</v>
      </c>
      <c r="X152" t="s">
        <v>2860</v>
      </c>
      <c r="Y152">
        <v>2.0</v>
      </c>
      <c r="Z152">
        <v>0.0</v>
      </c>
      <c r="AA152" t="s">
        <v>2861</v>
      </c>
      <c r="AB152">
        <v>3.0</v>
      </c>
      <c r="AC152">
        <v>0.0</v>
      </c>
      <c r="AD152">
        <v>3.0</v>
      </c>
      <c r="AE152" t="s">
        <v>3474</v>
      </c>
      <c r="AF152" t="s">
        <v>3473</v>
      </c>
      <c r="AG152" t="s">
        <v>2702</v>
      </c>
      <c r="AH152" t="s">
        <v>3429</v>
      </c>
    </row>
    <row r="153" ht="15.75" customHeight="1">
      <c r="A153" t="s">
        <v>2870</v>
      </c>
      <c r="B153" t="s">
        <v>2871</v>
      </c>
      <c r="C153" t="s">
        <v>581</v>
      </c>
      <c r="D153" t="s">
        <v>2113</v>
      </c>
      <c r="E153" t="s">
        <v>2855</v>
      </c>
      <c r="F153" t="s">
        <v>956</v>
      </c>
      <c r="G153" t="s">
        <v>2856</v>
      </c>
      <c r="J153">
        <v>0.0</v>
      </c>
      <c r="K153">
        <v>0.0</v>
      </c>
      <c r="L153">
        <v>6.0</v>
      </c>
      <c r="M153">
        <v>10.0</v>
      </c>
      <c r="N153">
        <v>4.0</v>
      </c>
      <c r="O153">
        <v>0.0</v>
      </c>
      <c r="P153">
        <v>0.0</v>
      </c>
      <c r="Q153">
        <v>1.0</v>
      </c>
      <c r="R153">
        <v>0.0</v>
      </c>
      <c r="S153">
        <v>2.0</v>
      </c>
      <c r="T153">
        <v>0.0</v>
      </c>
      <c r="U153">
        <v>0.0</v>
      </c>
      <c r="V153">
        <v>0.0</v>
      </c>
      <c r="W153">
        <v>0.0</v>
      </c>
      <c r="X153" t="s">
        <v>2860</v>
      </c>
      <c r="Y153">
        <v>2.0</v>
      </c>
      <c r="Z153">
        <v>0.0</v>
      </c>
      <c r="AA153" t="s">
        <v>2861</v>
      </c>
      <c r="AB153">
        <v>3.0</v>
      </c>
      <c r="AC153">
        <v>0.0</v>
      </c>
      <c r="AD153">
        <v>3.0</v>
      </c>
      <c r="AE153" t="s">
        <v>3474</v>
      </c>
      <c r="AF153" t="s">
        <v>3475</v>
      </c>
      <c r="AG153" t="s">
        <v>2702</v>
      </c>
      <c r="AH153" t="s">
        <v>3429</v>
      </c>
    </row>
    <row r="154" ht="15.75" customHeight="1">
      <c r="A154" t="s">
        <v>2873</v>
      </c>
      <c r="B154" t="s">
        <v>2874</v>
      </c>
      <c r="C154" t="s">
        <v>584</v>
      </c>
      <c r="D154" t="s">
        <v>2113</v>
      </c>
      <c r="E154" t="s">
        <v>2855</v>
      </c>
      <c r="F154" t="s">
        <v>956</v>
      </c>
      <c r="G154" t="s">
        <v>2856</v>
      </c>
      <c r="J154">
        <v>0.0</v>
      </c>
      <c r="K154">
        <v>0.0</v>
      </c>
      <c r="L154">
        <v>9.0</v>
      </c>
      <c r="M154">
        <v>13.0</v>
      </c>
      <c r="N154">
        <v>5.0</v>
      </c>
      <c r="O154">
        <v>0.0</v>
      </c>
      <c r="P154">
        <v>0.0</v>
      </c>
      <c r="Q154">
        <v>2.0</v>
      </c>
      <c r="R154">
        <v>0.0</v>
      </c>
      <c r="S154">
        <v>2.0</v>
      </c>
      <c r="T154">
        <v>0.0</v>
      </c>
      <c r="U154">
        <v>0.0</v>
      </c>
      <c r="V154">
        <v>0.0</v>
      </c>
      <c r="W154">
        <v>0.0</v>
      </c>
      <c r="X154" t="s">
        <v>2860</v>
      </c>
      <c r="Y154">
        <v>2.0</v>
      </c>
      <c r="Z154">
        <v>0.0</v>
      </c>
      <c r="AA154" t="s">
        <v>2861</v>
      </c>
      <c r="AB154">
        <v>3.0</v>
      </c>
      <c r="AC154">
        <v>0.0</v>
      </c>
      <c r="AD154">
        <v>3.0</v>
      </c>
      <c r="AE154" t="s">
        <v>3474</v>
      </c>
      <c r="AF154" t="s">
        <v>3476</v>
      </c>
      <c r="AG154" t="s">
        <v>2702</v>
      </c>
      <c r="AH154" t="s">
        <v>3429</v>
      </c>
    </row>
    <row r="155" ht="15.75" customHeight="1">
      <c r="A155" t="s">
        <v>2876</v>
      </c>
      <c r="B155" t="s">
        <v>2877</v>
      </c>
      <c r="C155" t="s">
        <v>569</v>
      </c>
      <c r="D155" t="s">
        <v>2113</v>
      </c>
      <c r="E155" t="s">
        <v>2878</v>
      </c>
      <c r="F155" t="s">
        <v>956</v>
      </c>
      <c r="G155" t="s">
        <v>2879</v>
      </c>
      <c r="J155">
        <v>0.0</v>
      </c>
      <c r="K155">
        <v>0.0</v>
      </c>
      <c r="L155">
        <v>1.0</v>
      </c>
      <c r="M155">
        <v>3.0</v>
      </c>
      <c r="N155">
        <v>0.0</v>
      </c>
      <c r="O155">
        <v>0.0</v>
      </c>
      <c r="P155">
        <v>0.0</v>
      </c>
      <c r="Q155">
        <v>0.0</v>
      </c>
      <c r="R155">
        <v>0.0</v>
      </c>
      <c r="S155">
        <v>1.0</v>
      </c>
      <c r="T155">
        <v>0.0</v>
      </c>
      <c r="U155">
        <v>0.0</v>
      </c>
      <c r="V155">
        <v>0.0</v>
      </c>
      <c r="W155">
        <v>0.0</v>
      </c>
      <c r="X155" t="s">
        <v>2883</v>
      </c>
      <c r="Y155">
        <v>2.0</v>
      </c>
      <c r="Z155">
        <v>0.0</v>
      </c>
      <c r="AA155" t="s">
        <v>2884</v>
      </c>
      <c r="AB155">
        <v>3.0</v>
      </c>
      <c r="AC155">
        <v>0.0</v>
      </c>
      <c r="AD155">
        <v>2.0</v>
      </c>
      <c r="AE155" t="s">
        <v>3477</v>
      </c>
      <c r="AF155" t="s">
        <v>3478</v>
      </c>
      <c r="AG155" t="s">
        <v>2702</v>
      </c>
      <c r="AH155" t="s">
        <v>3429</v>
      </c>
    </row>
    <row r="156" ht="15.75" customHeight="1">
      <c r="A156" t="s">
        <v>2885</v>
      </c>
      <c r="B156" t="s">
        <v>2886</v>
      </c>
      <c r="C156" t="s">
        <v>572</v>
      </c>
      <c r="D156" t="s">
        <v>2113</v>
      </c>
      <c r="E156" t="s">
        <v>2878</v>
      </c>
      <c r="F156" t="s">
        <v>956</v>
      </c>
      <c r="G156" t="s">
        <v>2879</v>
      </c>
      <c r="J156">
        <v>0.0</v>
      </c>
      <c r="K156">
        <v>0.0</v>
      </c>
      <c r="L156">
        <v>1.0</v>
      </c>
      <c r="M156">
        <v>5.0</v>
      </c>
      <c r="N156">
        <v>0.0</v>
      </c>
      <c r="O156">
        <v>0.0</v>
      </c>
      <c r="P156">
        <v>0.0</v>
      </c>
      <c r="Q156">
        <v>0.0</v>
      </c>
      <c r="R156">
        <v>1.0</v>
      </c>
      <c r="S156">
        <v>1.0</v>
      </c>
      <c r="T156">
        <v>0.0</v>
      </c>
      <c r="U156">
        <v>0.0</v>
      </c>
      <c r="V156">
        <v>0.0</v>
      </c>
      <c r="W156">
        <v>0.0</v>
      </c>
      <c r="X156" t="s">
        <v>2883</v>
      </c>
      <c r="Y156">
        <v>2.0</v>
      </c>
      <c r="Z156">
        <v>0.0</v>
      </c>
      <c r="AA156" t="s">
        <v>2884</v>
      </c>
      <c r="AB156">
        <v>3.0</v>
      </c>
      <c r="AC156">
        <v>0.0</v>
      </c>
      <c r="AD156">
        <v>2.0</v>
      </c>
      <c r="AE156" t="s">
        <v>3479</v>
      </c>
      <c r="AF156" t="s">
        <v>3478</v>
      </c>
      <c r="AG156" t="s">
        <v>2702</v>
      </c>
      <c r="AH156" t="s">
        <v>3429</v>
      </c>
    </row>
    <row r="157" ht="15.75" customHeight="1">
      <c r="A157" t="s">
        <v>2888</v>
      </c>
      <c r="B157" t="s">
        <v>2889</v>
      </c>
      <c r="C157" t="s">
        <v>575</v>
      </c>
      <c r="D157" t="s">
        <v>2113</v>
      </c>
      <c r="E157" t="s">
        <v>2878</v>
      </c>
      <c r="F157" t="s">
        <v>956</v>
      </c>
      <c r="G157" t="s">
        <v>2879</v>
      </c>
      <c r="J157">
        <v>0.0</v>
      </c>
      <c r="K157">
        <v>0.0</v>
      </c>
      <c r="L157">
        <v>2.0</v>
      </c>
      <c r="M157">
        <v>7.0</v>
      </c>
      <c r="N157">
        <v>0.0</v>
      </c>
      <c r="O157">
        <v>0.0</v>
      </c>
      <c r="P157">
        <v>0.0</v>
      </c>
      <c r="Q157">
        <v>0.0</v>
      </c>
      <c r="R157">
        <v>1.0</v>
      </c>
      <c r="S157">
        <v>2.0</v>
      </c>
      <c r="T157">
        <v>0.0</v>
      </c>
      <c r="U157">
        <v>0.0</v>
      </c>
      <c r="V157">
        <v>0.0</v>
      </c>
      <c r="W157">
        <v>0.0</v>
      </c>
      <c r="X157" t="s">
        <v>2883</v>
      </c>
      <c r="Y157">
        <v>2.0</v>
      </c>
      <c r="Z157">
        <v>0.0</v>
      </c>
      <c r="AA157" t="s">
        <v>2884</v>
      </c>
      <c r="AB157">
        <v>3.0</v>
      </c>
      <c r="AC157">
        <v>0.0</v>
      </c>
      <c r="AD157">
        <v>2.0</v>
      </c>
      <c r="AE157" t="s">
        <v>3479</v>
      </c>
      <c r="AF157" t="s">
        <v>3480</v>
      </c>
      <c r="AG157" t="s">
        <v>2702</v>
      </c>
      <c r="AH157" t="s">
        <v>3429</v>
      </c>
    </row>
    <row r="158" ht="15.75" customHeight="1">
      <c r="A158" t="s">
        <v>2891</v>
      </c>
      <c r="B158" t="s">
        <v>2892</v>
      </c>
      <c r="C158" t="s">
        <v>578</v>
      </c>
      <c r="D158" t="s">
        <v>2113</v>
      </c>
      <c r="E158" t="s">
        <v>2878</v>
      </c>
      <c r="F158" t="s">
        <v>956</v>
      </c>
      <c r="G158" t="s">
        <v>2879</v>
      </c>
      <c r="J158">
        <v>0.0</v>
      </c>
      <c r="K158">
        <v>0.0</v>
      </c>
      <c r="L158">
        <v>3.0</v>
      </c>
      <c r="M158">
        <v>9.0</v>
      </c>
      <c r="N158">
        <v>1.0</v>
      </c>
      <c r="O158">
        <v>0.0</v>
      </c>
      <c r="P158">
        <v>0.0</v>
      </c>
      <c r="Q158">
        <v>0.0</v>
      </c>
      <c r="R158">
        <v>1.0</v>
      </c>
      <c r="S158">
        <v>3.0</v>
      </c>
      <c r="T158">
        <v>0.0</v>
      </c>
      <c r="U158">
        <v>0.0</v>
      </c>
      <c r="V158">
        <v>0.0</v>
      </c>
      <c r="W158">
        <v>0.0</v>
      </c>
      <c r="X158" t="s">
        <v>2883</v>
      </c>
      <c r="Y158">
        <v>2.0</v>
      </c>
      <c r="Z158">
        <v>0.0</v>
      </c>
      <c r="AA158" t="s">
        <v>2884</v>
      </c>
      <c r="AB158">
        <v>3.0</v>
      </c>
      <c r="AC158">
        <v>0.0</v>
      </c>
      <c r="AD158">
        <v>2.0</v>
      </c>
      <c r="AE158" t="s">
        <v>3481</v>
      </c>
      <c r="AF158" t="s">
        <v>3480</v>
      </c>
      <c r="AG158" t="s">
        <v>2702</v>
      </c>
      <c r="AH158" t="s">
        <v>3429</v>
      </c>
    </row>
    <row r="159" ht="15.75" customHeight="1">
      <c r="A159" t="s">
        <v>2894</v>
      </c>
      <c r="B159" t="s">
        <v>2895</v>
      </c>
      <c r="C159" t="s">
        <v>581</v>
      </c>
      <c r="D159" t="s">
        <v>2113</v>
      </c>
      <c r="E159" t="s">
        <v>2878</v>
      </c>
      <c r="F159" t="s">
        <v>956</v>
      </c>
      <c r="G159" t="s">
        <v>2879</v>
      </c>
      <c r="J159">
        <v>0.0</v>
      </c>
      <c r="K159">
        <v>0.0</v>
      </c>
      <c r="L159">
        <v>4.0</v>
      </c>
      <c r="M159">
        <v>12.0</v>
      </c>
      <c r="N159">
        <v>1.0</v>
      </c>
      <c r="O159">
        <v>0.0</v>
      </c>
      <c r="P159">
        <v>0.0</v>
      </c>
      <c r="Q159">
        <v>0.0</v>
      </c>
      <c r="R159">
        <v>2.0</v>
      </c>
      <c r="S159">
        <v>4.0</v>
      </c>
      <c r="T159">
        <v>0.0</v>
      </c>
      <c r="U159">
        <v>0.0</v>
      </c>
      <c r="V159">
        <v>0.0</v>
      </c>
      <c r="W159">
        <v>0.0</v>
      </c>
      <c r="X159" t="s">
        <v>2883</v>
      </c>
      <c r="Y159">
        <v>2.0</v>
      </c>
      <c r="Z159">
        <v>0.0</v>
      </c>
      <c r="AA159" t="s">
        <v>2884</v>
      </c>
      <c r="AB159">
        <v>3.0</v>
      </c>
      <c r="AC159">
        <v>0.0</v>
      </c>
      <c r="AD159">
        <v>2.0</v>
      </c>
      <c r="AE159" t="s">
        <v>3481</v>
      </c>
      <c r="AF159" t="s">
        <v>3482</v>
      </c>
      <c r="AG159" t="s">
        <v>2702</v>
      </c>
      <c r="AH159" t="s">
        <v>3429</v>
      </c>
    </row>
    <row r="160" ht="15.75" customHeight="1">
      <c r="A160" t="s">
        <v>2897</v>
      </c>
      <c r="B160" t="s">
        <v>2898</v>
      </c>
      <c r="C160" t="s">
        <v>584</v>
      </c>
      <c r="D160" t="s">
        <v>2113</v>
      </c>
      <c r="E160" t="s">
        <v>2878</v>
      </c>
      <c r="F160" t="s">
        <v>956</v>
      </c>
      <c r="G160" t="s">
        <v>2879</v>
      </c>
      <c r="J160">
        <v>0.0</v>
      </c>
      <c r="K160">
        <v>0.0</v>
      </c>
      <c r="L160">
        <v>6.0</v>
      </c>
      <c r="M160">
        <v>16.0</v>
      </c>
      <c r="N160">
        <v>2.0</v>
      </c>
      <c r="O160">
        <v>0.0</v>
      </c>
      <c r="P160">
        <v>0.0</v>
      </c>
      <c r="Q160">
        <v>0.0</v>
      </c>
      <c r="R160">
        <v>2.0</v>
      </c>
      <c r="S160">
        <v>5.0</v>
      </c>
      <c r="T160">
        <v>0.0</v>
      </c>
      <c r="U160">
        <v>0.0</v>
      </c>
      <c r="V160">
        <v>0.0</v>
      </c>
      <c r="W160">
        <v>0.0</v>
      </c>
      <c r="X160" t="s">
        <v>2883</v>
      </c>
      <c r="Y160">
        <v>2.0</v>
      </c>
      <c r="Z160">
        <v>0.0</v>
      </c>
      <c r="AA160" t="s">
        <v>2884</v>
      </c>
      <c r="AB160">
        <v>3.0</v>
      </c>
      <c r="AC160">
        <v>0.0</v>
      </c>
      <c r="AD160">
        <v>2.0</v>
      </c>
      <c r="AE160" t="s">
        <v>3481</v>
      </c>
      <c r="AF160" t="s">
        <v>3483</v>
      </c>
      <c r="AG160" t="s">
        <v>2702</v>
      </c>
      <c r="AH160" t="s">
        <v>3429</v>
      </c>
    </row>
    <row r="161" ht="15.75" customHeight="1">
      <c r="A161" t="s">
        <v>2901</v>
      </c>
      <c r="B161" t="s">
        <v>2902</v>
      </c>
      <c r="C161" t="s">
        <v>569</v>
      </c>
      <c r="D161" t="s">
        <v>1679</v>
      </c>
      <c r="E161" t="s">
        <v>2697</v>
      </c>
      <c r="F161" t="s">
        <v>2698</v>
      </c>
      <c r="G161" t="s">
        <v>2699</v>
      </c>
      <c r="J161">
        <v>0.0</v>
      </c>
      <c r="K161">
        <v>0.0</v>
      </c>
      <c r="L161">
        <v>2.0</v>
      </c>
      <c r="M161">
        <v>0.0</v>
      </c>
      <c r="N161">
        <v>0.0</v>
      </c>
      <c r="O161">
        <v>0.0</v>
      </c>
      <c r="P161">
        <v>0.0</v>
      </c>
      <c r="Q161">
        <v>1.0</v>
      </c>
      <c r="R161">
        <v>0.0</v>
      </c>
      <c r="S161">
        <v>0.0</v>
      </c>
      <c r="T161">
        <v>-1.0</v>
      </c>
      <c r="U161">
        <v>0.0</v>
      </c>
      <c r="V161">
        <v>0.0</v>
      </c>
      <c r="W161">
        <v>0.0</v>
      </c>
      <c r="X161" t="s">
        <v>2903</v>
      </c>
      <c r="Y161">
        <v>2.0</v>
      </c>
      <c r="Z161">
        <v>0.0</v>
      </c>
      <c r="AA161" t="s">
        <v>2904</v>
      </c>
      <c r="AB161">
        <v>3.0</v>
      </c>
      <c r="AC161">
        <v>0.0</v>
      </c>
      <c r="AD161">
        <v>2.0</v>
      </c>
      <c r="AE161" t="s">
        <v>3484</v>
      </c>
      <c r="AF161" t="s">
        <v>3428</v>
      </c>
      <c r="AG161" t="s">
        <v>2702</v>
      </c>
      <c r="AH161" t="s">
        <v>3429</v>
      </c>
    </row>
    <row r="162" ht="15.75" customHeight="1">
      <c r="A162" t="s">
        <v>2905</v>
      </c>
      <c r="B162" t="s">
        <v>2906</v>
      </c>
      <c r="C162" t="s">
        <v>572</v>
      </c>
      <c r="D162" t="s">
        <v>1679</v>
      </c>
      <c r="E162" t="s">
        <v>2697</v>
      </c>
      <c r="F162" t="s">
        <v>2698</v>
      </c>
      <c r="G162" t="s">
        <v>2699</v>
      </c>
      <c r="J162">
        <v>0.0</v>
      </c>
      <c r="K162">
        <v>0.0</v>
      </c>
      <c r="L162">
        <v>3.0</v>
      </c>
      <c r="M162">
        <v>0.0</v>
      </c>
      <c r="N162">
        <v>1.0</v>
      </c>
      <c r="O162">
        <v>0.0</v>
      </c>
      <c r="P162">
        <v>0.0</v>
      </c>
      <c r="Q162">
        <v>1.0</v>
      </c>
      <c r="R162">
        <v>0.0</v>
      </c>
      <c r="S162">
        <v>0.0</v>
      </c>
      <c r="T162">
        <v>-1.0</v>
      </c>
      <c r="U162">
        <v>0.0</v>
      </c>
      <c r="V162">
        <v>0.0</v>
      </c>
      <c r="W162">
        <v>0.0</v>
      </c>
      <c r="X162" t="s">
        <v>2903</v>
      </c>
      <c r="Y162">
        <v>2.0</v>
      </c>
      <c r="Z162">
        <v>0.0</v>
      </c>
      <c r="AA162" t="s">
        <v>2904</v>
      </c>
      <c r="AB162">
        <v>3.0</v>
      </c>
      <c r="AC162">
        <v>0.0</v>
      </c>
      <c r="AD162">
        <v>2.0</v>
      </c>
      <c r="AE162" t="s">
        <v>3485</v>
      </c>
      <c r="AF162" t="s">
        <v>3428</v>
      </c>
      <c r="AG162" t="s">
        <v>2702</v>
      </c>
      <c r="AH162" t="s">
        <v>3429</v>
      </c>
    </row>
    <row r="163" ht="15.75" customHeight="1">
      <c r="A163" t="s">
        <v>2908</v>
      </c>
      <c r="B163" t="s">
        <v>2909</v>
      </c>
      <c r="C163" t="s">
        <v>575</v>
      </c>
      <c r="D163" t="s">
        <v>1679</v>
      </c>
      <c r="E163" t="s">
        <v>2697</v>
      </c>
      <c r="F163" t="s">
        <v>2698</v>
      </c>
      <c r="G163" t="s">
        <v>2699</v>
      </c>
      <c r="J163">
        <v>0.0</v>
      </c>
      <c r="K163">
        <v>0.0</v>
      </c>
      <c r="L163">
        <v>4.0</v>
      </c>
      <c r="M163">
        <v>0.0</v>
      </c>
      <c r="N163">
        <v>1.0</v>
      </c>
      <c r="O163">
        <v>0.0</v>
      </c>
      <c r="P163">
        <v>0.0</v>
      </c>
      <c r="Q163">
        <v>2.0</v>
      </c>
      <c r="R163">
        <v>0.0</v>
      </c>
      <c r="S163">
        <v>0.0</v>
      </c>
      <c r="T163">
        <v>-1.0</v>
      </c>
      <c r="U163">
        <v>0.0</v>
      </c>
      <c r="V163">
        <v>0.0</v>
      </c>
      <c r="W163">
        <v>0.0</v>
      </c>
      <c r="X163" t="s">
        <v>2903</v>
      </c>
      <c r="Y163">
        <v>2.0</v>
      </c>
      <c r="Z163">
        <v>0.0</v>
      </c>
      <c r="AA163" t="s">
        <v>2904</v>
      </c>
      <c r="AB163">
        <v>3.0</v>
      </c>
      <c r="AC163">
        <v>0.0</v>
      </c>
      <c r="AD163">
        <v>2.0</v>
      </c>
      <c r="AE163" t="s">
        <v>3485</v>
      </c>
      <c r="AF163" t="s">
        <v>3431</v>
      </c>
      <c r="AG163" t="s">
        <v>2702</v>
      </c>
      <c r="AH163" t="s">
        <v>3429</v>
      </c>
    </row>
    <row r="164" ht="15.75" customHeight="1">
      <c r="A164" t="s">
        <v>2910</v>
      </c>
      <c r="B164" t="s">
        <v>2911</v>
      </c>
      <c r="C164" t="s">
        <v>578</v>
      </c>
      <c r="D164" t="s">
        <v>1679</v>
      </c>
      <c r="E164" t="s">
        <v>2697</v>
      </c>
      <c r="F164" t="s">
        <v>2698</v>
      </c>
      <c r="G164" t="s">
        <v>2699</v>
      </c>
      <c r="J164">
        <v>0.0</v>
      </c>
      <c r="K164">
        <v>0.0</v>
      </c>
      <c r="L164">
        <v>6.0</v>
      </c>
      <c r="M164">
        <v>1.0</v>
      </c>
      <c r="N164">
        <v>1.0</v>
      </c>
      <c r="O164">
        <v>1.0</v>
      </c>
      <c r="P164">
        <v>0.0</v>
      </c>
      <c r="Q164">
        <v>3.0</v>
      </c>
      <c r="R164">
        <v>0.0</v>
      </c>
      <c r="S164">
        <v>0.0</v>
      </c>
      <c r="T164">
        <v>-1.0</v>
      </c>
      <c r="U164">
        <v>0.0</v>
      </c>
      <c r="V164">
        <v>0.0</v>
      </c>
      <c r="W164">
        <v>0.0</v>
      </c>
      <c r="X164" t="s">
        <v>2903</v>
      </c>
      <c r="Y164">
        <v>2.0</v>
      </c>
      <c r="Z164">
        <v>0.0</v>
      </c>
      <c r="AA164" t="s">
        <v>2904</v>
      </c>
      <c r="AB164">
        <v>3.0</v>
      </c>
      <c r="AC164">
        <v>0.0</v>
      </c>
      <c r="AD164">
        <v>2.0</v>
      </c>
      <c r="AE164" t="s">
        <v>3486</v>
      </c>
      <c r="AF164" t="s">
        <v>3431</v>
      </c>
      <c r="AG164" t="s">
        <v>2702</v>
      </c>
      <c r="AH164" t="s">
        <v>3429</v>
      </c>
    </row>
    <row r="165" ht="15.75" customHeight="1">
      <c r="A165" t="s">
        <v>2913</v>
      </c>
      <c r="B165" t="s">
        <v>2914</v>
      </c>
      <c r="C165" t="s">
        <v>581</v>
      </c>
      <c r="D165" t="s">
        <v>1679</v>
      </c>
      <c r="E165" t="s">
        <v>2697</v>
      </c>
      <c r="F165" t="s">
        <v>2698</v>
      </c>
      <c r="G165" t="s">
        <v>2699</v>
      </c>
      <c r="J165">
        <v>0.0</v>
      </c>
      <c r="K165">
        <v>0.0</v>
      </c>
      <c r="L165">
        <v>8.0</v>
      </c>
      <c r="M165">
        <v>1.0</v>
      </c>
      <c r="N165">
        <v>2.0</v>
      </c>
      <c r="O165">
        <v>1.0</v>
      </c>
      <c r="P165">
        <v>0.0</v>
      </c>
      <c r="Q165">
        <v>4.0</v>
      </c>
      <c r="R165">
        <v>0.0</v>
      </c>
      <c r="S165">
        <v>0.0</v>
      </c>
      <c r="T165">
        <v>-1.0</v>
      </c>
      <c r="U165">
        <v>0.0</v>
      </c>
      <c r="V165">
        <v>0.0</v>
      </c>
      <c r="W165">
        <v>0.0</v>
      </c>
      <c r="X165" t="s">
        <v>2903</v>
      </c>
      <c r="Y165">
        <v>2.0</v>
      </c>
      <c r="Z165">
        <v>0.0</v>
      </c>
      <c r="AA165" t="s">
        <v>2904</v>
      </c>
      <c r="AB165">
        <v>3.0</v>
      </c>
      <c r="AC165">
        <v>0.0</v>
      </c>
      <c r="AD165">
        <v>2.0</v>
      </c>
      <c r="AE165" t="s">
        <v>3486</v>
      </c>
      <c r="AF165" t="s">
        <v>3433</v>
      </c>
      <c r="AG165" t="s">
        <v>2702</v>
      </c>
      <c r="AH165" t="s">
        <v>3429</v>
      </c>
    </row>
    <row r="166" ht="15.75" customHeight="1">
      <c r="A166" t="s">
        <v>2915</v>
      </c>
      <c r="B166" t="s">
        <v>2916</v>
      </c>
      <c r="C166" t="s">
        <v>584</v>
      </c>
      <c r="D166" t="s">
        <v>1679</v>
      </c>
      <c r="E166" t="s">
        <v>2697</v>
      </c>
      <c r="F166" t="s">
        <v>2698</v>
      </c>
      <c r="G166" t="s">
        <v>2699</v>
      </c>
      <c r="J166">
        <v>0.0</v>
      </c>
      <c r="K166">
        <v>0.0</v>
      </c>
      <c r="L166">
        <v>11.0</v>
      </c>
      <c r="M166">
        <v>1.0</v>
      </c>
      <c r="N166">
        <v>2.0</v>
      </c>
      <c r="O166">
        <v>2.0</v>
      </c>
      <c r="P166">
        <v>0.0</v>
      </c>
      <c r="Q166">
        <v>5.0</v>
      </c>
      <c r="R166">
        <v>0.0</v>
      </c>
      <c r="S166">
        <v>0.0</v>
      </c>
      <c r="T166">
        <v>-1.0</v>
      </c>
      <c r="U166">
        <v>0.0</v>
      </c>
      <c r="V166">
        <v>0.0</v>
      </c>
      <c r="W166">
        <v>0.0</v>
      </c>
      <c r="X166" t="s">
        <v>2903</v>
      </c>
      <c r="Y166">
        <v>2.0</v>
      </c>
      <c r="Z166">
        <v>0.0</v>
      </c>
      <c r="AA166" t="s">
        <v>2904</v>
      </c>
      <c r="AB166">
        <v>3.0</v>
      </c>
      <c r="AC166">
        <v>0.0</v>
      </c>
      <c r="AD166">
        <v>2.0</v>
      </c>
      <c r="AE166" t="s">
        <v>3486</v>
      </c>
      <c r="AF166" t="s">
        <v>3434</v>
      </c>
      <c r="AG166" t="s">
        <v>2702</v>
      </c>
      <c r="AH166" t="s">
        <v>3429</v>
      </c>
    </row>
    <row r="167" ht="15.75" customHeight="1">
      <c r="A167" t="s">
        <v>2917</v>
      </c>
      <c r="B167" t="s">
        <v>2918</v>
      </c>
      <c r="C167" t="s">
        <v>569</v>
      </c>
      <c r="D167" t="s">
        <v>1679</v>
      </c>
      <c r="E167" t="s">
        <v>2727</v>
      </c>
      <c r="F167" t="s">
        <v>956</v>
      </c>
      <c r="G167" t="s">
        <v>2728</v>
      </c>
      <c r="J167">
        <v>0.0</v>
      </c>
      <c r="K167">
        <v>0.0</v>
      </c>
      <c r="L167">
        <v>0.0</v>
      </c>
      <c r="M167">
        <v>2.0</v>
      </c>
      <c r="N167">
        <v>0.0</v>
      </c>
      <c r="O167">
        <v>0.0</v>
      </c>
      <c r="P167">
        <v>0.0</v>
      </c>
      <c r="Q167">
        <v>0.0</v>
      </c>
      <c r="R167">
        <v>0.0</v>
      </c>
      <c r="S167">
        <v>1.0</v>
      </c>
      <c r="T167">
        <v>0.0</v>
      </c>
      <c r="U167">
        <v>0.0</v>
      </c>
      <c r="V167">
        <v>0.0</v>
      </c>
      <c r="W167">
        <v>0.0</v>
      </c>
      <c r="X167" t="s">
        <v>2919</v>
      </c>
      <c r="Y167">
        <v>2.0</v>
      </c>
      <c r="Z167">
        <v>0.0</v>
      </c>
      <c r="AA167" t="s">
        <v>2920</v>
      </c>
      <c r="AB167">
        <v>3.0</v>
      </c>
      <c r="AC167">
        <v>0.0</v>
      </c>
      <c r="AD167">
        <v>2.0</v>
      </c>
      <c r="AE167" t="s">
        <v>3487</v>
      </c>
      <c r="AF167" t="s">
        <v>3436</v>
      </c>
      <c r="AG167" t="s">
        <v>2702</v>
      </c>
      <c r="AH167" t="s">
        <v>3429</v>
      </c>
    </row>
    <row r="168" ht="15.75" customHeight="1">
      <c r="A168" t="s">
        <v>2921</v>
      </c>
      <c r="B168" t="s">
        <v>2922</v>
      </c>
      <c r="C168" t="s">
        <v>572</v>
      </c>
      <c r="D168" t="s">
        <v>1679</v>
      </c>
      <c r="E168" t="s">
        <v>2727</v>
      </c>
      <c r="F168" t="s">
        <v>956</v>
      </c>
      <c r="G168" t="s">
        <v>2728</v>
      </c>
      <c r="J168">
        <v>0.0</v>
      </c>
      <c r="K168">
        <v>0.0</v>
      </c>
      <c r="L168">
        <v>0.0</v>
      </c>
      <c r="M168">
        <v>3.0</v>
      </c>
      <c r="N168">
        <v>0.0</v>
      </c>
      <c r="O168">
        <v>0.0</v>
      </c>
      <c r="P168">
        <v>0.0</v>
      </c>
      <c r="Q168">
        <v>0.0</v>
      </c>
      <c r="R168">
        <v>1.0</v>
      </c>
      <c r="S168">
        <v>1.0</v>
      </c>
      <c r="T168">
        <v>0.0</v>
      </c>
      <c r="U168">
        <v>0.0</v>
      </c>
      <c r="V168">
        <v>0.0</v>
      </c>
      <c r="W168">
        <v>0.0</v>
      </c>
      <c r="X168" t="s">
        <v>2919</v>
      </c>
      <c r="Y168">
        <v>2.0</v>
      </c>
      <c r="Z168">
        <v>0.0</v>
      </c>
      <c r="AA168" t="s">
        <v>2920</v>
      </c>
      <c r="AB168">
        <v>3.0</v>
      </c>
      <c r="AC168">
        <v>0.0</v>
      </c>
      <c r="AD168">
        <v>2.0</v>
      </c>
      <c r="AE168" t="s">
        <v>3488</v>
      </c>
      <c r="AF168" t="s">
        <v>3436</v>
      </c>
      <c r="AG168" t="s">
        <v>2702</v>
      </c>
      <c r="AH168" t="s">
        <v>3429</v>
      </c>
    </row>
    <row r="169" ht="15.75" customHeight="1">
      <c r="A169" t="s">
        <v>2924</v>
      </c>
      <c r="B169" t="s">
        <v>2925</v>
      </c>
      <c r="C169" t="s">
        <v>575</v>
      </c>
      <c r="D169" t="s">
        <v>1679</v>
      </c>
      <c r="E169" t="s">
        <v>2727</v>
      </c>
      <c r="F169" t="s">
        <v>956</v>
      </c>
      <c r="G169" t="s">
        <v>2728</v>
      </c>
      <c r="J169">
        <v>0.0</v>
      </c>
      <c r="K169">
        <v>0.0</v>
      </c>
      <c r="L169">
        <v>0.0</v>
      </c>
      <c r="M169">
        <v>4.0</v>
      </c>
      <c r="N169">
        <v>0.0</v>
      </c>
      <c r="O169">
        <v>0.0</v>
      </c>
      <c r="P169">
        <v>0.0</v>
      </c>
      <c r="Q169">
        <v>0.0</v>
      </c>
      <c r="R169">
        <v>1.0</v>
      </c>
      <c r="S169">
        <v>2.0</v>
      </c>
      <c r="T169">
        <v>0.0</v>
      </c>
      <c r="U169">
        <v>0.0</v>
      </c>
      <c r="V169">
        <v>0.0</v>
      </c>
      <c r="W169">
        <v>0.0</v>
      </c>
      <c r="X169" t="s">
        <v>2919</v>
      </c>
      <c r="Y169">
        <v>2.0</v>
      </c>
      <c r="Z169">
        <v>0.0</v>
      </c>
      <c r="AA169" t="s">
        <v>2920</v>
      </c>
      <c r="AB169">
        <v>3.0</v>
      </c>
      <c r="AC169">
        <v>0.0</v>
      </c>
      <c r="AD169">
        <v>2.0</v>
      </c>
      <c r="AE169" t="s">
        <v>3488</v>
      </c>
      <c r="AF169" t="s">
        <v>3438</v>
      </c>
      <c r="AG169" t="s">
        <v>2702</v>
      </c>
      <c r="AH169" t="s">
        <v>3429</v>
      </c>
    </row>
    <row r="170" ht="15.75" customHeight="1">
      <c r="A170" t="s">
        <v>2926</v>
      </c>
      <c r="B170" t="s">
        <v>2927</v>
      </c>
      <c r="C170" t="s">
        <v>578</v>
      </c>
      <c r="D170" t="s">
        <v>1679</v>
      </c>
      <c r="E170" t="s">
        <v>2727</v>
      </c>
      <c r="F170" t="s">
        <v>956</v>
      </c>
      <c r="G170" t="s">
        <v>2728</v>
      </c>
      <c r="J170">
        <v>0.0</v>
      </c>
      <c r="K170">
        <v>0.0</v>
      </c>
      <c r="L170">
        <v>0.0</v>
      </c>
      <c r="M170">
        <v>6.0</v>
      </c>
      <c r="N170">
        <v>1.0</v>
      </c>
      <c r="O170">
        <v>0.0</v>
      </c>
      <c r="P170">
        <v>0.0</v>
      </c>
      <c r="Q170">
        <v>0.0</v>
      </c>
      <c r="R170">
        <v>1.0</v>
      </c>
      <c r="S170">
        <v>3.0</v>
      </c>
      <c r="T170">
        <v>0.0</v>
      </c>
      <c r="U170">
        <v>0.0</v>
      </c>
      <c r="V170">
        <v>0.0</v>
      </c>
      <c r="W170">
        <v>0.0</v>
      </c>
      <c r="X170" t="s">
        <v>2919</v>
      </c>
      <c r="Y170">
        <v>2.0</v>
      </c>
      <c r="Z170">
        <v>0.0</v>
      </c>
      <c r="AA170" t="s">
        <v>2920</v>
      </c>
      <c r="AB170">
        <v>3.0</v>
      </c>
      <c r="AC170">
        <v>0.0</v>
      </c>
      <c r="AD170">
        <v>2.0</v>
      </c>
      <c r="AE170" t="s">
        <v>3489</v>
      </c>
      <c r="AF170" t="s">
        <v>3438</v>
      </c>
      <c r="AG170" t="s">
        <v>2702</v>
      </c>
      <c r="AH170" t="s">
        <v>3429</v>
      </c>
    </row>
    <row r="171" ht="15.75" customHeight="1">
      <c r="A171" t="s">
        <v>2929</v>
      </c>
      <c r="B171" t="s">
        <v>2930</v>
      </c>
      <c r="C171" t="s">
        <v>581</v>
      </c>
      <c r="D171" t="s">
        <v>1679</v>
      </c>
      <c r="E171" t="s">
        <v>2727</v>
      </c>
      <c r="F171" t="s">
        <v>956</v>
      </c>
      <c r="G171" t="s">
        <v>2728</v>
      </c>
      <c r="J171">
        <v>0.0</v>
      </c>
      <c r="K171">
        <v>0.0</v>
      </c>
      <c r="L171">
        <v>1.0</v>
      </c>
      <c r="M171">
        <v>7.0</v>
      </c>
      <c r="N171">
        <v>1.0</v>
      </c>
      <c r="O171">
        <v>0.0</v>
      </c>
      <c r="P171">
        <v>0.0</v>
      </c>
      <c r="Q171">
        <v>0.0</v>
      </c>
      <c r="R171">
        <v>2.0</v>
      </c>
      <c r="S171">
        <v>4.0</v>
      </c>
      <c r="T171">
        <v>0.0</v>
      </c>
      <c r="U171">
        <v>0.0</v>
      </c>
      <c r="V171">
        <v>0.0</v>
      </c>
      <c r="W171">
        <v>0.0</v>
      </c>
      <c r="X171" t="s">
        <v>2919</v>
      </c>
      <c r="Y171">
        <v>2.0</v>
      </c>
      <c r="Z171">
        <v>0.0</v>
      </c>
      <c r="AA171" t="s">
        <v>2920</v>
      </c>
      <c r="AB171">
        <v>3.0</v>
      </c>
      <c r="AC171">
        <v>0.0</v>
      </c>
      <c r="AD171">
        <v>2.0</v>
      </c>
      <c r="AE171" t="s">
        <v>3489</v>
      </c>
      <c r="AF171" t="s">
        <v>3440</v>
      </c>
      <c r="AG171" t="s">
        <v>2702</v>
      </c>
      <c r="AH171" t="s">
        <v>3429</v>
      </c>
    </row>
    <row r="172" ht="15.75" customHeight="1">
      <c r="A172" t="s">
        <v>2931</v>
      </c>
      <c r="B172" t="s">
        <v>2932</v>
      </c>
      <c r="C172" t="s">
        <v>584</v>
      </c>
      <c r="D172" t="s">
        <v>1679</v>
      </c>
      <c r="E172" t="s">
        <v>2727</v>
      </c>
      <c r="F172" t="s">
        <v>956</v>
      </c>
      <c r="G172" t="s">
        <v>2728</v>
      </c>
      <c r="J172">
        <v>0.0</v>
      </c>
      <c r="K172">
        <v>0.0</v>
      </c>
      <c r="L172">
        <v>1.0</v>
      </c>
      <c r="M172">
        <v>10.0</v>
      </c>
      <c r="N172">
        <v>2.0</v>
      </c>
      <c r="O172">
        <v>0.0</v>
      </c>
      <c r="P172">
        <v>0.0</v>
      </c>
      <c r="Q172">
        <v>0.0</v>
      </c>
      <c r="R172">
        <v>2.0</v>
      </c>
      <c r="S172">
        <v>5.0</v>
      </c>
      <c r="T172">
        <v>0.0</v>
      </c>
      <c r="U172">
        <v>0.0</v>
      </c>
      <c r="V172">
        <v>0.0</v>
      </c>
      <c r="W172">
        <v>0.0</v>
      </c>
      <c r="X172" t="s">
        <v>2919</v>
      </c>
      <c r="Y172">
        <v>2.0</v>
      </c>
      <c r="Z172">
        <v>0.0</v>
      </c>
      <c r="AA172" t="s">
        <v>2920</v>
      </c>
      <c r="AB172">
        <v>3.0</v>
      </c>
      <c r="AC172">
        <v>0.0</v>
      </c>
      <c r="AD172">
        <v>2.0</v>
      </c>
      <c r="AE172" t="s">
        <v>3489</v>
      </c>
      <c r="AF172" t="s">
        <v>3441</v>
      </c>
      <c r="AG172" t="s">
        <v>2702</v>
      </c>
      <c r="AH172" t="s">
        <v>3429</v>
      </c>
    </row>
    <row r="173" ht="15.75" customHeight="1">
      <c r="A173" t="s">
        <v>2933</v>
      </c>
      <c r="B173" t="s">
        <v>2934</v>
      </c>
      <c r="C173" t="s">
        <v>569</v>
      </c>
      <c r="D173" t="s">
        <v>1679</v>
      </c>
      <c r="E173" t="s">
        <v>2754</v>
      </c>
      <c r="F173" t="s">
        <v>956</v>
      </c>
      <c r="G173" t="s">
        <v>2755</v>
      </c>
      <c r="J173">
        <v>0.0</v>
      </c>
      <c r="K173">
        <v>0.0</v>
      </c>
      <c r="L173">
        <v>1.0</v>
      </c>
      <c r="M173">
        <v>1.0</v>
      </c>
      <c r="N173">
        <v>1.0</v>
      </c>
      <c r="O173">
        <v>0.0</v>
      </c>
      <c r="P173">
        <v>0.0</v>
      </c>
      <c r="Q173">
        <v>0.0</v>
      </c>
      <c r="R173">
        <v>0.0</v>
      </c>
      <c r="S173">
        <v>0.0</v>
      </c>
      <c r="T173">
        <v>0.0</v>
      </c>
      <c r="U173">
        <v>0.0</v>
      </c>
      <c r="V173">
        <v>0.0</v>
      </c>
      <c r="W173">
        <v>0.0</v>
      </c>
      <c r="X173" t="s">
        <v>2935</v>
      </c>
      <c r="Y173">
        <v>2.0</v>
      </c>
      <c r="Z173">
        <v>0.0</v>
      </c>
      <c r="AA173" t="s">
        <v>2936</v>
      </c>
      <c r="AB173">
        <v>3.0</v>
      </c>
      <c r="AC173">
        <v>0.0</v>
      </c>
      <c r="AD173">
        <v>3.0</v>
      </c>
      <c r="AE173" t="s">
        <v>3490</v>
      </c>
      <c r="AF173" t="s">
        <v>3443</v>
      </c>
      <c r="AG173" t="s">
        <v>2702</v>
      </c>
      <c r="AH173" t="s">
        <v>3429</v>
      </c>
    </row>
    <row r="174" ht="15.75" customHeight="1">
      <c r="A174" t="s">
        <v>2937</v>
      </c>
      <c r="B174" t="s">
        <v>2938</v>
      </c>
      <c r="C174" t="s">
        <v>572</v>
      </c>
      <c r="D174" t="s">
        <v>1679</v>
      </c>
      <c r="E174" t="s">
        <v>2754</v>
      </c>
      <c r="F174" t="s">
        <v>956</v>
      </c>
      <c r="G174" t="s">
        <v>2755</v>
      </c>
      <c r="J174">
        <v>0.0</v>
      </c>
      <c r="K174">
        <v>0.0</v>
      </c>
      <c r="L174">
        <v>2.0</v>
      </c>
      <c r="M174">
        <v>1.0</v>
      </c>
      <c r="N174">
        <v>1.0</v>
      </c>
      <c r="O174">
        <v>0.0</v>
      </c>
      <c r="P174">
        <v>0.0</v>
      </c>
      <c r="Q174">
        <v>1.0</v>
      </c>
      <c r="R174">
        <v>0.0</v>
      </c>
      <c r="S174">
        <v>0.0</v>
      </c>
      <c r="T174">
        <v>0.0</v>
      </c>
      <c r="U174">
        <v>0.0</v>
      </c>
      <c r="V174">
        <v>0.0</v>
      </c>
      <c r="W174">
        <v>0.0</v>
      </c>
      <c r="X174" t="s">
        <v>2935</v>
      </c>
      <c r="Y174">
        <v>2.0</v>
      </c>
      <c r="Z174">
        <v>0.0</v>
      </c>
      <c r="AA174" t="s">
        <v>2936</v>
      </c>
      <c r="AB174">
        <v>3.0</v>
      </c>
      <c r="AC174">
        <v>0.0</v>
      </c>
      <c r="AD174">
        <v>3.0</v>
      </c>
      <c r="AE174" t="s">
        <v>3491</v>
      </c>
      <c r="AF174" t="s">
        <v>3443</v>
      </c>
      <c r="AG174" t="s">
        <v>2702</v>
      </c>
      <c r="AH174" t="s">
        <v>3429</v>
      </c>
    </row>
    <row r="175" ht="15.75" customHeight="1">
      <c r="A175" t="s">
        <v>2940</v>
      </c>
      <c r="B175" t="s">
        <v>2941</v>
      </c>
      <c r="C175" t="s">
        <v>575</v>
      </c>
      <c r="D175" t="s">
        <v>1679</v>
      </c>
      <c r="E175" t="s">
        <v>2754</v>
      </c>
      <c r="F175" t="s">
        <v>956</v>
      </c>
      <c r="G175" t="s">
        <v>2755</v>
      </c>
      <c r="J175">
        <v>0.0</v>
      </c>
      <c r="K175">
        <v>0.0</v>
      </c>
      <c r="L175">
        <v>2.0</v>
      </c>
      <c r="M175">
        <v>2.0</v>
      </c>
      <c r="N175">
        <v>2.0</v>
      </c>
      <c r="O175">
        <v>0.0</v>
      </c>
      <c r="P175">
        <v>0.0</v>
      </c>
      <c r="Q175">
        <v>1.0</v>
      </c>
      <c r="R175">
        <v>0.0</v>
      </c>
      <c r="S175">
        <v>0.0</v>
      </c>
      <c r="T175">
        <v>0.0</v>
      </c>
      <c r="U175">
        <v>0.0</v>
      </c>
      <c r="V175">
        <v>0.0</v>
      </c>
      <c r="W175">
        <v>0.0</v>
      </c>
      <c r="X175" t="s">
        <v>2935</v>
      </c>
      <c r="Y175">
        <v>2.0</v>
      </c>
      <c r="Z175">
        <v>0.0</v>
      </c>
      <c r="AA175" t="s">
        <v>2936</v>
      </c>
      <c r="AB175">
        <v>3.0</v>
      </c>
      <c r="AC175">
        <v>0.0</v>
      </c>
      <c r="AD175">
        <v>3.0</v>
      </c>
      <c r="AE175" t="s">
        <v>3491</v>
      </c>
      <c r="AF175" t="s">
        <v>3445</v>
      </c>
      <c r="AG175" t="s">
        <v>2702</v>
      </c>
      <c r="AH175" t="s">
        <v>3429</v>
      </c>
    </row>
    <row r="176" ht="15.75" customHeight="1">
      <c r="A176" t="s">
        <v>2942</v>
      </c>
      <c r="B176" t="s">
        <v>2943</v>
      </c>
      <c r="C176" t="s">
        <v>578</v>
      </c>
      <c r="D176" t="s">
        <v>1679</v>
      </c>
      <c r="E176" t="s">
        <v>2754</v>
      </c>
      <c r="F176" t="s">
        <v>956</v>
      </c>
      <c r="G176" t="s">
        <v>2755</v>
      </c>
      <c r="J176">
        <v>0.0</v>
      </c>
      <c r="K176">
        <v>0.0</v>
      </c>
      <c r="L176">
        <v>3.0</v>
      </c>
      <c r="M176">
        <v>3.0</v>
      </c>
      <c r="N176">
        <v>3.0</v>
      </c>
      <c r="O176">
        <v>0.0</v>
      </c>
      <c r="P176">
        <v>0.0</v>
      </c>
      <c r="Q176">
        <v>1.0</v>
      </c>
      <c r="R176">
        <v>0.0</v>
      </c>
      <c r="S176">
        <v>1.0</v>
      </c>
      <c r="T176">
        <v>0.0</v>
      </c>
      <c r="U176">
        <v>0.0</v>
      </c>
      <c r="V176">
        <v>0.0</v>
      </c>
      <c r="W176">
        <v>0.0</v>
      </c>
      <c r="X176" t="s">
        <v>2935</v>
      </c>
      <c r="Y176">
        <v>2.0</v>
      </c>
      <c r="Z176">
        <v>0.0</v>
      </c>
      <c r="AA176" t="s">
        <v>2936</v>
      </c>
      <c r="AB176">
        <v>3.0</v>
      </c>
      <c r="AC176">
        <v>0.0</v>
      </c>
      <c r="AD176">
        <v>3.0</v>
      </c>
      <c r="AE176" t="s">
        <v>3492</v>
      </c>
      <c r="AF176" t="s">
        <v>3445</v>
      </c>
      <c r="AG176" t="s">
        <v>2702</v>
      </c>
      <c r="AH176" t="s">
        <v>3429</v>
      </c>
    </row>
    <row r="177" ht="15.75" customHeight="1">
      <c r="A177" t="s">
        <v>2945</v>
      </c>
      <c r="B177" t="s">
        <v>2946</v>
      </c>
      <c r="C177" t="s">
        <v>581</v>
      </c>
      <c r="D177" t="s">
        <v>1679</v>
      </c>
      <c r="E177" t="s">
        <v>2754</v>
      </c>
      <c r="F177" t="s">
        <v>956</v>
      </c>
      <c r="G177" t="s">
        <v>2755</v>
      </c>
      <c r="J177">
        <v>0.0</v>
      </c>
      <c r="K177">
        <v>0.0</v>
      </c>
      <c r="L177">
        <v>4.0</v>
      </c>
      <c r="M177">
        <v>4.0</v>
      </c>
      <c r="N177">
        <v>4.0</v>
      </c>
      <c r="O177">
        <v>0.0</v>
      </c>
      <c r="P177">
        <v>0.0</v>
      </c>
      <c r="Q177">
        <v>2.0</v>
      </c>
      <c r="R177">
        <v>0.0</v>
      </c>
      <c r="S177">
        <v>1.0</v>
      </c>
      <c r="T177">
        <v>0.0</v>
      </c>
      <c r="U177">
        <v>0.0</v>
      </c>
      <c r="V177">
        <v>0.0</v>
      </c>
      <c r="W177">
        <v>0.0</v>
      </c>
      <c r="X177" t="s">
        <v>2935</v>
      </c>
      <c r="Y177">
        <v>2.0</v>
      </c>
      <c r="Z177">
        <v>0.0</v>
      </c>
      <c r="AA177" t="s">
        <v>2936</v>
      </c>
      <c r="AB177">
        <v>3.0</v>
      </c>
      <c r="AC177">
        <v>0.0</v>
      </c>
      <c r="AD177">
        <v>3.0</v>
      </c>
      <c r="AE177" t="s">
        <v>3492</v>
      </c>
      <c r="AF177" t="s">
        <v>3447</v>
      </c>
      <c r="AG177" t="s">
        <v>2702</v>
      </c>
      <c r="AH177" t="s">
        <v>3429</v>
      </c>
    </row>
    <row r="178" ht="15.75" customHeight="1">
      <c r="A178" t="s">
        <v>2947</v>
      </c>
      <c r="B178" t="s">
        <v>2948</v>
      </c>
      <c r="C178" t="s">
        <v>584</v>
      </c>
      <c r="D178" t="s">
        <v>1679</v>
      </c>
      <c r="E178" t="s">
        <v>2754</v>
      </c>
      <c r="F178" t="s">
        <v>956</v>
      </c>
      <c r="G178" t="s">
        <v>2755</v>
      </c>
      <c r="J178">
        <v>0.0</v>
      </c>
      <c r="K178">
        <v>0.0</v>
      </c>
      <c r="L178">
        <v>6.0</v>
      </c>
      <c r="M178">
        <v>5.0</v>
      </c>
      <c r="N178">
        <v>5.0</v>
      </c>
      <c r="O178">
        <v>0.0</v>
      </c>
      <c r="P178">
        <v>0.0</v>
      </c>
      <c r="Q178">
        <v>2.0</v>
      </c>
      <c r="R178">
        <v>0.0</v>
      </c>
      <c r="S178">
        <v>2.0</v>
      </c>
      <c r="T178">
        <v>0.0</v>
      </c>
      <c r="U178">
        <v>0.0</v>
      </c>
      <c r="V178">
        <v>0.0</v>
      </c>
      <c r="W178">
        <v>0.0</v>
      </c>
      <c r="X178" t="s">
        <v>2935</v>
      </c>
      <c r="Y178">
        <v>2.0</v>
      </c>
      <c r="Z178">
        <v>0.0</v>
      </c>
      <c r="AA178" t="s">
        <v>2936</v>
      </c>
      <c r="AB178">
        <v>3.0</v>
      </c>
      <c r="AC178">
        <v>0.0</v>
      </c>
      <c r="AD178">
        <v>3.0</v>
      </c>
      <c r="AE178" t="s">
        <v>3492</v>
      </c>
      <c r="AF178" t="s">
        <v>3448</v>
      </c>
      <c r="AG178" t="s">
        <v>2702</v>
      </c>
      <c r="AH178" t="s">
        <v>3429</v>
      </c>
    </row>
    <row r="179" ht="15.75" customHeight="1">
      <c r="A179" t="s">
        <v>2949</v>
      </c>
      <c r="B179" t="s">
        <v>2950</v>
      </c>
      <c r="C179" t="s">
        <v>569</v>
      </c>
      <c r="D179" t="s">
        <v>1679</v>
      </c>
      <c r="E179" t="s">
        <v>2779</v>
      </c>
      <c r="F179" t="s">
        <v>2780</v>
      </c>
      <c r="G179" t="s">
        <v>2781</v>
      </c>
      <c r="J179">
        <v>0.0</v>
      </c>
      <c r="K179">
        <v>0.0</v>
      </c>
      <c r="L179">
        <v>1.0</v>
      </c>
      <c r="M179">
        <v>1.0</v>
      </c>
      <c r="N179">
        <v>0.0</v>
      </c>
      <c r="O179">
        <v>0.0</v>
      </c>
      <c r="P179">
        <v>1.0</v>
      </c>
      <c r="Q179">
        <v>0.0</v>
      </c>
      <c r="R179">
        <v>0.0</v>
      </c>
      <c r="S179">
        <v>0.0</v>
      </c>
      <c r="T179">
        <v>0.0</v>
      </c>
      <c r="U179">
        <v>0.0</v>
      </c>
      <c r="V179">
        <v>0.0</v>
      </c>
      <c r="W179">
        <v>0.0</v>
      </c>
      <c r="X179" t="s">
        <v>2951</v>
      </c>
      <c r="Y179">
        <v>2.0</v>
      </c>
      <c r="Z179">
        <v>0.0</v>
      </c>
      <c r="AA179" t="s">
        <v>2952</v>
      </c>
      <c r="AB179">
        <v>3.0</v>
      </c>
      <c r="AC179">
        <v>0.0</v>
      </c>
      <c r="AD179">
        <v>3.0</v>
      </c>
      <c r="AE179" t="s">
        <v>3493</v>
      </c>
      <c r="AF179" t="s">
        <v>3450</v>
      </c>
      <c r="AG179" t="s">
        <v>2702</v>
      </c>
      <c r="AH179" t="s">
        <v>3429</v>
      </c>
    </row>
    <row r="180" ht="15.75" customHeight="1">
      <c r="A180" t="s">
        <v>2953</v>
      </c>
      <c r="B180" t="s">
        <v>2954</v>
      </c>
      <c r="C180" t="s">
        <v>572</v>
      </c>
      <c r="D180" t="s">
        <v>1679</v>
      </c>
      <c r="E180" t="s">
        <v>2779</v>
      </c>
      <c r="F180" t="s">
        <v>2780</v>
      </c>
      <c r="G180" t="s">
        <v>2781</v>
      </c>
      <c r="J180">
        <v>0.0</v>
      </c>
      <c r="K180">
        <v>0.0</v>
      </c>
      <c r="L180">
        <v>1.0</v>
      </c>
      <c r="M180">
        <v>1.0</v>
      </c>
      <c r="N180">
        <v>0.0</v>
      </c>
      <c r="O180">
        <v>0.0</v>
      </c>
      <c r="P180">
        <v>1.0</v>
      </c>
      <c r="Q180">
        <v>0.0</v>
      </c>
      <c r="R180">
        <v>0.0</v>
      </c>
      <c r="S180">
        <v>0.0</v>
      </c>
      <c r="T180">
        <v>1.0</v>
      </c>
      <c r="U180">
        <v>0.0</v>
      </c>
      <c r="V180">
        <v>0.0</v>
      </c>
      <c r="W180">
        <v>0.0</v>
      </c>
      <c r="X180" t="s">
        <v>2951</v>
      </c>
      <c r="Y180">
        <v>2.0</v>
      </c>
      <c r="Z180">
        <v>0.0</v>
      </c>
      <c r="AA180" t="s">
        <v>2952</v>
      </c>
      <c r="AB180">
        <v>3.0</v>
      </c>
      <c r="AC180">
        <v>0.0</v>
      </c>
      <c r="AD180">
        <v>3.0</v>
      </c>
      <c r="AE180" t="s">
        <v>3494</v>
      </c>
      <c r="AF180" t="s">
        <v>3450</v>
      </c>
      <c r="AG180" t="s">
        <v>2702</v>
      </c>
      <c r="AH180" t="s">
        <v>3429</v>
      </c>
    </row>
    <row r="181" ht="15.75" customHeight="1">
      <c r="A181" t="s">
        <v>2956</v>
      </c>
      <c r="B181" t="s">
        <v>2957</v>
      </c>
      <c r="C181" t="s">
        <v>575</v>
      </c>
      <c r="D181" t="s">
        <v>1679</v>
      </c>
      <c r="E181" t="s">
        <v>2779</v>
      </c>
      <c r="F181" t="s">
        <v>2780</v>
      </c>
      <c r="G181" t="s">
        <v>2781</v>
      </c>
      <c r="J181">
        <v>0.0</v>
      </c>
      <c r="K181">
        <v>0.0</v>
      </c>
      <c r="L181">
        <v>1.0</v>
      </c>
      <c r="M181">
        <v>2.0</v>
      </c>
      <c r="N181">
        <v>0.0</v>
      </c>
      <c r="O181">
        <v>0.0</v>
      </c>
      <c r="P181">
        <v>2.0</v>
      </c>
      <c r="Q181">
        <v>0.0</v>
      </c>
      <c r="R181">
        <v>0.0</v>
      </c>
      <c r="S181">
        <v>0.0</v>
      </c>
      <c r="T181">
        <v>1.0</v>
      </c>
      <c r="U181">
        <v>0.0</v>
      </c>
      <c r="V181">
        <v>0.0</v>
      </c>
      <c r="W181">
        <v>0.0</v>
      </c>
      <c r="X181" t="s">
        <v>2951</v>
      </c>
      <c r="Y181">
        <v>2.0</v>
      </c>
      <c r="Z181">
        <v>0.0</v>
      </c>
      <c r="AA181" t="s">
        <v>2952</v>
      </c>
      <c r="AB181">
        <v>3.0</v>
      </c>
      <c r="AC181">
        <v>0.0</v>
      </c>
      <c r="AD181">
        <v>3.0</v>
      </c>
      <c r="AE181" t="s">
        <v>3494</v>
      </c>
      <c r="AF181" t="s">
        <v>3452</v>
      </c>
      <c r="AG181" t="s">
        <v>2702</v>
      </c>
      <c r="AH181" t="s">
        <v>3429</v>
      </c>
    </row>
    <row r="182" ht="15.75" customHeight="1">
      <c r="A182" t="s">
        <v>2958</v>
      </c>
      <c r="B182" t="s">
        <v>2959</v>
      </c>
      <c r="C182" t="s">
        <v>578</v>
      </c>
      <c r="D182" t="s">
        <v>1679</v>
      </c>
      <c r="E182" t="s">
        <v>2779</v>
      </c>
      <c r="F182" t="s">
        <v>2780</v>
      </c>
      <c r="G182" t="s">
        <v>2781</v>
      </c>
      <c r="J182">
        <v>0.0</v>
      </c>
      <c r="K182">
        <v>0.0</v>
      </c>
      <c r="L182">
        <v>2.0</v>
      </c>
      <c r="M182">
        <v>3.0</v>
      </c>
      <c r="N182">
        <v>0.0</v>
      </c>
      <c r="O182">
        <v>0.0</v>
      </c>
      <c r="P182">
        <v>3.0</v>
      </c>
      <c r="Q182">
        <v>0.0</v>
      </c>
      <c r="R182">
        <v>0.0</v>
      </c>
      <c r="S182">
        <v>1.0</v>
      </c>
      <c r="T182">
        <v>1.0</v>
      </c>
      <c r="U182">
        <v>0.0</v>
      </c>
      <c r="V182">
        <v>0.0</v>
      </c>
      <c r="W182">
        <v>0.0</v>
      </c>
      <c r="X182" t="s">
        <v>2951</v>
      </c>
      <c r="Y182">
        <v>2.0</v>
      </c>
      <c r="Z182">
        <v>0.0</v>
      </c>
      <c r="AA182" t="s">
        <v>2952</v>
      </c>
      <c r="AB182">
        <v>3.0</v>
      </c>
      <c r="AC182">
        <v>0.0</v>
      </c>
      <c r="AD182">
        <v>3.0</v>
      </c>
      <c r="AE182" t="s">
        <v>3495</v>
      </c>
      <c r="AF182" t="s">
        <v>3452</v>
      </c>
      <c r="AG182" t="s">
        <v>2702</v>
      </c>
      <c r="AH182" t="s">
        <v>3429</v>
      </c>
    </row>
    <row r="183" ht="15.75" customHeight="1">
      <c r="A183" t="s">
        <v>2961</v>
      </c>
      <c r="B183" t="s">
        <v>2962</v>
      </c>
      <c r="C183" t="s">
        <v>581</v>
      </c>
      <c r="D183" t="s">
        <v>1679</v>
      </c>
      <c r="E183" t="s">
        <v>2779</v>
      </c>
      <c r="F183" t="s">
        <v>2780</v>
      </c>
      <c r="G183" t="s">
        <v>2781</v>
      </c>
      <c r="J183">
        <v>0.0</v>
      </c>
      <c r="K183">
        <v>0.0</v>
      </c>
      <c r="L183">
        <v>2.0</v>
      </c>
      <c r="M183">
        <v>4.0</v>
      </c>
      <c r="N183">
        <v>0.0</v>
      </c>
      <c r="O183">
        <v>0.0</v>
      </c>
      <c r="P183">
        <v>4.0</v>
      </c>
      <c r="Q183">
        <v>0.0</v>
      </c>
      <c r="R183">
        <v>0.0</v>
      </c>
      <c r="S183">
        <v>1.0</v>
      </c>
      <c r="T183">
        <v>2.0</v>
      </c>
      <c r="U183">
        <v>0.0</v>
      </c>
      <c r="V183">
        <v>0.0</v>
      </c>
      <c r="W183">
        <v>0.0</v>
      </c>
      <c r="X183" t="s">
        <v>2951</v>
      </c>
      <c r="Y183">
        <v>2.0</v>
      </c>
      <c r="Z183">
        <v>0.0</v>
      </c>
      <c r="AA183" t="s">
        <v>2952</v>
      </c>
      <c r="AB183">
        <v>3.0</v>
      </c>
      <c r="AC183">
        <v>0.0</v>
      </c>
      <c r="AD183">
        <v>3.0</v>
      </c>
      <c r="AE183" t="s">
        <v>3495</v>
      </c>
      <c r="AF183" t="s">
        <v>3454</v>
      </c>
      <c r="AG183" t="s">
        <v>2702</v>
      </c>
      <c r="AH183" t="s">
        <v>3429</v>
      </c>
    </row>
    <row r="184" ht="15.75" customHeight="1">
      <c r="A184" t="s">
        <v>2963</v>
      </c>
      <c r="B184" t="s">
        <v>2964</v>
      </c>
      <c r="C184" t="s">
        <v>584</v>
      </c>
      <c r="D184" t="s">
        <v>1679</v>
      </c>
      <c r="E184" t="s">
        <v>2779</v>
      </c>
      <c r="F184" t="s">
        <v>2780</v>
      </c>
      <c r="G184" t="s">
        <v>2781</v>
      </c>
      <c r="J184">
        <v>0.0</v>
      </c>
      <c r="K184">
        <v>0.0</v>
      </c>
      <c r="L184">
        <v>4.0</v>
      </c>
      <c r="M184">
        <v>5.0</v>
      </c>
      <c r="N184">
        <v>0.0</v>
      </c>
      <c r="O184">
        <v>0.0</v>
      </c>
      <c r="P184">
        <v>5.0</v>
      </c>
      <c r="Q184">
        <v>0.0</v>
      </c>
      <c r="R184">
        <v>0.0</v>
      </c>
      <c r="S184">
        <v>2.0</v>
      </c>
      <c r="T184">
        <v>2.0</v>
      </c>
      <c r="U184">
        <v>0.0</v>
      </c>
      <c r="V184">
        <v>0.0</v>
      </c>
      <c r="W184">
        <v>0.0</v>
      </c>
      <c r="X184" t="s">
        <v>2951</v>
      </c>
      <c r="Y184">
        <v>2.0</v>
      </c>
      <c r="Z184">
        <v>0.0</v>
      </c>
      <c r="AA184" t="s">
        <v>2952</v>
      </c>
      <c r="AB184">
        <v>3.0</v>
      </c>
      <c r="AC184">
        <v>0.0</v>
      </c>
      <c r="AD184">
        <v>3.0</v>
      </c>
      <c r="AE184" t="s">
        <v>3495</v>
      </c>
      <c r="AF184" t="s">
        <v>3455</v>
      </c>
      <c r="AG184" t="s">
        <v>2702</v>
      </c>
      <c r="AH184" t="s">
        <v>3429</v>
      </c>
    </row>
    <row r="185" ht="15.75" customHeight="1">
      <c r="A185" t="s">
        <v>2965</v>
      </c>
      <c r="B185" t="s">
        <v>2966</v>
      </c>
      <c r="C185" t="s">
        <v>569</v>
      </c>
      <c r="D185" t="s">
        <v>1679</v>
      </c>
      <c r="E185" t="s">
        <v>2805</v>
      </c>
      <c r="F185" t="s">
        <v>956</v>
      </c>
      <c r="G185" t="s">
        <v>2806</v>
      </c>
      <c r="J185">
        <v>0.0</v>
      </c>
      <c r="K185">
        <v>0.0</v>
      </c>
      <c r="L185">
        <v>2.0</v>
      </c>
      <c r="M185">
        <v>0.0</v>
      </c>
      <c r="N185">
        <v>0.0</v>
      </c>
      <c r="O185">
        <v>1.0</v>
      </c>
      <c r="P185">
        <v>0.0</v>
      </c>
      <c r="Q185">
        <v>0.0</v>
      </c>
      <c r="R185">
        <v>0.0</v>
      </c>
      <c r="S185">
        <v>0.0</v>
      </c>
      <c r="T185">
        <v>0.0</v>
      </c>
      <c r="U185">
        <v>0.0</v>
      </c>
      <c r="V185">
        <v>0.0</v>
      </c>
      <c r="W185">
        <v>0.0</v>
      </c>
      <c r="X185" t="s">
        <v>2967</v>
      </c>
      <c r="Y185">
        <v>2.0</v>
      </c>
      <c r="Z185">
        <v>0.0</v>
      </c>
      <c r="AA185" t="s">
        <v>2968</v>
      </c>
      <c r="AB185">
        <v>3.0</v>
      </c>
      <c r="AC185">
        <v>0.0</v>
      </c>
      <c r="AD185">
        <v>1.0</v>
      </c>
      <c r="AE185" t="s">
        <v>3496</v>
      </c>
      <c r="AF185" t="s">
        <v>3457</v>
      </c>
      <c r="AG185" t="s">
        <v>2702</v>
      </c>
      <c r="AH185" t="s">
        <v>3429</v>
      </c>
    </row>
    <row r="186" ht="15.75" customHeight="1">
      <c r="A186" t="s">
        <v>2969</v>
      </c>
      <c r="B186" t="s">
        <v>2970</v>
      </c>
      <c r="C186" t="s">
        <v>572</v>
      </c>
      <c r="D186" t="s">
        <v>1679</v>
      </c>
      <c r="E186" t="s">
        <v>2805</v>
      </c>
      <c r="F186" t="s">
        <v>956</v>
      </c>
      <c r="G186" t="s">
        <v>2806</v>
      </c>
      <c r="J186">
        <v>0.0</v>
      </c>
      <c r="K186">
        <v>0.0</v>
      </c>
      <c r="L186">
        <v>3.0</v>
      </c>
      <c r="M186">
        <v>0.0</v>
      </c>
      <c r="N186">
        <v>0.0</v>
      </c>
      <c r="O186">
        <v>1.0</v>
      </c>
      <c r="P186">
        <v>0.0</v>
      </c>
      <c r="Q186">
        <v>1.0</v>
      </c>
      <c r="R186">
        <v>0.0</v>
      </c>
      <c r="S186">
        <v>0.0</v>
      </c>
      <c r="T186">
        <v>0.0</v>
      </c>
      <c r="U186">
        <v>0.0</v>
      </c>
      <c r="V186">
        <v>0.0</v>
      </c>
      <c r="W186">
        <v>0.0</v>
      </c>
      <c r="X186" t="s">
        <v>2967</v>
      </c>
      <c r="Y186">
        <v>2.0</v>
      </c>
      <c r="Z186">
        <v>0.0</v>
      </c>
      <c r="AA186" t="s">
        <v>2968</v>
      </c>
      <c r="AB186">
        <v>3.0</v>
      </c>
      <c r="AC186">
        <v>0.0</v>
      </c>
      <c r="AD186">
        <v>1.0</v>
      </c>
      <c r="AE186" t="s">
        <v>3497</v>
      </c>
      <c r="AF186" t="s">
        <v>3457</v>
      </c>
      <c r="AG186" t="s">
        <v>2702</v>
      </c>
      <c r="AH186" t="s">
        <v>3429</v>
      </c>
    </row>
    <row r="187" ht="15.75" customHeight="1">
      <c r="A187" t="s">
        <v>2972</v>
      </c>
      <c r="B187" t="s">
        <v>2973</v>
      </c>
      <c r="C187" t="s">
        <v>575</v>
      </c>
      <c r="D187" t="s">
        <v>1679</v>
      </c>
      <c r="E187" t="s">
        <v>2805</v>
      </c>
      <c r="F187" t="s">
        <v>956</v>
      </c>
      <c r="G187" t="s">
        <v>2806</v>
      </c>
      <c r="J187">
        <v>0.0</v>
      </c>
      <c r="K187">
        <v>0.0</v>
      </c>
      <c r="L187">
        <v>3.0</v>
      </c>
      <c r="M187">
        <v>1.0</v>
      </c>
      <c r="N187">
        <v>0.0</v>
      </c>
      <c r="O187">
        <v>2.0</v>
      </c>
      <c r="P187">
        <v>0.0</v>
      </c>
      <c r="Q187">
        <v>1.0</v>
      </c>
      <c r="R187">
        <v>0.0</v>
      </c>
      <c r="S187">
        <v>0.0</v>
      </c>
      <c r="T187">
        <v>0.0</v>
      </c>
      <c r="U187">
        <v>0.0</v>
      </c>
      <c r="V187">
        <v>0.0</v>
      </c>
      <c r="W187">
        <v>0.0</v>
      </c>
      <c r="X187" t="s">
        <v>2967</v>
      </c>
      <c r="Y187">
        <v>2.0</v>
      </c>
      <c r="Z187">
        <v>0.0</v>
      </c>
      <c r="AA187" t="s">
        <v>2968</v>
      </c>
      <c r="AB187">
        <v>3.0</v>
      </c>
      <c r="AC187">
        <v>0.0</v>
      </c>
      <c r="AD187">
        <v>1.0</v>
      </c>
      <c r="AE187" t="s">
        <v>3497</v>
      </c>
      <c r="AF187" t="s">
        <v>3459</v>
      </c>
      <c r="AG187" t="s">
        <v>2702</v>
      </c>
      <c r="AH187" t="s">
        <v>3429</v>
      </c>
    </row>
    <row r="188" ht="15.75" customHeight="1">
      <c r="A188" t="s">
        <v>2974</v>
      </c>
      <c r="B188" t="s">
        <v>2975</v>
      </c>
      <c r="C188" t="s">
        <v>578</v>
      </c>
      <c r="D188" t="s">
        <v>1679</v>
      </c>
      <c r="E188" t="s">
        <v>2805</v>
      </c>
      <c r="F188" t="s">
        <v>956</v>
      </c>
      <c r="G188" t="s">
        <v>2806</v>
      </c>
      <c r="J188">
        <v>0.0</v>
      </c>
      <c r="K188">
        <v>0.0</v>
      </c>
      <c r="L188">
        <v>5.0</v>
      </c>
      <c r="M188">
        <v>1.0</v>
      </c>
      <c r="N188">
        <v>1.0</v>
      </c>
      <c r="O188">
        <v>3.0</v>
      </c>
      <c r="P188">
        <v>0.0</v>
      </c>
      <c r="Q188">
        <v>1.0</v>
      </c>
      <c r="R188">
        <v>0.0</v>
      </c>
      <c r="S188">
        <v>0.0</v>
      </c>
      <c r="T188">
        <v>0.0</v>
      </c>
      <c r="U188">
        <v>0.0</v>
      </c>
      <c r="V188">
        <v>0.0</v>
      </c>
      <c r="W188">
        <v>0.0</v>
      </c>
      <c r="X188" t="s">
        <v>2967</v>
      </c>
      <c r="Y188">
        <v>2.0</v>
      </c>
      <c r="Z188">
        <v>0.0</v>
      </c>
      <c r="AA188" t="s">
        <v>2968</v>
      </c>
      <c r="AB188">
        <v>3.0</v>
      </c>
      <c r="AC188">
        <v>0.0</v>
      </c>
      <c r="AD188">
        <v>1.0</v>
      </c>
      <c r="AE188" t="s">
        <v>3498</v>
      </c>
      <c r="AF188" t="s">
        <v>3461</v>
      </c>
      <c r="AG188" t="s">
        <v>2702</v>
      </c>
      <c r="AH188" t="s">
        <v>3429</v>
      </c>
    </row>
    <row r="189" ht="15.75" customHeight="1">
      <c r="A189" t="s">
        <v>2977</v>
      </c>
      <c r="B189" t="s">
        <v>2978</v>
      </c>
      <c r="C189" t="s">
        <v>581</v>
      </c>
      <c r="D189" t="s">
        <v>1679</v>
      </c>
      <c r="E189" t="s">
        <v>2805</v>
      </c>
      <c r="F189" t="s">
        <v>956</v>
      </c>
      <c r="G189" t="s">
        <v>2806</v>
      </c>
      <c r="J189">
        <v>0.0</v>
      </c>
      <c r="K189">
        <v>0.0</v>
      </c>
      <c r="L189">
        <v>6.0</v>
      </c>
      <c r="M189">
        <v>2.0</v>
      </c>
      <c r="N189">
        <v>1.0</v>
      </c>
      <c r="O189">
        <v>4.0</v>
      </c>
      <c r="P189">
        <v>0.0</v>
      </c>
      <c r="Q189">
        <v>2.0</v>
      </c>
      <c r="R189">
        <v>0.0</v>
      </c>
      <c r="S189">
        <v>0.0</v>
      </c>
      <c r="T189">
        <v>0.0</v>
      </c>
      <c r="U189">
        <v>0.0</v>
      </c>
      <c r="V189">
        <v>0.0</v>
      </c>
      <c r="W189">
        <v>0.0</v>
      </c>
      <c r="X189" t="s">
        <v>2967</v>
      </c>
      <c r="Y189">
        <v>2.0</v>
      </c>
      <c r="Z189">
        <v>0.0</v>
      </c>
      <c r="AA189" t="s">
        <v>2968</v>
      </c>
      <c r="AB189">
        <v>3.0</v>
      </c>
      <c r="AC189">
        <v>0.0</v>
      </c>
      <c r="AD189">
        <v>1.0</v>
      </c>
      <c r="AE189" t="s">
        <v>3498</v>
      </c>
      <c r="AF189" t="s">
        <v>3462</v>
      </c>
      <c r="AG189" t="s">
        <v>2702</v>
      </c>
      <c r="AH189" t="s">
        <v>3429</v>
      </c>
    </row>
    <row r="190" ht="15.75" customHeight="1">
      <c r="A190" t="s">
        <v>2979</v>
      </c>
      <c r="B190" t="s">
        <v>2980</v>
      </c>
      <c r="C190" t="s">
        <v>584</v>
      </c>
      <c r="D190" t="s">
        <v>1679</v>
      </c>
      <c r="E190" t="s">
        <v>2805</v>
      </c>
      <c r="F190" t="s">
        <v>956</v>
      </c>
      <c r="G190" t="s">
        <v>2806</v>
      </c>
      <c r="J190">
        <v>0.0</v>
      </c>
      <c r="K190">
        <v>0.0</v>
      </c>
      <c r="L190">
        <v>8.0</v>
      </c>
      <c r="M190">
        <v>3.0</v>
      </c>
      <c r="N190">
        <v>2.0</v>
      </c>
      <c r="O190">
        <v>5.0</v>
      </c>
      <c r="P190">
        <v>0.0</v>
      </c>
      <c r="Q190">
        <v>2.0</v>
      </c>
      <c r="R190">
        <v>0.0</v>
      </c>
      <c r="S190">
        <v>0.0</v>
      </c>
      <c r="T190">
        <v>0.0</v>
      </c>
      <c r="U190">
        <v>0.0</v>
      </c>
      <c r="V190">
        <v>0.0</v>
      </c>
      <c r="W190">
        <v>0.0</v>
      </c>
      <c r="X190" t="s">
        <v>2967</v>
      </c>
      <c r="Y190">
        <v>2.0</v>
      </c>
      <c r="Z190">
        <v>0.0</v>
      </c>
      <c r="AA190" t="s">
        <v>2968</v>
      </c>
      <c r="AB190">
        <v>3.0</v>
      </c>
      <c r="AC190">
        <v>0.0</v>
      </c>
      <c r="AD190">
        <v>1.0</v>
      </c>
      <c r="AE190" t="s">
        <v>3498</v>
      </c>
      <c r="AF190" t="s">
        <v>3463</v>
      </c>
      <c r="AG190" t="s">
        <v>2702</v>
      </c>
      <c r="AH190" t="s">
        <v>3429</v>
      </c>
    </row>
    <row r="191" ht="15.75" customHeight="1">
      <c r="A191" t="s">
        <v>2981</v>
      </c>
      <c r="B191" t="s">
        <v>2982</v>
      </c>
      <c r="C191" t="s">
        <v>569</v>
      </c>
      <c r="D191" t="s">
        <v>1679</v>
      </c>
      <c r="E191" t="s">
        <v>2831</v>
      </c>
      <c r="F191" t="s">
        <v>2780</v>
      </c>
      <c r="G191" t="s">
        <v>2832</v>
      </c>
      <c r="J191">
        <v>0.0</v>
      </c>
      <c r="K191">
        <v>0.0</v>
      </c>
      <c r="L191">
        <v>0.0</v>
      </c>
      <c r="M191">
        <v>2.0</v>
      </c>
      <c r="N191">
        <v>0.0</v>
      </c>
      <c r="O191">
        <v>0.0</v>
      </c>
      <c r="P191">
        <v>0.0</v>
      </c>
      <c r="Q191">
        <v>0.0</v>
      </c>
      <c r="R191">
        <v>1.0</v>
      </c>
      <c r="S191">
        <v>0.0</v>
      </c>
      <c r="T191">
        <v>0.0</v>
      </c>
      <c r="U191">
        <v>0.0</v>
      </c>
      <c r="V191">
        <v>0.0</v>
      </c>
      <c r="W191">
        <v>0.0</v>
      </c>
      <c r="X191" t="s">
        <v>2983</v>
      </c>
      <c r="Y191">
        <v>2.0</v>
      </c>
      <c r="Z191">
        <v>0.0</v>
      </c>
      <c r="AA191" t="s">
        <v>2984</v>
      </c>
      <c r="AB191">
        <v>3.0</v>
      </c>
      <c r="AC191">
        <v>0.0</v>
      </c>
      <c r="AD191">
        <v>2.0</v>
      </c>
      <c r="AE191" t="s">
        <v>3499</v>
      </c>
      <c r="AF191" t="s">
        <v>3465</v>
      </c>
      <c r="AG191" t="s">
        <v>2702</v>
      </c>
      <c r="AH191" t="s">
        <v>3429</v>
      </c>
    </row>
    <row r="192" ht="15.75" customHeight="1">
      <c r="A192" t="s">
        <v>2985</v>
      </c>
      <c r="B192" t="s">
        <v>2986</v>
      </c>
      <c r="C192" t="s">
        <v>572</v>
      </c>
      <c r="D192" t="s">
        <v>1679</v>
      </c>
      <c r="E192" t="s">
        <v>2831</v>
      </c>
      <c r="F192" t="s">
        <v>2780</v>
      </c>
      <c r="G192" t="s">
        <v>2832</v>
      </c>
      <c r="J192">
        <v>0.0</v>
      </c>
      <c r="K192">
        <v>0.0</v>
      </c>
      <c r="L192">
        <v>0.0</v>
      </c>
      <c r="M192">
        <v>2.0</v>
      </c>
      <c r="N192">
        <v>0.0</v>
      </c>
      <c r="O192">
        <v>0.0</v>
      </c>
      <c r="P192">
        <v>0.0</v>
      </c>
      <c r="Q192">
        <v>0.0</v>
      </c>
      <c r="R192">
        <v>1.0</v>
      </c>
      <c r="S192">
        <v>0.0</v>
      </c>
      <c r="T192">
        <v>1.0</v>
      </c>
      <c r="U192">
        <v>0.0</v>
      </c>
      <c r="V192">
        <v>0.0</v>
      </c>
      <c r="W192">
        <v>0.0</v>
      </c>
      <c r="X192" t="s">
        <v>2983</v>
      </c>
      <c r="Y192">
        <v>2.0</v>
      </c>
      <c r="Z192">
        <v>0.0</v>
      </c>
      <c r="AA192" t="s">
        <v>2984</v>
      </c>
      <c r="AB192">
        <v>3.0</v>
      </c>
      <c r="AC192">
        <v>0.0</v>
      </c>
      <c r="AD192">
        <v>2.0</v>
      </c>
      <c r="AE192" t="s">
        <v>3500</v>
      </c>
      <c r="AF192" t="s">
        <v>3465</v>
      </c>
      <c r="AG192" t="s">
        <v>2702</v>
      </c>
      <c r="AH192" t="s">
        <v>3429</v>
      </c>
    </row>
    <row r="193" ht="15.75" customHeight="1">
      <c r="A193" t="s">
        <v>2988</v>
      </c>
      <c r="B193" t="s">
        <v>2989</v>
      </c>
      <c r="C193" t="s">
        <v>575</v>
      </c>
      <c r="D193" t="s">
        <v>1679</v>
      </c>
      <c r="E193" t="s">
        <v>2831</v>
      </c>
      <c r="F193" t="s">
        <v>2780</v>
      </c>
      <c r="G193" t="s">
        <v>2832</v>
      </c>
      <c r="J193">
        <v>0.0</v>
      </c>
      <c r="K193">
        <v>0.0</v>
      </c>
      <c r="L193">
        <v>0.0</v>
      </c>
      <c r="M193">
        <v>3.0</v>
      </c>
      <c r="N193">
        <v>0.0</v>
      </c>
      <c r="O193">
        <v>0.0</v>
      </c>
      <c r="P193">
        <v>0.0</v>
      </c>
      <c r="Q193">
        <v>0.0</v>
      </c>
      <c r="R193">
        <v>2.0</v>
      </c>
      <c r="S193">
        <v>0.0</v>
      </c>
      <c r="T193">
        <v>1.0</v>
      </c>
      <c r="U193">
        <v>0.0</v>
      </c>
      <c r="V193">
        <v>0.0</v>
      </c>
      <c r="W193">
        <v>0.0</v>
      </c>
      <c r="X193" t="s">
        <v>2983</v>
      </c>
      <c r="Y193">
        <v>2.0</v>
      </c>
      <c r="Z193">
        <v>0.0</v>
      </c>
      <c r="AA193" t="s">
        <v>2984</v>
      </c>
      <c r="AB193">
        <v>3.0</v>
      </c>
      <c r="AC193">
        <v>0.0</v>
      </c>
      <c r="AD193">
        <v>2.0</v>
      </c>
      <c r="AE193" t="s">
        <v>3500</v>
      </c>
      <c r="AF193" t="s">
        <v>3467</v>
      </c>
      <c r="AG193" t="s">
        <v>2702</v>
      </c>
      <c r="AH193" t="s">
        <v>3429</v>
      </c>
    </row>
    <row r="194" ht="15.75" customHeight="1">
      <c r="A194" t="s">
        <v>2990</v>
      </c>
      <c r="B194" t="s">
        <v>2991</v>
      </c>
      <c r="C194" t="s">
        <v>578</v>
      </c>
      <c r="D194" t="s">
        <v>1679</v>
      </c>
      <c r="E194" t="s">
        <v>2831</v>
      </c>
      <c r="F194" t="s">
        <v>2780</v>
      </c>
      <c r="G194" t="s">
        <v>2832</v>
      </c>
      <c r="J194">
        <v>0.0</v>
      </c>
      <c r="K194">
        <v>0.0</v>
      </c>
      <c r="L194">
        <v>1.0</v>
      </c>
      <c r="M194">
        <v>4.0</v>
      </c>
      <c r="N194">
        <v>0.0</v>
      </c>
      <c r="O194">
        <v>0.0</v>
      </c>
      <c r="P194">
        <v>0.0</v>
      </c>
      <c r="Q194">
        <v>0.0</v>
      </c>
      <c r="R194">
        <v>3.0</v>
      </c>
      <c r="S194">
        <v>1.0</v>
      </c>
      <c r="T194">
        <v>1.0</v>
      </c>
      <c r="U194">
        <v>0.0</v>
      </c>
      <c r="V194">
        <v>0.0</v>
      </c>
      <c r="W194">
        <v>0.0</v>
      </c>
      <c r="X194" t="s">
        <v>2983</v>
      </c>
      <c r="Y194">
        <v>2.0</v>
      </c>
      <c r="Z194">
        <v>0.0</v>
      </c>
      <c r="AA194" t="s">
        <v>2984</v>
      </c>
      <c r="AB194">
        <v>3.0</v>
      </c>
      <c r="AC194">
        <v>0.0</v>
      </c>
      <c r="AD194">
        <v>2.0</v>
      </c>
      <c r="AE194" t="s">
        <v>3501</v>
      </c>
      <c r="AF194" t="s">
        <v>3467</v>
      </c>
      <c r="AG194" t="s">
        <v>2702</v>
      </c>
      <c r="AH194" t="s">
        <v>3429</v>
      </c>
    </row>
    <row r="195" ht="15.75" customHeight="1">
      <c r="A195" t="s">
        <v>2992</v>
      </c>
      <c r="B195" t="s">
        <v>2993</v>
      </c>
      <c r="C195" t="s">
        <v>581</v>
      </c>
      <c r="D195" t="s">
        <v>1679</v>
      </c>
      <c r="E195" t="s">
        <v>2831</v>
      </c>
      <c r="F195" t="s">
        <v>2780</v>
      </c>
      <c r="G195" t="s">
        <v>2832</v>
      </c>
      <c r="J195">
        <v>0.0</v>
      </c>
      <c r="K195">
        <v>0.0</v>
      </c>
      <c r="L195">
        <v>1.0</v>
      </c>
      <c r="M195">
        <v>5.0</v>
      </c>
      <c r="N195">
        <v>0.0</v>
      </c>
      <c r="O195">
        <v>0.0</v>
      </c>
      <c r="P195">
        <v>0.0</v>
      </c>
      <c r="Q195">
        <v>0.0</v>
      </c>
      <c r="R195">
        <v>4.0</v>
      </c>
      <c r="S195">
        <v>1.0</v>
      </c>
      <c r="T195">
        <v>2.0</v>
      </c>
      <c r="U195">
        <v>0.0</v>
      </c>
      <c r="V195">
        <v>0.0</v>
      </c>
      <c r="W195">
        <v>0.0</v>
      </c>
      <c r="X195" t="s">
        <v>2983</v>
      </c>
      <c r="Y195">
        <v>2.0</v>
      </c>
      <c r="Z195">
        <v>0.0</v>
      </c>
      <c r="AA195" t="s">
        <v>2984</v>
      </c>
      <c r="AB195">
        <v>3.0</v>
      </c>
      <c r="AC195">
        <v>0.0</v>
      </c>
      <c r="AD195">
        <v>2.0</v>
      </c>
      <c r="AE195" t="s">
        <v>3501</v>
      </c>
      <c r="AF195" t="s">
        <v>3469</v>
      </c>
      <c r="AG195" t="s">
        <v>2702</v>
      </c>
      <c r="AH195" t="s">
        <v>3429</v>
      </c>
    </row>
    <row r="196" ht="15.75" customHeight="1">
      <c r="A196" t="s">
        <v>2994</v>
      </c>
      <c r="B196" t="s">
        <v>2995</v>
      </c>
      <c r="C196" t="s">
        <v>584</v>
      </c>
      <c r="D196" t="s">
        <v>1679</v>
      </c>
      <c r="E196" t="s">
        <v>2831</v>
      </c>
      <c r="F196" t="s">
        <v>2780</v>
      </c>
      <c r="G196" t="s">
        <v>2832</v>
      </c>
      <c r="J196">
        <v>0.0</v>
      </c>
      <c r="K196">
        <v>0.0</v>
      </c>
      <c r="L196">
        <v>2.0</v>
      </c>
      <c r="M196">
        <v>7.0</v>
      </c>
      <c r="N196">
        <v>0.0</v>
      </c>
      <c r="O196">
        <v>0.0</v>
      </c>
      <c r="P196">
        <v>0.0</v>
      </c>
      <c r="Q196">
        <v>0.0</v>
      </c>
      <c r="R196">
        <v>5.0</v>
      </c>
      <c r="S196">
        <v>2.0</v>
      </c>
      <c r="T196">
        <v>2.0</v>
      </c>
      <c r="U196">
        <v>0.0</v>
      </c>
      <c r="V196">
        <v>0.0</v>
      </c>
      <c r="W196">
        <v>0.0</v>
      </c>
      <c r="X196" t="s">
        <v>2983</v>
      </c>
      <c r="Y196">
        <v>2.0</v>
      </c>
      <c r="Z196">
        <v>0.0</v>
      </c>
      <c r="AA196" t="s">
        <v>2984</v>
      </c>
      <c r="AB196">
        <v>3.0</v>
      </c>
      <c r="AC196">
        <v>0.0</v>
      </c>
      <c r="AD196">
        <v>2.0</v>
      </c>
      <c r="AE196" t="s">
        <v>3501</v>
      </c>
      <c r="AF196" t="s">
        <v>3470</v>
      </c>
      <c r="AG196" t="s">
        <v>2702</v>
      </c>
      <c r="AH196" t="s">
        <v>3429</v>
      </c>
    </row>
    <row r="197" ht="15.75" customHeight="1">
      <c r="A197" t="s">
        <v>2996</v>
      </c>
      <c r="B197" t="s">
        <v>2997</v>
      </c>
      <c r="C197" t="s">
        <v>569</v>
      </c>
      <c r="D197" t="s">
        <v>1679</v>
      </c>
      <c r="E197" t="s">
        <v>2855</v>
      </c>
      <c r="F197" t="s">
        <v>956</v>
      </c>
      <c r="G197" t="s">
        <v>2856</v>
      </c>
      <c r="J197">
        <v>0.0</v>
      </c>
      <c r="K197">
        <v>0.0</v>
      </c>
      <c r="L197">
        <v>1.0</v>
      </c>
      <c r="M197">
        <v>1.0</v>
      </c>
      <c r="N197">
        <v>1.0</v>
      </c>
      <c r="O197">
        <v>0.0</v>
      </c>
      <c r="P197">
        <v>0.0</v>
      </c>
      <c r="Q197">
        <v>0.0</v>
      </c>
      <c r="R197">
        <v>0.0</v>
      </c>
      <c r="S197">
        <v>0.0</v>
      </c>
      <c r="T197">
        <v>0.0</v>
      </c>
      <c r="U197">
        <v>0.0</v>
      </c>
      <c r="V197">
        <v>0.0</v>
      </c>
      <c r="W197">
        <v>0.0</v>
      </c>
      <c r="X197" t="s">
        <v>2998</v>
      </c>
      <c r="Y197">
        <v>2.0</v>
      </c>
      <c r="Z197">
        <v>0.0</v>
      </c>
      <c r="AA197" t="s">
        <v>2999</v>
      </c>
      <c r="AB197">
        <v>3.0</v>
      </c>
      <c r="AC197">
        <v>0.0</v>
      </c>
      <c r="AD197">
        <v>1.0</v>
      </c>
      <c r="AE197" t="s">
        <v>3502</v>
      </c>
      <c r="AF197" t="s">
        <v>3471</v>
      </c>
      <c r="AG197" t="s">
        <v>2702</v>
      </c>
      <c r="AH197" t="s">
        <v>3429</v>
      </c>
    </row>
    <row r="198" ht="15.75" customHeight="1">
      <c r="A198" t="s">
        <v>3000</v>
      </c>
      <c r="B198" t="s">
        <v>3001</v>
      </c>
      <c r="C198" t="s">
        <v>572</v>
      </c>
      <c r="D198" t="s">
        <v>1679</v>
      </c>
      <c r="E198" t="s">
        <v>2855</v>
      </c>
      <c r="F198" t="s">
        <v>956</v>
      </c>
      <c r="G198" t="s">
        <v>2856</v>
      </c>
      <c r="J198">
        <v>0.0</v>
      </c>
      <c r="K198">
        <v>0.0</v>
      </c>
      <c r="L198">
        <v>1.0</v>
      </c>
      <c r="M198">
        <v>2.0</v>
      </c>
      <c r="N198">
        <v>1.0</v>
      </c>
      <c r="O198">
        <v>0.0</v>
      </c>
      <c r="P198">
        <v>0.0</v>
      </c>
      <c r="Q198">
        <v>0.0</v>
      </c>
      <c r="R198">
        <v>0.0</v>
      </c>
      <c r="S198">
        <v>1.0</v>
      </c>
      <c r="T198">
        <v>0.0</v>
      </c>
      <c r="U198">
        <v>0.0</v>
      </c>
      <c r="V198">
        <v>0.0</v>
      </c>
      <c r="W198">
        <v>0.0</v>
      </c>
      <c r="X198" t="s">
        <v>2998</v>
      </c>
      <c r="Y198">
        <v>2.0</v>
      </c>
      <c r="Z198">
        <v>0.0</v>
      </c>
      <c r="AA198" t="s">
        <v>2999</v>
      </c>
      <c r="AB198">
        <v>3.0</v>
      </c>
      <c r="AC198">
        <v>0.0</v>
      </c>
      <c r="AD198">
        <v>1.0</v>
      </c>
      <c r="AE198" t="s">
        <v>3503</v>
      </c>
      <c r="AF198" t="s">
        <v>3471</v>
      </c>
      <c r="AG198" t="s">
        <v>2702</v>
      </c>
      <c r="AH198" t="s">
        <v>3429</v>
      </c>
    </row>
    <row r="199" ht="15.75" customHeight="1">
      <c r="A199" t="s">
        <v>3002</v>
      </c>
      <c r="B199" t="s">
        <v>3003</v>
      </c>
      <c r="C199" t="s">
        <v>575</v>
      </c>
      <c r="D199" t="s">
        <v>1679</v>
      </c>
      <c r="E199" t="s">
        <v>2855</v>
      </c>
      <c r="F199" t="s">
        <v>956</v>
      </c>
      <c r="G199" t="s">
        <v>2856</v>
      </c>
      <c r="J199">
        <v>0.0</v>
      </c>
      <c r="K199">
        <v>0.0</v>
      </c>
      <c r="L199">
        <v>2.0</v>
      </c>
      <c r="M199">
        <v>2.0</v>
      </c>
      <c r="N199">
        <v>2.0</v>
      </c>
      <c r="O199">
        <v>0.0</v>
      </c>
      <c r="P199">
        <v>0.0</v>
      </c>
      <c r="Q199">
        <v>0.0</v>
      </c>
      <c r="R199">
        <v>0.0</v>
      </c>
      <c r="S199">
        <v>1.0</v>
      </c>
      <c r="T199">
        <v>0.0</v>
      </c>
      <c r="U199">
        <v>0.0</v>
      </c>
      <c r="V199">
        <v>0.0</v>
      </c>
      <c r="W199">
        <v>0.0</v>
      </c>
      <c r="X199" t="s">
        <v>2998</v>
      </c>
      <c r="Y199">
        <v>2.0</v>
      </c>
      <c r="Z199">
        <v>0.0</v>
      </c>
      <c r="AA199" t="s">
        <v>2999</v>
      </c>
      <c r="AB199">
        <v>3.0</v>
      </c>
      <c r="AC199">
        <v>0.0</v>
      </c>
      <c r="AD199">
        <v>1.0</v>
      </c>
      <c r="AE199" t="s">
        <v>3503</v>
      </c>
      <c r="AF199" t="s">
        <v>3473</v>
      </c>
      <c r="AG199" t="s">
        <v>2702</v>
      </c>
      <c r="AH199" t="s">
        <v>3429</v>
      </c>
    </row>
    <row r="200" ht="15.75" customHeight="1">
      <c r="A200" t="s">
        <v>3004</v>
      </c>
      <c r="B200" t="s">
        <v>3005</v>
      </c>
      <c r="C200" t="s">
        <v>578</v>
      </c>
      <c r="D200" t="s">
        <v>1679</v>
      </c>
      <c r="E200" t="s">
        <v>2855</v>
      </c>
      <c r="F200" t="s">
        <v>956</v>
      </c>
      <c r="G200" t="s">
        <v>2856</v>
      </c>
      <c r="J200">
        <v>0.0</v>
      </c>
      <c r="K200">
        <v>0.0</v>
      </c>
      <c r="L200">
        <v>2.0</v>
      </c>
      <c r="M200">
        <v>4.0</v>
      </c>
      <c r="N200">
        <v>3.0</v>
      </c>
      <c r="O200">
        <v>0.0</v>
      </c>
      <c r="P200">
        <v>0.0</v>
      </c>
      <c r="Q200">
        <v>1.0</v>
      </c>
      <c r="R200">
        <v>0.0</v>
      </c>
      <c r="S200">
        <v>1.0</v>
      </c>
      <c r="T200">
        <v>0.0</v>
      </c>
      <c r="U200">
        <v>0.0</v>
      </c>
      <c r="V200">
        <v>0.0</v>
      </c>
      <c r="W200">
        <v>0.0</v>
      </c>
      <c r="X200" t="s">
        <v>2998</v>
      </c>
      <c r="Y200">
        <v>2.0</v>
      </c>
      <c r="Z200">
        <v>0.0</v>
      </c>
      <c r="AA200" t="s">
        <v>2999</v>
      </c>
      <c r="AB200">
        <v>3.0</v>
      </c>
      <c r="AC200">
        <v>0.0</v>
      </c>
      <c r="AD200">
        <v>1.0</v>
      </c>
      <c r="AE200" t="s">
        <v>3504</v>
      </c>
      <c r="AF200" t="s">
        <v>3473</v>
      </c>
      <c r="AG200" t="s">
        <v>2702</v>
      </c>
      <c r="AH200" t="s">
        <v>3429</v>
      </c>
    </row>
    <row r="201" ht="15.75" customHeight="1">
      <c r="A201" t="s">
        <v>3007</v>
      </c>
      <c r="B201" t="s">
        <v>3008</v>
      </c>
      <c r="C201" t="s">
        <v>581</v>
      </c>
      <c r="D201" t="s">
        <v>1679</v>
      </c>
      <c r="E201" t="s">
        <v>2855</v>
      </c>
      <c r="F201" t="s">
        <v>956</v>
      </c>
      <c r="G201" t="s">
        <v>2856</v>
      </c>
      <c r="J201">
        <v>0.0</v>
      </c>
      <c r="K201">
        <v>0.0</v>
      </c>
      <c r="L201">
        <v>3.0</v>
      </c>
      <c r="M201">
        <v>5.0</v>
      </c>
      <c r="N201">
        <v>4.0</v>
      </c>
      <c r="O201">
        <v>0.0</v>
      </c>
      <c r="P201">
        <v>0.0</v>
      </c>
      <c r="Q201">
        <v>1.0</v>
      </c>
      <c r="R201">
        <v>0.0</v>
      </c>
      <c r="S201">
        <v>2.0</v>
      </c>
      <c r="T201">
        <v>0.0</v>
      </c>
      <c r="U201">
        <v>0.0</v>
      </c>
      <c r="V201">
        <v>0.0</v>
      </c>
      <c r="W201">
        <v>0.0</v>
      </c>
      <c r="X201" t="s">
        <v>2998</v>
      </c>
      <c r="Y201">
        <v>2.0</v>
      </c>
      <c r="Z201">
        <v>0.0</v>
      </c>
      <c r="AA201" t="s">
        <v>2999</v>
      </c>
      <c r="AB201">
        <v>3.0</v>
      </c>
      <c r="AC201">
        <v>0.0</v>
      </c>
      <c r="AD201">
        <v>1.0</v>
      </c>
      <c r="AE201" t="s">
        <v>3504</v>
      </c>
      <c r="AF201" t="s">
        <v>3475</v>
      </c>
      <c r="AG201" t="s">
        <v>2702</v>
      </c>
      <c r="AH201" t="s">
        <v>3429</v>
      </c>
    </row>
    <row r="202" ht="15.75" customHeight="1">
      <c r="A202" t="s">
        <v>3009</v>
      </c>
      <c r="B202" t="s">
        <v>3010</v>
      </c>
      <c r="C202" t="s">
        <v>584</v>
      </c>
      <c r="D202" t="s">
        <v>1679</v>
      </c>
      <c r="E202" t="s">
        <v>2855</v>
      </c>
      <c r="F202" t="s">
        <v>956</v>
      </c>
      <c r="G202" t="s">
        <v>2856</v>
      </c>
      <c r="J202">
        <v>0.0</v>
      </c>
      <c r="K202">
        <v>0.0</v>
      </c>
      <c r="L202">
        <v>4.0</v>
      </c>
      <c r="M202">
        <v>7.0</v>
      </c>
      <c r="N202">
        <v>5.0</v>
      </c>
      <c r="O202">
        <v>0.0</v>
      </c>
      <c r="P202">
        <v>0.0</v>
      </c>
      <c r="Q202">
        <v>2.0</v>
      </c>
      <c r="R202">
        <v>0.0</v>
      </c>
      <c r="S202">
        <v>2.0</v>
      </c>
      <c r="T202">
        <v>0.0</v>
      </c>
      <c r="U202">
        <v>0.0</v>
      </c>
      <c r="V202">
        <v>0.0</v>
      </c>
      <c r="W202">
        <v>0.0</v>
      </c>
      <c r="X202" t="s">
        <v>2998</v>
      </c>
      <c r="Y202">
        <v>2.0</v>
      </c>
      <c r="Z202">
        <v>0.0</v>
      </c>
      <c r="AA202" t="s">
        <v>2999</v>
      </c>
      <c r="AB202">
        <v>3.0</v>
      </c>
      <c r="AC202">
        <v>0.0</v>
      </c>
      <c r="AD202">
        <v>1.0</v>
      </c>
      <c r="AE202" t="s">
        <v>3504</v>
      </c>
      <c r="AF202" t="s">
        <v>3476</v>
      </c>
      <c r="AG202" t="s">
        <v>2702</v>
      </c>
      <c r="AH202" t="s">
        <v>3429</v>
      </c>
    </row>
    <row r="203" ht="15.75" customHeight="1">
      <c r="A203" t="s">
        <v>3011</v>
      </c>
      <c r="B203" t="s">
        <v>3012</v>
      </c>
      <c r="C203" t="s">
        <v>569</v>
      </c>
      <c r="D203" t="s">
        <v>1679</v>
      </c>
      <c r="E203" t="s">
        <v>2878</v>
      </c>
      <c r="F203" t="s">
        <v>956</v>
      </c>
      <c r="G203" t="s">
        <v>2879</v>
      </c>
      <c r="J203">
        <v>0.0</v>
      </c>
      <c r="K203">
        <v>0.0</v>
      </c>
      <c r="L203">
        <v>0.0</v>
      </c>
      <c r="M203">
        <v>2.0</v>
      </c>
      <c r="N203">
        <v>0.0</v>
      </c>
      <c r="O203">
        <v>0.0</v>
      </c>
      <c r="P203">
        <v>0.0</v>
      </c>
      <c r="Q203">
        <v>0.0</v>
      </c>
      <c r="R203">
        <v>0.0</v>
      </c>
      <c r="S203">
        <v>1.0</v>
      </c>
      <c r="T203">
        <v>0.0</v>
      </c>
      <c r="U203">
        <v>0.0</v>
      </c>
      <c r="V203">
        <v>0.0</v>
      </c>
      <c r="W203">
        <v>0.0</v>
      </c>
      <c r="X203" t="s">
        <v>3013</v>
      </c>
      <c r="Y203">
        <v>2.0</v>
      </c>
      <c r="Z203">
        <v>0.0</v>
      </c>
      <c r="AA203" t="s">
        <v>3014</v>
      </c>
      <c r="AB203">
        <v>3.0</v>
      </c>
      <c r="AC203">
        <v>0.0</v>
      </c>
      <c r="AD203">
        <v>2.0</v>
      </c>
      <c r="AE203" t="s">
        <v>3505</v>
      </c>
      <c r="AF203" t="s">
        <v>3478</v>
      </c>
      <c r="AG203" t="s">
        <v>2702</v>
      </c>
      <c r="AH203" t="s">
        <v>3429</v>
      </c>
    </row>
    <row r="204" ht="15.75" customHeight="1">
      <c r="A204" t="s">
        <v>3015</v>
      </c>
      <c r="B204" t="s">
        <v>3016</v>
      </c>
      <c r="C204" t="s">
        <v>572</v>
      </c>
      <c r="D204" t="s">
        <v>1679</v>
      </c>
      <c r="E204" t="s">
        <v>2878</v>
      </c>
      <c r="F204" t="s">
        <v>956</v>
      </c>
      <c r="G204" t="s">
        <v>2879</v>
      </c>
      <c r="J204">
        <v>0.0</v>
      </c>
      <c r="K204">
        <v>0.0</v>
      </c>
      <c r="L204">
        <v>0.0</v>
      </c>
      <c r="M204">
        <v>3.0</v>
      </c>
      <c r="N204">
        <v>0.0</v>
      </c>
      <c r="O204">
        <v>0.0</v>
      </c>
      <c r="P204">
        <v>0.0</v>
      </c>
      <c r="Q204">
        <v>0.0</v>
      </c>
      <c r="R204">
        <v>1.0</v>
      </c>
      <c r="S204">
        <v>1.0</v>
      </c>
      <c r="T204">
        <v>0.0</v>
      </c>
      <c r="U204">
        <v>0.0</v>
      </c>
      <c r="V204">
        <v>0.0</v>
      </c>
      <c r="W204">
        <v>0.0</v>
      </c>
      <c r="X204" t="s">
        <v>3013</v>
      </c>
      <c r="Y204">
        <v>2.0</v>
      </c>
      <c r="Z204">
        <v>0.0</v>
      </c>
      <c r="AA204" t="s">
        <v>3014</v>
      </c>
      <c r="AB204">
        <v>3.0</v>
      </c>
      <c r="AC204">
        <v>0.0</v>
      </c>
      <c r="AD204">
        <v>2.0</v>
      </c>
      <c r="AE204" t="s">
        <v>3506</v>
      </c>
      <c r="AF204" t="s">
        <v>3478</v>
      </c>
      <c r="AG204" t="s">
        <v>2702</v>
      </c>
      <c r="AH204" t="s">
        <v>3429</v>
      </c>
    </row>
    <row r="205" ht="15.75" customHeight="1">
      <c r="A205" t="s">
        <v>3018</v>
      </c>
      <c r="B205" t="s">
        <v>3019</v>
      </c>
      <c r="C205" t="s">
        <v>575</v>
      </c>
      <c r="D205" t="s">
        <v>1679</v>
      </c>
      <c r="E205" t="s">
        <v>2878</v>
      </c>
      <c r="F205" t="s">
        <v>956</v>
      </c>
      <c r="G205" t="s">
        <v>2879</v>
      </c>
      <c r="J205">
        <v>0.0</v>
      </c>
      <c r="K205">
        <v>0.0</v>
      </c>
      <c r="L205">
        <v>1.0</v>
      </c>
      <c r="M205">
        <v>3.0</v>
      </c>
      <c r="N205">
        <v>0.0</v>
      </c>
      <c r="O205">
        <v>0.0</v>
      </c>
      <c r="P205">
        <v>0.0</v>
      </c>
      <c r="Q205">
        <v>0.0</v>
      </c>
      <c r="R205">
        <v>1.0</v>
      </c>
      <c r="S205">
        <v>2.0</v>
      </c>
      <c r="T205">
        <v>0.0</v>
      </c>
      <c r="U205">
        <v>0.0</v>
      </c>
      <c r="V205">
        <v>0.0</v>
      </c>
      <c r="W205">
        <v>0.0</v>
      </c>
      <c r="X205" t="s">
        <v>3013</v>
      </c>
      <c r="Y205">
        <v>2.0</v>
      </c>
      <c r="Z205">
        <v>0.0</v>
      </c>
      <c r="AA205" t="s">
        <v>3014</v>
      </c>
      <c r="AB205">
        <v>3.0</v>
      </c>
      <c r="AC205">
        <v>0.0</v>
      </c>
      <c r="AD205">
        <v>2.0</v>
      </c>
      <c r="AE205" t="s">
        <v>3506</v>
      </c>
      <c r="AF205" t="s">
        <v>3480</v>
      </c>
      <c r="AG205" t="s">
        <v>2702</v>
      </c>
      <c r="AH205" t="s">
        <v>3429</v>
      </c>
    </row>
    <row r="206" ht="15.75" customHeight="1">
      <c r="A206" t="s">
        <v>3020</v>
      </c>
      <c r="B206" t="s">
        <v>3021</v>
      </c>
      <c r="C206" t="s">
        <v>578</v>
      </c>
      <c r="D206" t="s">
        <v>1679</v>
      </c>
      <c r="E206" t="s">
        <v>2878</v>
      </c>
      <c r="F206" t="s">
        <v>956</v>
      </c>
      <c r="G206" t="s">
        <v>2879</v>
      </c>
      <c r="J206">
        <v>0.0</v>
      </c>
      <c r="K206">
        <v>0.0</v>
      </c>
      <c r="L206">
        <v>1.0</v>
      </c>
      <c r="M206">
        <v>5.0</v>
      </c>
      <c r="N206">
        <v>1.0</v>
      </c>
      <c r="O206">
        <v>0.0</v>
      </c>
      <c r="P206">
        <v>0.0</v>
      </c>
      <c r="Q206">
        <v>0.0</v>
      </c>
      <c r="R206">
        <v>1.0</v>
      </c>
      <c r="S206">
        <v>3.0</v>
      </c>
      <c r="T206">
        <v>0.0</v>
      </c>
      <c r="U206">
        <v>0.0</v>
      </c>
      <c r="V206">
        <v>0.0</v>
      </c>
      <c r="W206">
        <v>0.0</v>
      </c>
      <c r="X206" t="s">
        <v>3013</v>
      </c>
      <c r="Y206">
        <v>2.0</v>
      </c>
      <c r="Z206">
        <v>0.0</v>
      </c>
      <c r="AA206" t="s">
        <v>3014</v>
      </c>
      <c r="AB206">
        <v>3.0</v>
      </c>
      <c r="AC206">
        <v>0.0</v>
      </c>
      <c r="AD206">
        <v>2.0</v>
      </c>
      <c r="AE206" t="s">
        <v>3507</v>
      </c>
      <c r="AF206" t="s">
        <v>3480</v>
      </c>
      <c r="AG206" t="s">
        <v>2702</v>
      </c>
      <c r="AH206" t="s">
        <v>3429</v>
      </c>
    </row>
    <row r="207" ht="15.75" customHeight="1">
      <c r="A207" t="s">
        <v>3023</v>
      </c>
      <c r="B207" t="s">
        <v>3024</v>
      </c>
      <c r="C207" t="s">
        <v>581</v>
      </c>
      <c r="D207" t="s">
        <v>1679</v>
      </c>
      <c r="E207" t="s">
        <v>2878</v>
      </c>
      <c r="F207" t="s">
        <v>956</v>
      </c>
      <c r="G207" t="s">
        <v>2879</v>
      </c>
      <c r="J207">
        <v>0.0</v>
      </c>
      <c r="K207">
        <v>0.0</v>
      </c>
      <c r="L207">
        <v>2.0</v>
      </c>
      <c r="M207">
        <v>6.0</v>
      </c>
      <c r="N207">
        <v>1.0</v>
      </c>
      <c r="O207">
        <v>0.0</v>
      </c>
      <c r="P207">
        <v>0.0</v>
      </c>
      <c r="Q207">
        <v>0.0</v>
      </c>
      <c r="R207">
        <v>2.0</v>
      </c>
      <c r="S207">
        <v>4.0</v>
      </c>
      <c r="T207">
        <v>0.0</v>
      </c>
      <c r="U207">
        <v>0.0</v>
      </c>
      <c r="V207">
        <v>0.0</v>
      </c>
      <c r="W207">
        <v>0.0</v>
      </c>
      <c r="X207" t="s">
        <v>3013</v>
      </c>
      <c r="Y207">
        <v>2.0</v>
      </c>
      <c r="Z207">
        <v>0.0</v>
      </c>
      <c r="AA207" t="s">
        <v>3014</v>
      </c>
      <c r="AB207">
        <v>3.0</v>
      </c>
      <c r="AC207">
        <v>0.0</v>
      </c>
      <c r="AD207">
        <v>2.0</v>
      </c>
      <c r="AE207" t="s">
        <v>3507</v>
      </c>
      <c r="AF207" t="s">
        <v>3482</v>
      </c>
      <c r="AG207" t="s">
        <v>2702</v>
      </c>
      <c r="AH207" t="s">
        <v>3429</v>
      </c>
    </row>
    <row r="208" ht="15.75" customHeight="1">
      <c r="A208" t="s">
        <v>3025</v>
      </c>
      <c r="B208" t="s">
        <v>3026</v>
      </c>
      <c r="C208" t="s">
        <v>584</v>
      </c>
      <c r="D208" t="s">
        <v>1679</v>
      </c>
      <c r="E208" t="s">
        <v>2878</v>
      </c>
      <c r="F208" t="s">
        <v>956</v>
      </c>
      <c r="G208" t="s">
        <v>2879</v>
      </c>
      <c r="J208">
        <v>0.0</v>
      </c>
      <c r="K208">
        <v>0.0</v>
      </c>
      <c r="L208">
        <v>3.0</v>
      </c>
      <c r="M208">
        <v>8.0</v>
      </c>
      <c r="N208">
        <v>2.0</v>
      </c>
      <c r="O208">
        <v>0.0</v>
      </c>
      <c r="P208">
        <v>0.0</v>
      </c>
      <c r="Q208">
        <v>0.0</v>
      </c>
      <c r="R208">
        <v>2.0</v>
      </c>
      <c r="S208">
        <v>5.0</v>
      </c>
      <c r="T208">
        <v>0.0</v>
      </c>
      <c r="U208">
        <v>0.0</v>
      </c>
      <c r="V208">
        <v>0.0</v>
      </c>
      <c r="W208">
        <v>0.0</v>
      </c>
      <c r="X208" t="s">
        <v>3013</v>
      </c>
      <c r="Y208">
        <v>2.0</v>
      </c>
      <c r="Z208">
        <v>0.0</v>
      </c>
      <c r="AA208" t="s">
        <v>3014</v>
      </c>
      <c r="AB208">
        <v>3.0</v>
      </c>
      <c r="AC208">
        <v>0.0</v>
      </c>
      <c r="AD208">
        <v>2.0</v>
      </c>
      <c r="AE208" t="s">
        <v>3507</v>
      </c>
      <c r="AF208" t="s">
        <v>3483</v>
      </c>
      <c r="AG208" t="s">
        <v>2702</v>
      </c>
      <c r="AH208" t="s">
        <v>3429</v>
      </c>
    </row>
    <row r="209" ht="15.75" customHeight="1">
      <c r="A209" t="s">
        <v>3028</v>
      </c>
      <c r="B209" t="s">
        <v>3029</v>
      </c>
      <c r="C209" t="s">
        <v>569</v>
      </c>
      <c r="D209" t="s">
        <v>1678</v>
      </c>
      <c r="E209" t="s">
        <v>2697</v>
      </c>
      <c r="F209" t="s">
        <v>2698</v>
      </c>
      <c r="G209" t="s">
        <v>2699</v>
      </c>
      <c r="J209">
        <v>0.0</v>
      </c>
      <c r="K209">
        <v>0.0</v>
      </c>
      <c r="L209">
        <v>3.0</v>
      </c>
      <c r="M209">
        <v>0.0</v>
      </c>
      <c r="N209">
        <v>0.0</v>
      </c>
      <c r="O209">
        <v>0.0</v>
      </c>
      <c r="P209">
        <v>0.0</v>
      </c>
      <c r="Q209">
        <v>1.0</v>
      </c>
      <c r="R209">
        <v>0.0</v>
      </c>
      <c r="S209">
        <v>0.0</v>
      </c>
      <c r="T209">
        <v>-2.0</v>
      </c>
      <c r="U209">
        <v>0.0</v>
      </c>
      <c r="V209">
        <v>0.0</v>
      </c>
      <c r="W209">
        <v>0.0</v>
      </c>
      <c r="X209" t="s">
        <v>3030</v>
      </c>
      <c r="Y209">
        <v>2.0</v>
      </c>
      <c r="Z209">
        <v>0.0</v>
      </c>
      <c r="AA209" t="s">
        <v>3031</v>
      </c>
      <c r="AB209">
        <v>3.0</v>
      </c>
      <c r="AC209">
        <v>0.0</v>
      </c>
      <c r="AD209">
        <v>2.0</v>
      </c>
      <c r="AE209" t="s">
        <v>3508</v>
      </c>
      <c r="AF209" t="s">
        <v>3428</v>
      </c>
      <c r="AG209" t="s">
        <v>2702</v>
      </c>
      <c r="AH209" t="s">
        <v>3429</v>
      </c>
    </row>
    <row r="210" ht="15.75" customHeight="1">
      <c r="A210" t="s">
        <v>3032</v>
      </c>
      <c r="B210" t="s">
        <v>3033</v>
      </c>
      <c r="C210" t="s">
        <v>572</v>
      </c>
      <c r="D210" t="s">
        <v>1678</v>
      </c>
      <c r="E210" t="s">
        <v>2697</v>
      </c>
      <c r="F210" t="s">
        <v>2698</v>
      </c>
      <c r="G210" t="s">
        <v>2699</v>
      </c>
      <c r="J210">
        <v>0.0</v>
      </c>
      <c r="K210">
        <v>0.0</v>
      </c>
      <c r="L210">
        <v>4.0</v>
      </c>
      <c r="M210">
        <v>0.0</v>
      </c>
      <c r="N210">
        <v>1.0</v>
      </c>
      <c r="O210">
        <v>0.0</v>
      </c>
      <c r="P210">
        <v>0.0</v>
      </c>
      <c r="Q210">
        <v>1.0</v>
      </c>
      <c r="R210">
        <v>0.0</v>
      </c>
      <c r="S210">
        <v>0.0</v>
      </c>
      <c r="T210">
        <v>-2.0</v>
      </c>
      <c r="U210">
        <v>0.0</v>
      </c>
      <c r="V210">
        <v>0.0</v>
      </c>
      <c r="W210">
        <v>0.0</v>
      </c>
      <c r="X210" t="s">
        <v>3030</v>
      </c>
      <c r="Y210">
        <v>2.0</v>
      </c>
      <c r="Z210">
        <v>0.0</v>
      </c>
      <c r="AA210" t="s">
        <v>3031</v>
      </c>
      <c r="AB210">
        <v>3.0</v>
      </c>
      <c r="AC210">
        <v>0.0</v>
      </c>
      <c r="AD210">
        <v>2.0</v>
      </c>
      <c r="AE210" t="s">
        <v>3509</v>
      </c>
      <c r="AF210" t="s">
        <v>3428</v>
      </c>
      <c r="AG210" t="s">
        <v>2702</v>
      </c>
      <c r="AH210" t="s">
        <v>3429</v>
      </c>
    </row>
    <row r="211" ht="15.75" customHeight="1">
      <c r="A211" t="s">
        <v>3035</v>
      </c>
      <c r="B211" t="s">
        <v>3036</v>
      </c>
      <c r="C211" t="s">
        <v>575</v>
      </c>
      <c r="D211" t="s">
        <v>1678</v>
      </c>
      <c r="E211" t="s">
        <v>2697</v>
      </c>
      <c r="F211" t="s">
        <v>2698</v>
      </c>
      <c r="G211" t="s">
        <v>2699</v>
      </c>
      <c r="J211">
        <v>0.0</v>
      </c>
      <c r="K211">
        <v>0.0</v>
      </c>
      <c r="L211">
        <v>6.0</v>
      </c>
      <c r="M211">
        <v>1.0</v>
      </c>
      <c r="N211">
        <v>1.0</v>
      </c>
      <c r="O211">
        <v>0.0</v>
      </c>
      <c r="P211">
        <v>0.0</v>
      </c>
      <c r="Q211">
        <v>2.0</v>
      </c>
      <c r="R211">
        <v>0.0</v>
      </c>
      <c r="S211">
        <v>0.0</v>
      </c>
      <c r="T211">
        <v>-2.0</v>
      </c>
      <c r="U211">
        <v>0.0</v>
      </c>
      <c r="V211">
        <v>0.0</v>
      </c>
      <c r="W211">
        <v>0.0</v>
      </c>
      <c r="X211" t="s">
        <v>3030</v>
      </c>
      <c r="Y211">
        <v>2.0</v>
      </c>
      <c r="Z211">
        <v>0.0</v>
      </c>
      <c r="AA211" t="s">
        <v>3031</v>
      </c>
      <c r="AB211">
        <v>3.0</v>
      </c>
      <c r="AC211">
        <v>0.0</v>
      </c>
      <c r="AD211">
        <v>2.0</v>
      </c>
      <c r="AE211" t="s">
        <v>3509</v>
      </c>
      <c r="AF211" t="s">
        <v>3431</v>
      </c>
      <c r="AG211" t="s">
        <v>2702</v>
      </c>
      <c r="AH211" t="s">
        <v>3429</v>
      </c>
    </row>
    <row r="212" ht="15.75" customHeight="1">
      <c r="A212" t="s">
        <v>3037</v>
      </c>
      <c r="B212" t="s">
        <v>3038</v>
      </c>
      <c r="C212" t="s">
        <v>578</v>
      </c>
      <c r="D212" t="s">
        <v>1678</v>
      </c>
      <c r="E212" t="s">
        <v>2697</v>
      </c>
      <c r="F212" t="s">
        <v>2698</v>
      </c>
      <c r="G212" t="s">
        <v>2699</v>
      </c>
      <c r="J212">
        <v>0.0</v>
      </c>
      <c r="K212">
        <v>0.0</v>
      </c>
      <c r="L212">
        <v>8.0</v>
      </c>
      <c r="M212">
        <v>1.0</v>
      </c>
      <c r="N212">
        <v>1.0</v>
      </c>
      <c r="O212">
        <v>1.0</v>
      </c>
      <c r="P212">
        <v>0.0</v>
      </c>
      <c r="Q212">
        <v>3.0</v>
      </c>
      <c r="R212">
        <v>0.0</v>
      </c>
      <c r="S212">
        <v>0.0</v>
      </c>
      <c r="T212">
        <v>-2.0</v>
      </c>
      <c r="U212">
        <v>0.0</v>
      </c>
      <c r="V212">
        <v>0.0</v>
      </c>
      <c r="W212">
        <v>0.0</v>
      </c>
      <c r="X212" t="s">
        <v>3030</v>
      </c>
      <c r="Y212">
        <v>2.0</v>
      </c>
      <c r="Z212">
        <v>0.0</v>
      </c>
      <c r="AA212" t="s">
        <v>3031</v>
      </c>
      <c r="AB212">
        <v>3.0</v>
      </c>
      <c r="AC212">
        <v>0.0</v>
      </c>
      <c r="AD212">
        <v>2.0</v>
      </c>
      <c r="AE212" t="s">
        <v>3510</v>
      </c>
      <c r="AF212" t="s">
        <v>3431</v>
      </c>
      <c r="AG212" t="s">
        <v>2702</v>
      </c>
      <c r="AH212" t="s">
        <v>3429</v>
      </c>
    </row>
    <row r="213" ht="15.75" customHeight="1">
      <c r="A213" t="s">
        <v>3040</v>
      </c>
      <c r="B213" t="s">
        <v>3041</v>
      </c>
      <c r="C213" t="s">
        <v>581</v>
      </c>
      <c r="D213" t="s">
        <v>1678</v>
      </c>
      <c r="E213" t="s">
        <v>2697</v>
      </c>
      <c r="F213" t="s">
        <v>2698</v>
      </c>
      <c r="G213" t="s">
        <v>2699</v>
      </c>
      <c r="J213">
        <v>0.0</v>
      </c>
      <c r="K213">
        <v>0.0</v>
      </c>
      <c r="L213">
        <v>12.0</v>
      </c>
      <c r="M213">
        <v>1.0</v>
      </c>
      <c r="N213">
        <v>2.0</v>
      </c>
      <c r="O213">
        <v>1.0</v>
      </c>
      <c r="P213">
        <v>0.0</v>
      </c>
      <c r="Q213">
        <v>4.0</v>
      </c>
      <c r="R213">
        <v>0.0</v>
      </c>
      <c r="S213">
        <v>0.0</v>
      </c>
      <c r="T213">
        <v>-3.0</v>
      </c>
      <c r="U213">
        <v>0.0</v>
      </c>
      <c r="V213">
        <v>0.0</v>
      </c>
      <c r="W213">
        <v>0.0</v>
      </c>
      <c r="X213" t="s">
        <v>3030</v>
      </c>
      <c r="Y213">
        <v>2.0</v>
      </c>
      <c r="Z213">
        <v>0.0</v>
      </c>
      <c r="AA213" t="s">
        <v>3031</v>
      </c>
      <c r="AB213">
        <v>3.0</v>
      </c>
      <c r="AC213">
        <v>0.0</v>
      </c>
      <c r="AD213">
        <v>2.0</v>
      </c>
      <c r="AE213" t="s">
        <v>3510</v>
      </c>
      <c r="AF213" t="s">
        <v>3433</v>
      </c>
      <c r="AG213" t="s">
        <v>2702</v>
      </c>
      <c r="AH213" t="s">
        <v>3429</v>
      </c>
    </row>
    <row r="214" ht="15.75" customHeight="1">
      <c r="A214" t="s">
        <v>3042</v>
      </c>
      <c r="B214" t="s">
        <v>3043</v>
      </c>
      <c r="C214" t="s">
        <v>584</v>
      </c>
      <c r="D214" t="s">
        <v>1678</v>
      </c>
      <c r="E214" t="s">
        <v>2697</v>
      </c>
      <c r="F214" t="s">
        <v>2698</v>
      </c>
      <c r="G214" t="s">
        <v>2699</v>
      </c>
      <c r="J214">
        <v>0.0</v>
      </c>
      <c r="K214">
        <v>0.0</v>
      </c>
      <c r="L214">
        <v>16.0</v>
      </c>
      <c r="M214">
        <v>2.0</v>
      </c>
      <c r="N214">
        <v>2.0</v>
      </c>
      <c r="O214">
        <v>2.0</v>
      </c>
      <c r="P214">
        <v>0.0</v>
      </c>
      <c r="Q214">
        <v>5.0</v>
      </c>
      <c r="R214">
        <v>0.0</v>
      </c>
      <c r="S214">
        <v>0.0</v>
      </c>
      <c r="T214">
        <v>-3.0</v>
      </c>
      <c r="U214">
        <v>0.0</v>
      </c>
      <c r="V214">
        <v>0.0</v>
      </c>
      <c r="W214">
        <v>0.0</v>
      </c>
      <c r="X214" t="s">
        <v>3030</v>
      </c>
      <c r="Y214">
        <v>2.0</v>
      </c>
      <c r="Z214">
        <v>0.0</v>
      </c>
      <c r="AA214" t="s">
        <v>3031</v>
      </c>
      <c r="AB214">
        <v>3.0</v>
      </c>
      <c r="AC214">
        <v>0.0</v>
      </c>
      <c r="AD214">
        <v>2.0</v>
      </c>
      <c r="AE214" t="s">
        <v>3510</v>
      </c>
      <c r="AF214" t="s">
        <v>3434</v>
      </c>
      <c r="AG214" t="s">
        <v>2702</v>
      </c>
      <c r="AH214" t="s">
        <v>3429</v>
      </c>
    </row>
    <row r="215" ht="15.75" customHeight="1">
      <c r="A215" t="s">
        <v>3044</v>
      </c>
      <c r="B215" t="s">
        <v>3045</v>
      </c>
      <c r="C215" t="s">
        <v>569</v>
      </c>
      <c r="D215" t="s">
        <v>1678</v>
      </c>
      <c r="E215" t="s">
        <v>2727</v>
      </c>
      <c r="F215" t="s">
        <v>956</v>
      </c>
      <c r="G215" t="s">
        <v>2728</v>
      </c>
      <c r="J215">
        <v>0.0</v>
      </c>
      <c r="K215">
        <v>0.0</v>
      </c>
      <c r="L215">
        <v>0.0</v>
      </c>
      <c r="M215">
        <v>3.0</v>
      </c>
      <c r="N215">
        <v>0.0</v>
      </c>
      <c r="O215">
        <v>0.0</v>
      </c>
      <c r="P215">
        <v>0.0</v>
      </c>
      <c r="Q215">
        <v>0.0</v>
      </c>
      <c r="R215">
        <v>0.0</v>
      </c>
      <c r="S215">
        <v>1.0</v>
      </c>
      <c r="T215">
        <v>0.0</v>
      </c>
      <c r="U215">
        <v>0.0</v>
      </c>
      <c r="V215">
        <v>0.0</v>
      </c>
      <c r="W215">
        <v>0.0</v>
      </c>
      <c r="X215" t="s">
        <v>3046</v>
      </c>
      <c r="Y215">
        <v>2.0</v>
      </c>
      <c r="Z215">
        <v>0.0</v>
      </c>
      <c r="AA215" t="s">
        <v>3047</v>
      </c>
      <c r="AB215">
        <v>3.0</v>
      </c>
      <c r="AC215">
        <v>0.0</v>
      </c>
      <c r="AD215">
        <v>2.0</v>
      </c>
      <c r="AE215" t="s">
        <v>3511</v>
      </c>
      <c r="AF215" t="s">
        <v>3436</v>
      </c>
      <c r="AG215" t="s">
        <v>2702</v>
      </c>
      <c r="AH215" t="s">
        <v>3429</v>
      </c>
    </row>
    <row r="216" ht="15.75" customHeight="1">
      <c r="A216" t="s">
        <v>3048</v>
      </c>
      <c r="B216" t="s">
        <v>3049</v>
      </c>
      <c r="C216" t="s">
        <v>572</v>
      </c>
      <c r="D216" t="s">
        <v>1678</v>
      </c>
      <c r="E216" t="s">
        <v>2727</v>
      </c>
      <c r="F216" t="s">
        <v>956</v>
      </c>
      <c r="G216" t="s">
        <v>2728</v>
      </c>
      <c r="J216">
        <v>0.0</v>
      </c>
      <c r="K216">
        <v>0.0</v>
      </c>
      <c r="L216">
        <v>0.0</v>
      </c>
      <c r="M216">
        <v>4.0</v>
      </c>
      <c r="N216">
        <v>0.0</v>
      </c>
      <c r="O216">
        <v>0.0</v>
      </c>
      <c r="P216">
        <v>0.0</v>
      </c>
      <c r="Q216">
        <v>0.0</v>
      </c>
      <c r="R216">
        <v>1.0</v>
      </c>
      <c r="S216">
        <v>1.0</v>
      </c>
      <c r="T216">
        <v>0.0</v>
      </c>
      <c r="U216">
        <v>0.0</v>
      </c>
      <c r="V216">
        <v>0.0</v>
      </c>
      <c r="W216">
        <v>0.0</v>
      </c>
      <c r="X216" t="s">
        <v>3046</v>
      </c>
      <c r="Y216">
        <v>2.0</v>
      </c>
      <c r="Z216">
        <v>0.0</v>
      </c>
      <c r="AA216" t="s">
        <v>3047</v>
      </c>
      <c r="AB216">
        <v>3.0</v>
      </c>
      <c r="AC216">
        <v>0.0</v>
      </c>
      <c r="AD216">
        <v>2.0</v>
      </c>
      <c r="AE216" t="s">
        <v>3512</v>
      </c>
      <c r="AF216" t="s">
        <v>3436</v>
      </c>
      <c r="AG216" t="s">
        <v>2702</v>
      </c>
      <c r="AH216" t="s">
        <v>3429</v>
      </c>
    </row>
    <row r="217" ht="15.75" customHeight="1">
      <c r="A217" t="s">
        <v>3051</v>
      </c>
      <c r="B217" t="s">
        <v>3052</v>
      </c>
      <c r="C217" t="s">
        <v>575</v>
      </c>
      <c r="D217" t="s">
        <v>1678</v>
      </c>
      <c r="E217" t="s">
        <v>2727</v>
      </c>
      <c r="F217" t="s">
        <v>956</v>
      </c>
      <c r="G217" t="s">
        <v>2728</v>
      </c>
      <c r="J217">
        <v>0.0</v>
      </c>
      <c r="K217">
        <v>0.0</v>
      </c>
      <c r="L217">
        <v>0.0</v>
      </c>
      <c r="M217">
        <v>6.0</v>
      </c>
      <c r="N217">
        <v>0.0</v>
      </c>
      <c r="O217">
        <v>0.0</v>
      </c>
      <c r="P217">
        <v>0.0</v>
      </c>
      <c r="Q217">
        <v>0.0</v>
      </c>
      <c r="R217">
        <v>1.0</v>
      </c>
      <c r="S217">
        <v>2.0</v>
      </c>
      <c r="T217">
        <v>0.0</v>
      </c>
      <c r="U217">
        <v>0.0</v>
      </c>
      <c r="V217">
        <v>0.0</v>
      </c>
      <c r="W217">
        <v>0.0</v>
      </c>
      <c r="X217" t="s">
        <v>3046</v>
      </c>
      <c r="Y217">
        <v>2.0</v>
      </c>
      <c r="Z217">
        <v>0.0</v>
      </c>
      <c r="AA217" t="s">
        <v>3047</v>
      </c>
      <c r="AB217">
        <v>3.0</v>
      </c>
      <c r="AC217">
        <v>0.0</v>
      </c>
      <c r="AD217">
        <v>2.0</v>
      </c>
      <c r="AE217" t="s">
        <v>3512</v>
      </c>
      <c r="AF217" t="s">
        <v>3438</v>
      </c>
      <c r="AG217" t="s">
        <v>2702</v>
      </c>
      <c r="AH217" t="s">
        <v>3429</v>
      </c>
    </row>
    <row r="218" ht="15.75" customHeight="1">
      <c r="A218" t="s">
        <v>3053</v>
      </c>
      <c r="B218" t="s">
        <v>3054</v>
      </c>
      <c r="C218" t="s">
        <v>578</v>
      </c>
      <c r="D218" t="s">
        <v>1678</v>
      </c>
      <c r="E218" t="s">
        <v>2727</v>
      </c>
      <c r="F218" t="s">
        <v>956</v>
      </c>
      <c r="G218" t="s">
        <v>2728</v>
      </c>
      <c r="J218">
        <v>0.0</v>
      </c>
      <c r="K218">
        <v>0.0</v>
      </c>
      <c r="L218">
        <v>1.0</v>
      </c>
      <c r="M218">
        <v>7.0</v>
      </c>
      <c r="N218">
        <v>1.0</v>
      </c>
      <c r="O218">
        <v>0.0</v>
      </c>
      <c r="P218">
        <v>0.0</v>
      </c>
      <c r="Q218">
        <v>0.0</v>
      </c>
      <c r="R218">
        <v>1.0</v>
      </c>
      <c r="S218">
        <v>3.0</v>
      </c>
      <c r="T218">
        <v>0.0</v>
      </c>
      <c r="U218">
        <v>0.0</v>
      </c>
      <c r="V218">
        <v>0.0</v>
      </c>
      <c r="W218">
        <v>0.0</v>
      </c>
      <c r="X218" t="s">
        <v>3046</v>
      </c>
      <c r="Y218">
        <v>2.0</v>
      </c>
      <c r="Z218">
        <v>0.0</v>
      </c>
      <c r="AA218" t="s">
        <v>3047</v>
      </c>
      <c r="AB218">
        <v>3.0</v>
      </c>
      <c r="AC218">
        <v>0.0</v>
      </c>
      <c r="AD218">
        <v>2.0</v>
      </c>
      <c r="AE218" t="s">
        <v>3513</v>
      </c>
      <c r="AF218" t="s">
        <v>3438</v>
      </c>
      <c r="AG218" t="s">
        <v>2702</v>
      </c>
      <c r="AH218" t="s">
        <v>3429</v>
      </c>
    </row>
    <row r="219" ht="15.75" customHeight="1">
      <c r="A219" t="s">
        <v>3055</v>
      </c>
      <c r="B219" t="s">
        <v>3056</v>
      </c>
      <c r="C219" t="s">
        <v>581</v>
      </c>
      <c r="D219" t="s">
        <v>1678</v>
      </c>
      <c r="E219" t="s">
        <v>2727</v>
      </c>
      <c r="F219" t="s">
        <v>956</v>
      </c>
      <c r="G219" t="s">
        <v>2728</v>
      </c>
      <c r="J219">
        <v>0.0</v>
      </c>
      <c r="K219">
        <v>0.0</v>
      </c>
      <c r="L219">
        <v>1.0</v>
      </c>
      <c r="M219">
        <v>11.0</v>
      </c>
      <c r="N219">
        <v>1.0</v>
      </c>
      <c r="O219">
        <v>0.0</v>
      </c>
      <c r="P219">
        <v>0.0</v>
      </c>
      <c r="Q219">
        <v>0.0</v>
      </c>
      <c r="R219">
        <v>2.0</v>
      </c>
      <c r="S219">
        <v>4.0</v>
      </c>
      <c r="T219">
        <v>0.0</v>
      </c>
      <c r="U219">
        <v>0.0</v>
      </c>
      <c r="V219">
        <v>0.0</v>
      </c>
      <c r="W219">
        <v>0.0</v>
      </c>
      <c r="X219" t="s">
        <v>3046</v>
      </c>
      <c r="Y219">
        <v>2.0</v>
      </c>
      <c r="Z219">
        <v>0.0</v>
      </c>
      <c r="AA219" t="s">
        <v>3047</v>
      </c>
      <c r="AB219">
        <v>3.0</v>
      </c>
      <c r="AC219">
        <v>0.0</v>
      </c>
      <c r="AD219">
        <v>2.0</v>
      </c>
      <c r="AE219" t="s">
        <v>3513</v>
      </c>
      <c r="AF219" t="s">
        <v>3440</v>
      </c>
      <c r="AG219" t="s">
        <v>2702</v>
      </c>
      <c r="AH219" t="s">
        <v>3429</v>
      </c>
    </row>
    <row r="220" ht="15.75" customHeight="1">
      <c r="A220" t="s">
        <v>3057</v>
      </c>
      <c r="B220" t="s">
        <v>3058</v>
      </c>
      <c r="C220" t="s">
        <v>584</v>
      </c>
      <c r="D220" t="s">
        <v>1678</v>
      </c>
      <c r="E220" t="s">
        <v>2727</v>
      </c>
      <c r="F220" t="s">
        <v>956</v>
      </c>
      <c r="G220" t="s">
        <v>2728</v>
      </c>
      <c r="J220">
        <v>0.0</v>
      </c>
      <c r="K220">
        <v>0.0</v>
      </c>
      <c r="L220">
        <v>2.0</v>
      </c>
      <c r="M220">
        <v>14.0</v>
      </c>
      <c r="N220">
        <v>2.0</v>
      </c>
      <c r="O220">
        <v>0.0</v>
      </c>
      <c r="P220">
        <v>0.0</v>
      </c>
      <c r="Q220">
        <v>0.0</v>
      </c>
      <c r="R220">
        <v>2.0</v>
      </c>
      <c r="S220">
        <v>5.0</v>
      </c>
      <c r="T220">
        <v>0.0</v>
      </c>
      <c r="U220">
        <v>0.0</v>
      </c>
      <c r="V220">
        <v>0.0</v>
      </c>
      <c r="W220">
        <v>0.0</v>
      </c>
      <c r="X220" t="s">
        <v>3046</v>
      </c>
      <c r="Y220">
        <v>2.0</v>
      </c>
      <c r="Z220">
        <v>0.0</v>
      </c>
      <c r="AA220" t="s">
        <v>3047</v>
      </c>
      <c r="AB220">
        <v>3.0</v>
      </c>
      <c r="AC220">
        <v>0.0</v>
      </c>
      <c r="AD220">
        <v>2.0</v>
      </c>
      <c r="AE220" t="s">
        <v>3513</v>
      </c>
      <c r="AF220" t="s">
        <v>3441</v>
      </c>
      <c r="AG220" t="s">
        <v>2702</v>
      </c>
      <c r="AH220" t="s">
        <v>3429</v>
      </c>
    </row>
    <row r="221" ht="15.75" customHeight="1">
      <c r="A221" t="s">
        <v>3059</v>
      </c>
      <c r="B221" t="s">
        <v>3060</v>
      </c>
      <c r="C221" t="s">
        <v>569</v>
      </c>
      <c r="D221" t="s">
        <v>1678</v>
      </c>
      <c r="E221" t="s">
        <v>2754</v>
      </c>
      <c r="F221" t="s">
        <v>956</v>
      </c>
      <c r="G221" t="s">
        <v>2755</v>
      </c>
      <c r="J221">
        <v>0.0</v>
      </c>
      <c r="K221">
        <v>0.0</v>
      </c>
      <c r="L221">
        <v>2.0</v>
      </c>
      <c r="M221">
        <v>1.0</v>
      </c>
      <c r="N221">
        <v>1.0</v>
      </c>
      <c r="O221">
        <v>0.0</v>
      </c>
      <c r="P221">
        <v>0.0</v>
      </c>
      <c r="Q221">
        <v>0.0</v>
      </c>
      <c r="R221">
        <v>0.0</v>
      </c>
      <c r="S221">
        <v>0.0</v>
      </c>
      <c r="T221">
        <v>0.0</v>
      </c>
      <c r="U221">
        <v>0.0</v>
      </c>
      <c r="V221">
        <v>0.0</v>
      </c>
      <c r="W221">
        <v>0.0</v>
      </c>
      <c r="X221" t="s">
        <v>3061</v>
      </c>
      <c r="Y221">
        <v>2.0</v>
      </c>
      <c r="Z221">
        <v>0.0</v>
      </c>
      <c r="AA221" t="s">
        <v>3062</v>
      </c>
      <c r="AB221">
        <v>3.0</v>
      </c>
      <c r="AC221">
        <v>0.0</v>
      </c>
      <c r="AD221">
        <v>3.0</v>
      </c>
      <c r="AE221" t="s">
        <v>3514</v>
      </c>
      <c r="AF221" t="s">
        <v>3443</v>
      </c>
      <c r="AG221" t="s">
        <v>2702</v>
      </c>
      <c r="AH221" t="s">
        <v>3429</v>
      </c>
    </row>
    <row r="222" ht="15.75" customHeight="1">
      <c r="A222" t="s">
        <v>3063</v>
      </c>
      <c r="B222" t="s">
        <v>3064</v>
      </c>
      <c r="C222" t="s">
        <v>572</v>
      </c>
      <c r="D222" t="s">
        <v>1678</v>
      </c>
      <c r="E222" t="s">
        <v>2754</v>
      </c>
      <c r="F222" t="s">
        <v>956</v>
      </c>
      <c r="G222" t="s">
        <v>2755</v>
      </c>
      <c r="J222">
        <v>0.0</v>
      </c>
      <c r="K222">
        <v>0.0</v>
      </c>
      <c r="L222">
        <v>2.0</v>
      </c>
      <c r="M222">
        <v>2.0</v>
      </c>
      <c r="N222">
        <v>1.0</v>
      </c>
      <c r="O222">
        <v>0.0</v>
      </c>
      <c r="P222">
        <v>0.0</v>
      </c>
      <c r="Q222">
        <v>1.0</v>
      </c>
      <c r="R222">
        <v>0.0</v>
      </c>
      <c r="S222">
        <v>0.0</v>
      </c>
      <c r="T222">
        <v>0.0</v>
      </c>
      <c r="U222">
        <v>0.0</v>
      </c>
      <c r="V222">
        <v>0.0</v>
      </c>
      <c r="W222">
        <v>0.0</v>
      </c>
      <c r="X222" t="s">
        <v>3061</v>
      </c>
      <c r="Y222">
        <v>2.0</v>
      </c>
      <c r="Z222">
        <v>0.0</v>
      </c>
      <c r="AA222" t="s">
        <v>3062</v>
      </c>
      <c r="AB222">
        <v>3.0</v>
      </c>
      <c r="AC222">
        <v>0.0</v>
      </c>
      <c r="AD222">
        <v>3.0</v>
      </c>
      <c r="AE222" t="s">
        <v>3515</v>
      </c>
      <c r="AF222" t="s">
        <v>3443</v>
      </c>
      <c r="AG222" t="s">
        <v>2702</v>
      </c>
      <c r="AH222" t="s">
        <v>3429</v>
      </c>
    </row>
    <row r="223" ht="15.75" customHeight="1">
      <c r="A223" t="s">
        <v>3066</v>
      </c>
      <c r="B223" t="s">
        <v>3067</v>
      </c>
      <c r="C223" t="s">
        <v>575</v>
      </c>
      <c r="D223" t="s">
        <v>1678</v>
      </c>
      <c r="E223" t="s">
        <v>2754</v>
      </c>
      <c r="F223" t="s">
        <v>956</v>
      </c>
      <c r="G223" t="s">
        <v>2755</v>
      </c>
      <c r="J223">
        <v>0.0</v>
      </c>
      <c r="K223">
        <v>0.0</v>
      </c>
      <c r="L223">
        <v>3.0</v>
      </c>
      <c r="M223">
        <v>3.0</v>
      </c>
      <c r="N223">
        <v>2.0</v>
      </c>
      <c r="O223">
        <v>0.0</v>
      </c>
      <c r="P223">
        <v>0.0</v>
      </c>
      <c r="Q223">
        <v>1.0</v>
      </c>
      <c r="R223">
        <v>0.0</v>
      </c>
      <c r="S223">
        <v>0.0</v>
      </c>
      <c r="T223">
        <v>0.0</v>
      </c>
      <c r="U223">
        <v>0.0</v>
      </c>
      <c r="V223">
        <v>0.0</v>
      </c>
      <c r="W223">
        <v>0.0</v>
      </c>
      <c r="X223" t="s">
        <v>3061</v>
      </c>
      <c r="Y223">
        <v>2.0</v>
      </c>
      <c r="Z223">
        <v>0.0</v>
      </c>
      <c r="AA223" t="s">
        <v>3062</v>
      </c>
      <c r="AB223">
        <v>3.0</v>
      </c>
      <c r="AC223">
        <v>0.0</v>
      </c>
      <c r="AD223">
        <v>3.0</v>
      </c>
      <c r="AE223" t="s">
        <v>3515</v>
      </c>
      <c r="AF223" t="s">
        <v>3445</v>
      </c>
      <c r="AG223" t="s">
        <v>2702</v>
      </c>
      <c r="AH223" t="s">
        <v>3429</v>
      </c>
    </row>
    <row r="224" ht="15.75" customHeight="1">
      <c r="A224" t="s">
        <v>3068</v>
      </c>
      <c r="B224" t="s">
        <v>3069</v>
      </c>
      <c r="C224" t="s">
        <v>578</v>
      </c>
      <c r="D224" t="s">
        <v>1678</v>
      </c>
      <c r="E224" t="s">
        <v>2754</v>
      </c>
      <c r="F224" t="s">
        <v>956</v>
      </c>
      <c r="G224" t="s">
        <v>2755</v>
      </c>
      <c r="J224">
        <v>0.0</v>
      </c>
      <c r="K224">
        <v>0.0</v>
      </c>
      <c r="L224">
        <v>4.0</v>
      </c>
      <c r="M224">
        <v>4.0</v>
      </c>
      <c r="N224">
        <v>3.0</v>
      </c>
      <c r="O224">
        <v>0.0</v>
      </c>
      <c r="P224">
        <v>0.0</v>
      </c>
      <c r="Q224">
        <v>1.0</v>
      </c>
      <c r="R224">
        <v>0.0</v>
      </c>
      <c r="S224">
        <v>1.0</v>
      </c>
      <c r="T224">
        <v>0.0</v>
      </c>
      <c r="U224">
        <v>0.0</v>
      </c>
      <c r="V224">
        <v>0.0</v>
      </c>
      <c r="W224">
        <v>0.0</v>
      </c>
      <c r="X224" t="s">
        <v>3061</v>
      </c>
      <c r="Y224">
        <v>2.0</v>
      </c>
      <c r="Z224">
        <v>0.0</v>
      </c>
      <c r="AA224" t="s">
        <v>3062</v>
      </c>
      <c r="AB224">
        <v>3.0</v>
      </c>
      <c r="AC224">
        <v>0.0</v>
      </c>
      <c r="AD224">
        <v>3.0</v>
      </c>
      <c r="AE224" t="s">
        <v>3516</v>
      </c>
      <c r="AF224" t="s">
        <v>3445</v>
      </c>
      <c r="AG224" t="s">
        <v>2702</v>
      </c>
      <c r="AH224" t="s">
        <v>3429</v>
      </c>
    </row>
    <row r="225" ht="15.75" customHeight="1">
      <c r="A225" t="s">
        <v>3071</v>
      </c>
      <c r="B225" t="s">
        <v>3072</v>
      </c>
      <c r="C225" t="s">
        <v>581</v>
      </c>
      <c r="D225" t="s">
        <v>1678</v>
      </c>
      <c r="E225" t="s">
        <v>2754</v>
      </c>
      <c r="F225" t="s">
        <v>956</v>
      </c>
      <c r="G225" t="s">
        <v>2755</v>
      </c>
      <c r="J225">
        <v>0.0</v>
      </c>
      <c r="K225">
        <v>0.0</v>
      </c>
      <c r="L225">
        <v>6.0</v>
      </c>
      <c r="M225">
        <v>6.0</v>
      </c>
      <c r="N225">
        <v>4.0</v>
      </c>
      <c r="O225">
        <v>0.0</v>
      </c>
      <c r="P225">
        <v>0.0</v>
      </c>
      <c r="Q225">
        <v>2.0</v>
      </c>
      <c r="R225">
        <v>0.0</v>
      </c>
      <c r="S225">
        <v>1.0</v>
      </c>
      <c r="T225">
        <v>0.0</v>
      </c>
      <c r="U225">
        <v>0.0</v>
      </c>
      <c r="V225">
        <v>0.0</v>
      </c>
      <c r="W225">
        <v>0.0</v>
      </c>
      <c r="X225" t="s">
        <v>3061</v>
      </c>
      <c r="Y225">
        <v>2.0</v>
      </c>
      <c r="Z225">
        <v>0.0</v>
      </c>
      <c r="AA225" t="s">
        <v>3062</v>
      </c>
      <c r="AB225">
        <v>3.0</v>
      </c>
      <c r="AC225">
        <v>0.0</v>
      </c>
      <c r="AD225">
        <v>3.0</v>
      </c>
      <c r="AE225" t="s">
        <v>3516</v>
      </c>
      <c r="AF225" t="s">
        <v>3447</v>
      </c>
      <c r="AG225" t="s">
        <v>2702</v>
      </c>
      <c r="AH225" t="s">
        <v>3429</v>
      </c>
    </row>
    <row r="226" ht="15.75" customHeight="1">
      <c r="A226" t="s">
        <v>3073</v>
      </c>
      <c r="B226" t="s">
        <v>3074</v>
      </c>
      <c r="C226" t="s">
        <v>584</v>
      </c>
      <c r="D226" t="s">
        <v>1678</v>
      </c>
      <c r="E226" t="s">
        <v>2754</v>
      </c>
      <c r="F226" t="s">
        <v>956</v>
      </c>
      <c r="G226" t="s">
        <v>2755</v>
      </c>
      <c r="J226">
        <v>0.0</v>
      </c>
      <c r="K226">
        <v>0.0</v>
      </c>
      <c r="L226">
        <v>8.0</v>
      </c>
      <c r="M226">
        <v>8.0</v>
      </c>
      <c r="N226">
        <v>5.0</v>
      </c>
      <c r="O226">
        <v>0.0</v>
      </c>
      <c r="P226">
        <v>0.0</v>
      </c>
      <c r="Q226">
        <v>2.0</v>
      </c>
      <c r="R226">
        <v>0.0</v>
      </c>
      <c r="S226">
        <v>2.0</v>
      </c>
      <c r="T226">
        <v>0.0</v>
      </c>
      <c r="U226">
        <v>0.0</v>
      </c>
      <c r="V226">
        <v>0.0</v>
      </c>
      <c r="W226">
        <v>0.0</v>
      </c>
      <c r="X226" t="s">
        <v>3061</v>
      </c>
      <c r="Y226">
        <v>2.0</v>
      </c>
      <c r="Z226">
        <v>0.0</v>
      </c>
      <c r="AA226" t="s">
        <v>3062</v>
      </c>
      <c r="AB226">
        <v>3.0</v>
      </c>
      <c r="AC226">
        <v>0.0</v>
      </c>
      <c r="AD226">
        <v>3.0</v>
      </c>
      <c r="AE226" t="s">
        <v>3516</v>
      </c>
      <c r="AF226" t="s">
        <v>3448</v>
      </c>
      <c r="AG226" t="s">
        <v>2702</v>
      </c>
      <c r="AH226" t="s">
        <v>3429</v>
      </c>
    </row>
    <row r="227" ht="15.75" customHeight="1">
      <c r="A227" t="s">
        <v>3075</v>
      </c>
      <c r="B227" t="s">
        <v>3076</v>
      </c>
      <c r="C227" t="s">
        <v>569</v>
      </c>
      <c r="D227" t="s">
        <v>1678</v>
      </c>
      <c r="E227" t="s">
        <v>2779</v>
      </c>
      <c r="F227" t="s">
        <v>2780</v>
      </c>
      <c r="G227" t="s">
        <v>2781</v>
      </c>
      <c r="J227">
        <v>0.0</v>
      </c>
      <c r="K227">
        <v>0.0</v>
      </c>
      <c r="L227">
        <v>1.0</v>
      </c>
      <c r="M227">
        <v>1.0</v>
      </c>
      <c r="N227">
        <v>0.0</v>
      </c>
      <c r="O227">
        <v>0.0</v>
      </c>
      <c r="P227">
        <v>1.0</v>
      </c>
      <c r="Q227">
        <v>0.0</v>
      </c>
      <c r="R227">
        <v>0.0</v>
      </c>
      <c r="S227">
        <v>0.0</v>
      </c>
      <c r="T227">
        <v>0.0</v>
      </c>
      <c r="U227">
        <v>0.0</v>
      </c>
      <c r="V227">
        <v>0.0</v>
      </c>
      <c r="W227">
        <v>0.0</v>
      </c>
      <c r="X227" t="s">
        <v>3077</v>
      </c>
      <c r="Y227">
        <v>2.0</v>
      </c>
      <c r="Z227">
        <v>0.0</v>
      </c>
      <c r="AA227" t="s">
        <v>3078</v>
      </c>
      <c r="AB227">
        <v>3.0</v>
      </c>
      <c r="AC227">
        <v>0.0</v>
      </c>
      <c r="AD227">
        <v>3.0</v>
      </c>
      <c r="AE227" t="s">
        <v>3517</v>
      </c>
      <c r="AF227" t="s">
        <v>3450</v>
      </c>
      <c r="AG227" t="s">
        <v>2702</v>
      </c>
      <c r="AH227" t="s">
        <v>3429</v>
      </c>
    </row>
    <row r="228" ht="15.75" customHeight="1">
      <c r="A228" t="s">
        <v>3079</v>
      </c>
      <c r="B228" t="s">
        <v>3080</v>
      </c>
      <c r="C228" t="s">
        <v>572</v>
      </c>
      <c r="D228" t="s">
        <v>1678</v>
      </c>
      <c r="E228" t="s">
        <v>2779</v>
      </c>
      <c r="F228" t="s">
        <v>2780</v>
      </c>
      <c r="G228" t="s">
        <v>2781</v>
      </c>
      <c r="J228">
        <v>0.0</v>
      </c>
      <c r="K228">
        <v>0.0</v>
      </c>
      <c r="L228">
        <v>1.0</v>
      </c>
      <c r="M228">
        <v>2.0</v>
      </c>
      <c r="N228">
        <v>0.0</v>
      </c>
      <c r="O228">
        <v>0.0</v>
      </c>
      <c r="P228">
        <v>1.0</v>
      </c>
      <c r="Q228">
        <v>0.0</v>
      </c>
      <c r="R228">
        <v>0.0</v>
      </c>
      <c r="S228">
        <v>0.0</v>
      </c>
      <c r="T228">
        <v>1.0</v>
      </c>
      <c r="U228">
        <v>0.0</v>
      </c>
      <c r="V228">
        <v>0.0</v>
      </c>
      <c r="W228">
        <v>0.0</v>
      </c>
      <c r="X228" t="s">
        <v>3077</v>
      </c>
      <c r="Y228">
        <v>2.0</v>
      </c>
      <c r="Z228">
        <v>0.0</v>
      </c>
      <c r="AA228" t="s">
        <v>3078</v>
      </c>
      <c r="AB228">
        <v>3.0</v>
      </c>
      <c r="AC228">
        <v>0.0</v>
      </c>
      <c r="AD228">
        <v>3.0</v>
      </c>
      <c r="AE228" t="s">
        <v>3518</v>
      </c>
      <c r="AF228" t="s">
        <v>3450</v>
      </c>
      <c r="AG228" t="s">
        <v>2702</v>
      </c>
      <c r="AH228" t="s">
        <v>3429</v>
      </c>
    </row>
    <row r="229" ht="15.75" customHeight="1">
      <c r="A229" t="s">
        <v>3082</v>
      </c>
      <c r="B229" t="s">
        <v>3083</v>
      </c>
      <c r="C229" t="s">
        <v>575</v>
      </c>
      <c r="D229" t="s">
        <v>1678</v>
      </c>
      <c r="E229" t="s">
        <v>2779</v>
      </c>
      <c r="F229" t="s">
        <v>2780</v>
      </c>
      <c r="G229" t="s">
        <v>2781</v>
      </c>
      <c r="J229">
        <v>0.0</v>
      </c>
      <c r="K229">
        <v>0.0</v>
      </c>
      <c r="L229">
        <v>2.0</v>
      </c>
      <c r="M229">
        <v>3.0</v>
      </c>
      <c r="N229">
        <v>0.0</v>
      </c>
      <c r="O229">
        <v>0.0</v>
      </c>
      <c r="P229">
        <v>2.0</v>
      </c>
      <c r="Q229">
        <v>0.0</v>
      </c>
      <c r="R229">
        <v>0.0</v>
      </c>
      <c r="S229">
        <v>0.0</v>
      </c>
      <c r="T229">
        <v>1.0</v>
      </c>
      <c r="U229">
        <v>0.0</v>
      </c>
      <c r="V229">
        <v>0.0</v>
      </c>
      <c r="W229">
        <v>0.0</v>
      </c>
      <c r="X229" t="s">
        <v>3077</v>
      </c>
      <c r="Y229">
        <v>2.0</v>
      </c>
      <c r="Z229">
        <v>0.0</v>
      </c>
      <c r="AA229" t="s">
        <v>3078</v>
      </c>
      <c r="AB229">
        <v>3.0</v>
      </c>
      <c r="AC229">
        <v>0.0</v>
      </c>
      <c r="AD229">
        <v>3.0</v>
      </c>
      <c r="AE229" t="s">
        <v>3518</v>
      </c>
      <c r="AF229" t="s">
        <v>3452</v>
      </c>
      <c r="AG229" t="s">
        <v>2702</v>
      </c>
      <c r="AH229" t="s">
        <v>3429</v>
      </c>
    </row>
    <row r="230" ht="15.75" customHeight="1">
      <c r="A230" t="s">
        <v>3084</v>
      </c>
      <c r="B230" t="s">
        <v>3085</v>
      </c>
      <c r="C230" t="s">
        <v>578</v>
      </c>
      <c r="D230" t="s">
        <v>1678</v>
      </c>
      <c r="E230" t="s">
        <v>2779</v>
      </c>
      <c r="F230" t="s">
        <v>2780</v>
      </c>
      <c r="G230" t="s">
        <v>2781</v>
      </c>
      <c r="J230">
        <v>0.0</v>
      </c>
      <c r="K230">
        <v>0.0</v>
      </c>
      <c r="L230">
        <v>2.0</v>
      </c>
      <c r="M230">
        <v>4.0</v>
      </c>
      <c r="N230">
        <v>0.0</v>
      </c>
      <c r="O230">
        <v>0.0</v>
      </c>
      <c r="P230">
        <v>3.0</v>
      </c>
      <c r="Q230">
        <v>0.0</v>
      </c>
      <c r="R230">
        <v>0.0</v>
      </c>
      <c r="S230">
        <v>1.0</v>
      </c>
      <c r="T230">
        <v>1.0</v>
      </c>
      <c r="U230">
        <v>0.0</v>
      </c>
      <c r="V230">
        <v>0.0</v>
      </c>
      <c r="W230">
        <v>0.0</v>
      </c>
      <c r="X230" t="s">
        <v>3077</v>
      </c>
      <c r="Y230">
        <v>2.0</v>
      </c>
      <c r="Z230">
        <v>0.0</v>
      </c>
      <c r="AA230" t="s">
        <v>3078</v>
      </c>
      <c r="AB230">
        <v>3.0</v>
      </c>
      <c r="AC230">
        <v>0.0</v>
      </c>
      <c r="AD230">
        <v>3.0</v>
      </c>
      <c r="AE230" t="s">
        <v>3519</v>
      </c>
      <c r="AF230" t="s">
        <v>3452</v>
      </c>
      <c r="AG230" t="s">
        <v>2702</v>
      </c>
      <c r="AH230" t="s">
        <v>3429</v>
      </c>
    </row>
    <row r="231" ht="15.75" customHeight="1">
      <c r="A231" t="s">
        <v>3087</v>
      </c>
      <c r="B231" t="s">
        <v>3088</v>
      </c>
      <c r="C231" t="s">
        <v>581</v>
      </c>
      <c r="D231" t="s">
        <v>1678</v>
      </c>
      <c r="E231" t="s">
        <v>2779</v>
      </c>
      <c r="F231" t="s">
        <v>2780</v>
      </c>
      <c r="G231" t="s">
        <v>2781</v>
      </c>
      <c r="J231">
        <v>0.0</v>
      </c>
      <c r="K231">
        <v>0.0</v>
      </c>
      <c r="L231">
        <v>4.0</v>
      </c>
      <c r="M231">
        <v>6.0</v>
      </c>
      <c r="N231">
        <v>0.0</v>
      </c>
      <c r="O231">
        <v>0.0</v>
      </c>
      <c r="P231">
        <v>4.0</v>
      </c>
      <c r="Q231">
        <v>0.0</v>
      </c>
      <c r="R231">
        <v>0.0</v>
      </c>
      <c r="S231">
        <v>1.0</v>
      </c>
      <c r="T231">
        <v>2.0</v>
      </c>
      <c r="U231">
        <v>0.0</v>
      </c>
      <c r="V231">
        <v>0.0</v>
      </c>
      <c r="W231">
        <v>0.0</v>
      </c>
      <c r="X231" t="s">
        <v>3077</v>
      </c>
      <c r="Y231">
        <v>2.0</v>
      </c>
      <c r="Z231">
        <v>0.0</v>
      </c>
      <c r="AA231" t="s">
        <v>3078</v>
      </c>
      <c r="AB231">
        <v>3.0</v>
      </c>
      <c r="AC231">
        <v>0.0</v>
      </c>
      <c r="AD231">
        <v>3.0</v>
      </c>
      <c r="AE231" t="s">
        <v>3519</v>
      </c>
      <c r="AF231" t="s">
        <v>3454</v>
      </c>
      <c r="AG231" t="s">
        <v>2702</v>
      </c>
      <c r="AH231" t="s">
        <v>3429</v>
      </c>
    </row>
    <row r="232" ht="15.75" customHeight="1">
      <c r="A232" t="s">
        <v>3089</v>
      </c>
      <c r="B232" t="s">
        <v>3090</v>
      </c>
      <c r="C232" t="s">
        <v>584</v>
      </c>
      <c r="D232" t="s">
        <v>1678</v>
      </c>
      <c r="E232" t="s">
        <v>2779</v>
      </c>
      <c r="F232" t="s">
        <v>2780</v>
      </c>
      <c r="G232" t="s">
        <v>2781</v>
      </c>
      <c r="J232">
        <v>0.0</v>
      </c>
      <c r="K232">
        <v>0.0</v>
      </c>
      <c r="L232">
        <v>5.0</v>
      </c>
      <c r="M232">
        <v>8.0</v>
      </c>
      <c r="N232">
        <v>0.0</v>
      </c>
      <c r="O232">
        <v>0.0</v>
      </c>
      <c r="P232">
        <v>5.0</v>
      </c>
      <c r="Q232">
        <v>0.0</v>
      </c>
      <c r="R232">
        <v>0.0</v>
      </c>
      <c r="S232">
        <v>2.0</v>
      </c>
      <c r="T232">
        <v>2.0</v>
      </c>
      <c r="U232">
        <v>0.0</v>
      </c>
      <c r="V232">
        <v>0.0</v>
      </c>
      <c r="W232">
        <v>0.0</v>
      </c>
      <c r="X232" t="s">
        <v>3077</v>
      </c>
      <c r="Y232">
        <v>2.0</v>
      </c>
      <c r="Z232">
        <v>0.0</v>
      </c>
      <c r="AA232" t="s">
        <v>3078</v>
      </c>
      <c r="AB232">
        <v>3.0</v>
      </c>
      <c r="AC232">
        <v>0.0</v>
      </c>
      <c r="AD232">
        <v>3.0</v>
      </c>
      <c r="AE232" t="s">
        <v>3519</v>
      </c>
      <c r="AF232" t="s">
        <v>3455</v>
      </c>
      <c r="AG232" t="s">
        <v>2702</v>
      </c>
      <c r="AH232" t="s">
        <v>3429</v>
      </c>
    </row>
    <row r="233" ht="15.75" customHeight="1">
      <c r="A233" t="s">
        <v>3091</v>
      </c>
      <c r="B233" t="s">
        <v>3092</v>
      </c>
      <c r="C233" t="s">
        <v>569</v>
      </c>
      <c r="D233" t="s">
        <v>1678</v>
      </c>
      <c r="E233" t="s">
        <v>2805</v>
      </c>
      <c r="F233" t="s">
        <v>956</v>
      </c>
      <c r="G233" t="s">
        <v>2806</v>
      </c>
      <c r="J233">
        <v>0.0</v>
      </c>
      <c r="K233">
        <v>0.0</v>
      </c>
      <c r="L233">
        <v>3.0</v>
      </c>
      <c r="M233">
        <v>0.0</v>
      </c>
      <c r="N233">
        <v>0.0</v>
      </c>
      <c r="O233">
        <v>1.0</v>
      </c>
      <c r="P233">
        <v>0.0</v>
      </c>
      <c r="Q233">
        <v>0.0</v>
      </c>
      <c r="R233">
        <v>0.0</v>
      </c>
      <c r="S233">
        <v>0.0</v>
      </c>
      <c r="T233">
        <v>0.0</v>
      </c>
      <c r="U233">
        <v>0.0</v>
      </c>
      <c r="V233">
        <v>0.0</v>
      </c>
      <c r="W233">
        <v>0.0</v>
      </c>
      <c r="X233" t="s">
        <v>3093</v>
      </c>
      <c r="Y233">
        <v>2.0</v>
      </c>
      <c r="Z233">
        <v>0.0</v>
      </c>
      <c r="AA233" t="s">
        <v>3094</v>
      </c>
      <c r="AB233">
        <v>3.0</v>
      </c>
      <c r="AC233">
        <v>0.0</v>
      </c>
      <c r="AD233">
        <v>2.0</v>
      </c>
      <c r="AE233" t="s">
        <v>3520</v>
      </c>
      <c r="AF233" t="s">
        <v>3457</v>
      </c>
      <c r="AG233" t="s">
        <v>2702</v>
      </c>
      <c r="AH233" t="s">
        <v>3429</v>
      </c>
    </row>
    <row r="234" ht="15.75" customHeight="1">
      <c r="A234" t="s">
        <v>3095</v>
      </c>
      <c r="B234" t="s">
        <v>3096</v>
      </c>
      <c r="C234" t="s">
        <v>572</v>
      </c>
      <c r="D234" t="s">
        <v>1678</v>
      </c>
      <c r="E234" t="s">
        <v>2805</v>
      </c>
      <c r="F234" t="s">
        <v>956</v>
      </c>
      <c r="G234" t="s">
        <v>2806</v>
      </c>
      <c r="J234">
        <v>0.0</v>
      </c>
      <c r="K234">
        <v>0.0</v>
      </c>
      <c r="L234">
        <v>3.0</v>
      </c>
      <c r="M234">
        <v>1.0</v>
      </c>
      <c r="N234">
        <v>0.0</v>
      </c>
      <c r="O234">
        <v>1.0</v>
      </c>
      <c r="P234">
        <v>0.0</v>
      </c>
      <c r="Q234">
        <v>1.0</v>
      </c>
      <c r="R234">
        <v>0.0</v>
      </c>
      <c r="S234">
        <v>0.0</v>
      </c>
      <c r="T234">
        <v>0.0</v>
      </c>
      <c r="U234">
        <v>0.0</v>
      </c>
      <c r="V234">
        <v>0.0</v>
      </c>
      <c r="W234">
        <v>0.0</v>
      </c>
      <c r="X234" t="s">
        <v>3093</v>
      </c>
      <c r="Y234">
        <v>2.0</v>
      </c>
      <c r="Z234">
        <v>0.0</v>
      </c>
      <c r="AA234" t="s">
        <v>3094</v>
      </c>
      <c r="AB234">
        <v>3.0</v>
      </c>
      <c r="AC234">
        <v>0.0</v>
      </c>
      <c r="AD234">
        <v>2.0</v>
      </c>
      <c r="AE234" t="s">
        <v>3521</v>
      </c>
      <c r="AF234" t="s">
        <v>3457</v>
      </c>
      <c r="AG234" t="s">
        <v>2702</v>
      </c>
      <c r="AH234" t="s">
        <v>3429</v>
      </c>
    </row>
    <row r="235" ht="15.75" customHeight="1">
      <c r="A235" t="s">
        <v>3098</v>
      </c>
      <c r="B235" t="s">
        <v>3099</v>
      </c>
      <c r="C235" t="s">
        <v>575</v>
      </c>
      <c r="D235" t="s">
        <v>1678</v>
      </c>
      <c r="E235" t="s">
        <v>2805</v>
      </c>
      <c r="F235" t="s">
        <v>956</v>
      </c>
      <c r="G235" t="s">
        <v>2806</v>
      </c>
      <c r="J235">
        <v>0.0</v>
      </c>
      <c r="K235">
        <v>0.0</v>
      </c>
      <c r="L235">
        <v>5.0</v>
      </c>
      <c r="M235">
        <v>1.0</v>
      </c>
      <c r="N235">
        <v>0.0</v>
      </c>
      <c r="O235">
        <v>2.0</v>
      </c>
      <c r="P235">
        <v>0.0</v>
      </c>
      <c r="Q235">
        <v>1.0</v>
      </c>
      <c r="R235">
        <v>0.0</v>
      </c>
      <c r="S235">
        <v>0.0</v>
      </c>
      <c r="T235">
        <v>0.0</v>
      </c>
      <c r="U235">
        <v>0.0</v>
      </c>
      <c r="V235">
        <v>0.0</v>
      </c>
      <c r="W235">
        <v>0.0</v>
      </c>
      <c r="X235" t="s">
        <v>3093</v>
      </c>
      <c r="Y235">
        <v>2.0</v>
      </c>
      <c r="Z235">
        <v>0.0</v>
      </c>
      <c r="AA235" t="s">
        <v>3094</v>
      </c>
      <c r="AB235">
        <v>3.0</v>
      </c>
      <c r="AC235">
        <v>0.0</v>
      </c>
      <c r="AD235">
        <v>2.0</v>
      </c>
      <c r="AE235" t="s">
        <v>3521</v>
      </c>
      <c r="AF235" t="s">
        <v>3459</v>
      </c>
      <c r="AG235" t="s">
        <v>2702</v>
      </c>
      <c r="AH235" t="s">
        <v>3429</v>
      </c>
    </row>
    <row r="236" ht="15.75" customHeight="1">
      <c r="A236" t="s">
        <v>3100</v>
      </c>
      <c r="B236" t="s">
        <v>3101</v>
      </c>
      <c r="C236" t="s">
        <v>578</v>
      </c>
      <c r="D236" t="s">
        <v>1678</v>
      </c>
      <c r="E236" t="s">
        <v>2805</v>
      </c>
      <c r="F236" t="s">
        <v>956</v>
      </c>
      <c r="G236" t="s">
        <v>2806</v>
      </c>
      <c r="J236">
        <v>0.0</v>
      </c>
      <c r="K236">
        <v>0.0</v>
      </c>
      <c r="L236">
        <v>6.0</v>
      </c>
      <c r="M236">
        <v>2.0</v>
      </c>
      <c r="N236">
        <v>1.0</v>
      </c>
      <c r="O236">
        <v>3.0</v>
      </c>
      <c r="P236">
        <v>0.0</v>
      </c>
      <c r="Q236">
        <v>1.0</v>
      </c>
      <c r="R236">
        <v>0.0</v>
      </c>
      <c r="S236">
        <v>0.0</v>
      </c>
      <c r="T236">
        <v>0.0</v>
      </c>
      <c r="U236">
        <v>0.0</v>
      </c>
      <c r="V236">
        <v>0.0</v>
      </c>
      <c r="W236">
        <v>0.0</v>
      </c>
      <c r="X236" t="s">
        <v>3093</v>
      </c>
      <c r="Y236">
        <v>2.0</v>
      </c>
      <c r="Z236">
        <v>0.0</v>
      </c>
      <c r="AA236" t="s">
        <v>3094</v>
      </c>
      <c r="AB236">
        <v>3.0</v>
      </c>
      <c r="AC236">
        <v>0.0</v>
      </c>
      <c r="AD236">
        <v>2.0</v>
      </c>
      <c r="AE236" t="s">
        <v>3522</v>
      </c>
      <c r="AF236" t="s">
        <v>3461</v>
      </c>
      <c r="AG236" t="s">
        <v>2702</v>
      </c>
      <c r="AH236" t="s">
        <v>3429</v>
      </c>
    </row>
    <row r="237" ht="15.75" customHeight="1">
      <c r="A237" t="s">
        <v>3103</v>
      </c>
      <c r="B237" t="s">
        <v>3104</v>
      </c>
      <c r="C237" t="s">
        <v>581</v>
      </c>
      <c r="D237" t="s">
        <v>1678</v>
      </c>
      <c r="E237" t="s">
        <v>2805</v>
      </c>
      <c r="F237" t="s">
        <v>956</v>
      </c>
      <c r="G237" t="s">
        <v>2806</v>
      </c>
      <c r="J237">
        <v>0.0</v>
      </c>
      <c r="K237">
        <v>0.0</v>
      </c>
      <c r="L237">
        <v>9.0</v>
      </c>
      <c r="M237">
        <v>3.0</v>
      </c>
      <c r="N237">
        <v>1.0</v>
      </c>
      <c r="O237">
        <v>4.0</v>
      </c>
      <c r="P237">
        <v>0.0</v>
      </c>
      <c r="Q237">
        <v>2.0</v>
      </c>
      <c r="R237">
        <v>0.0</v>
      </c>
      <c r="S237">
        <v>0.0</v>
      </c>
      <c r="T237">
        <v>0.0</v>
      </c>
      <c r="U237">
        <v>0.0</v>
      </c>
      <c r="V237">
        <v>0.0</v>
      </c>
      <c r="W237">
        <v>0.0</v>
      </c>
      <c r="X237" t="s">
        <v>3093</v>
      </c>
      <c r="Y237">
        <v>2.0</v>
      </c>
      <c r="Z237">
        <v>0.0</v>
      </c>
      <c r="AA237" t="s">
        <v>3094</v>
      </c>
      <c r="AB237">
        <v>3.0</v>
      </c>
      <c r="AC237">
        <v>0.0</v>
      </c>
      <c r="AD237">
        <v>2.0</v>
      </c>
      <c r="AE237" t="s">
        <v>3522</v>
      </c>
      <c r="AF237" t="s">
        <v>3462</v>
      </c>
      <c r="AG237" t="s">
        <v>2702</v>
      </c>
      <c r="AH237" t="s">
        <v>3429</v>
      </c>
    </row>
    <row r="238" ht="15.75" customHeight="1">
      <c r="A238" t="s">
        <v>3105</v>
      </c>
      <c r="B238" t="s">
        <v>3106</v>
      </c>
      <c r="C238" t="s">
        <v>584</v>
      </c>
      <c r="D238" t="s">
        <v>1678</v>
      </c>
      <c r="E238" t="s">
        <v>2805</v>
      </c>
      <c r="F238" t="s">
        <v>956</v>
      </c>
      <c r="G238" t="s">
        <v>2806</v>
      </c>
      <c r="J238">
        <v>0.0</v>
      </c>
      <c r="K238">
        <v>0.0</v>
      </c>
      <c r="L238">
        <v>12.0</v>
      </c>
      <c r="M238">
        <v>4.0</v>
      </c>
      <c r="N238">
        <v>2.0</v>
      </c>
      <c r="O238">
        <v>5.0</v>
      </c>
      <c r="P238">
        <v>0.0</v>
      </c>
      <c r="Q238">
        <v>2.0</v>
      </c>
      <c r="R238">
        <v>0.0</v>
      </c>
      <c r="S238">
        <v>0.0</v>
      </c>
      <c r="T238">
        <v>0.0</v>
      </c>
      <c r="U238">
        <v>0.0</v>
      </c>
      <c r="V238">
        <v>0.0</v>
      </c>
      <c r="W238">
        <v>0.0</v>
      </c>
      <c r="X238" t="s">
        <v>3093</v>
      </c>
      <c r="Y238">
        <v>2.0</v>
      </c>
      <c r="Z238">
        <v>0.0</v>
      </c>
      <c r="AA238" t="s">
        <v>3094</v>
      </c>
      <c r="AB238">
        <v>3.0</v>
      </c>
      <c r="AC238">
        <v>0.0</v>
      </c>
      <c r="AD238">
        <v>2.0</v>
      </c>
      <c r="AE238" t="s">
        <v>3522</v>
      </c>
      <c r="AF238" t="s">
        <v>3463</v>
      </c>
      <c r="AG238" t="s">
        <v>2702</v>
      </c>
      <c r="AH238" t="s">
        <v>3429</v>
      </c>
    </row>
    <row r="239" ht="15.75" customHeight="1">
      <c r="A239" t="s">
        <v>3107</v>
      </c>
      <c r="B239" t="s">
        <v>3108</v>
      </c>
      <c r="C239" t="s">
        <v>569</v>
      </c>
      <c r="D239" t="s">
        <v>1678</v>
      </c>
      <c r="E239" t="s">
        <v>2831</v>
      </c>
      <c r="F239" t="s">
        <v>2780</v>
      </c>
      <c r="G239" t="s">
        <v>2832</v>
      </c>
      <c r="J239">
        <v>0.0</v>
      </c>
      <c r="K239">
        <v>0.0</v>
      </c>
      <c r="L239">
        <v>0.0</v>
      </c>
      <c r="M239">
        <v>2.0</v>
      </c>
      <c r="N239">
        <v>0.0</v>
      </c>
      <c r="O239">
        <v>0.0</v>
      </c>
      <c r="P239">
        <v>0.0</v>
      </c>
      <c r="Q239">
        <v>0.0</v>
      </c>
      <c r="R239">
        <v>1.0</v>
      </c>
      <c r="S239">
        <v>0.0</v>
      </c>
      <c r="T239">
        <v>0.0</v>
      </c>
      <c r="U239">
        <v>0.0</v>
      </c>
      <c r="V239">
        <v>0.0</v>
      </c>
      <c r="W239">
        <v>0.0</v>
      </c>
      <c r="X239" t="s">
        <v>3109</v>
      </c>
      <c r="Y239">
        <v>2.0</v>
      </c>
      <c r="Z239">
        <v>0.0</v>
      </c>
      <c r="AA239" t="s">
        <v>3110</v>
      </c>
      <c r="AB239">
        <v>3.0</v>
      </c>
      <c r="AC239">
        <v>0.0</v>
      </c>
      <c r="AD239">
        <v>2.0</v>
      </c>
      <c r="AE239" t="s">
        <v>3523</v>
      </c>
      <c r="AF239" t="s">
        <v>3465</v>
      </c>
      <c r="AG239" t="s">
        <v>2702</v>
      </c>
      <c r="AH239" t="s">
        <v>3429</v>
      </c>
    </row>
    <row r="240" ht="15.75" customHeight="1">
      <c r="A240" t="s">
        <v>3111</v>
      </c>
      <c r="B240" t="s">
        <v>3112</v>
      </c>
      <c r="C240" t="s">
        <v>572</v>
      </c>
      <c r="D240" t="s">
        <v>1678</v>
      </c>
      <c r="E240" t="s">
        <v>2831</v>
      </c>
      <c r="F240" t="s">
        <v>2780</v>
      </c>
      <c r="G240" t="s">
        <v>2832</v>
      </c>
      <c r="J240">
        <v>0.0</v>
      </c>
      <c r="K240">
        <v>0.0</v>
      </c>
      <c r="L240">
        <v>0.0</v>
      </c>
      <c r="M240">
        <v>3.0</v>
      </c>
      <c r="N240">
        <v>0.0</v>
      </c>
      <c r="O240">
        <v>0.0</v>
      </c>
      <c r="P240">
        <v>0.0</v>
      </c>
      <c r="Q240">
        <v>0.0</v>
      </c>
      <c r="R240">
        <v>1.0</v>
      </c>
      <c r="S240">
        <v>0.0</v>
      </c>
      <c r="T240">
        <v>1.0</v>
      </c>
      <c r="U240">
        <v>0.0</v>
      </c>
      <c r="V240">
        <v>0.0</v>
      </c>
      <c r="W240">
        <v>0.0</v>
      </c>
      <c r="X240" t="s">
        <v>3109</v>
      </c>
      <c r="Y240">
        <v>2.0</v>
      </c>
      <c r="Z240">
        <v>0.0</v>
      </c>
      <c r="AA240" t="s">
        <v>3110</v>
      </c>
      <c r="AB240">
        <v>3.0</v>
      </c>
      <c r="AC240">
        <v>0.0</v>
      </c>
      <c r="AD240">
        <v>2.0</v>
      </c>
      <c r="AE240" t="s">
        <v>3524</v>
      </c>
      <c r="AF240" t="s">
        <v>3465</v>
      </c>
      <c r="AG240" t="s">
        <v>2702</v>
      </c>
      <c r="AH240" t="s">
        <v>3429</v>
      </c>
    </row>
    <row r="241" ht="15.75" customHeight="1">
      <c r="A241" t="s">
        <v>3113</v>
      </c>
      <c r="B241" t="s">
        <v>3114</v>
      </c>
      <c r="C241" t="s">
        <v>575</v>
      </c>
      <c r="D241" t="s">
        <v>1678</v>
      </c>
      <c r="E241" t="s">
        <v>2831</v>
      </c>
      <c r="F241" t="s">
        <v>2780</v>
      </c>
      <c r="G241" t="s">
        <v>2832</v>
      </c>
      <c r="J241">
        <v>0.0</v>
      </c>
      <c r="K241">
        <v>0.0</v>
      </c>
      <c r="L241">
        <v>1.0</v>
      </c>
      <c r="M241">
        <v>4.0</v>
      </c>
      <c r="N241">
        <v>0.0</v>
      </c>
      <c r="O241">
        <v>0.0</v>
      </c>
      <c r="P241">
        <v>0.0</v>
      </c>
      <c r="Q241">
        <v>0.0</v>
      </c>
      <c r="R241">
        <v>2.0</v>
      </c>
      <c r="S241">
        <v>0.0</v>
      </c>
      <c r="T241">
        <v>1.0</v>
      </c>
      <c r="U241">
        <v>0.0</v>
      </c>
      <c r="V241">
        <v>0.0</v>
      </c>
      <c r="W241">
        <v>0.0</v>
      </c>
      <c r="X241" t="s">
        <v>3109</v>
      </c>
      <c r="Y241">
        <v>2.0</v>
      </c>
      <c r="Z241">
        <v>0.0</v>
      </c>
      <c r="AA241" t="s">
        <v>3110</v>
      </c>
      <c r="AB241">
        <v>3.0</v>
      </c>
      <c r="AC241">
        <v>0.0</v>
      </c>
      <c r="AD241">
        <v>2.0</v>
      </c>
      <c r="AE241" t="s">
        <v>3524</v>
      </c>
      <c r="AF241" t="s">
        <v>3467</v>
      </c>
      <c r="AG241" t="s">
        <v>2702</v>
      </c>
      <c r="AH241" t="s">
        <v>3429</v>
      </c>
    </row>
    <row r="242" ht="15.75" customHeight="1">
      <c r="A242" t="s">
        <v>3115</v>
      </c>
      <c r="B242" t="s">
        <v>3116</v>
      </c>
      <c r="C242" t="s">
        <v>578</v>
      </c>
      <c r="D242" t="s">
        <v>1678</v>
      </c>
      <c r="E242" t="s">
        <v>2831</v>
      </c>
      <c r="F242" t="s">
        <v>2780</v>
      </c>
      <c r="G242" t="s">
        <v>2832</v>
      </c>
      <c r="J242">
        <v>0.0</v>
      </c>
      <c r="K242">
        <v>0.0</v>
      </c>
      <c r="L242">
        <v>1.0</v>
      </c>
      <c r="M242">
        <v>5.0</v>
      </c>
      <c r="N242">
        <v>0.0</v>
      </c>
      <c r="O242">
        <v>0.0</v>
      </c>
      <c r="P242">
        <v>0.0</v>
      </c>
      <c r="Q242">
        <v>0.0</v>
      </c>
      <c r="R242">
        <v>3.0</v>
      </c>
      <c r="S242">
        <v>1.0</v>
      </c>
      <c r="T242">
        <v>1.0</v>
      </c>
      <c r="U242">
        <v>0.0</v>
      </c>
      <c r="V242">
        <v>0.0</v>
      </c>
      <c r="W242">
        <v>0.0</v>
      </c>
      <c r="X242" t="s">
        <v>3109</v>
      </c>
      <c r="Y242">
        <v>2.0</v>
      </c>
      <c r="Z242">
        <v>0.0</v>
      </c>
      <c r="AA242" t="s">
        <v>3110</v>
      </c>
      <c r="AB242">
        <v>3.0</v>
      </c>
      <c r="AC242">
        <v>0.0</v>
      </c>
      <c r="AD242">
        <v>2.0</v>
      </c>
      <c r="AE242" t="s">
        <v>3525</v>
      </c>
      <c r="AF242" t="s">
        <v>3467</v>
      </c>
      <c r="AG242" t="s">
        <v>2702</v>
      </c>
      <c r="AH242" t="s">
        <v>3429</v>
      </c>
    </row>
    <row r="243" ht="15.75" customHeight="1">
      <c r="A243" t="s">
        <v>3118</v>
      </c>
      <c r="B243" t="s">
        <v>3119</v>
      </c>
      <c r="C243" t="s">
        <v>581</v>
      </c>
      <c r="D243" t="s">
        <v>1678</v>
      </c>
      <c r="E243" t="s">
        <v>2831</v>
      </c>
      <c r="F243" t="s">
        <v>2780</v>
      </c>
      <c r="G243" t="s">
        <v>2832</v>
      </c>
      <c r="J243">
        <v>0.0</v>
      </c>
      <c r="K243">
        <v>0.0</v>
      </c>
      <c r="L243">
        <v>2.0</v>
      </c>
      <c r="M243">
        <v>8.0</v>
      </c>
      <c r="N243">
        <v>0.0</v>
      </c>
      <c r="O243">
        <v>0.0</v>
      </c>
      <c r="P243">
        <v>0.0</v>
      </c>
      <c r="Q243">
        <v>0.0</v>
      </c>
      <c r="R243">
        <v>4.0</v>
      </c>
      <c r="S243">
        <v>1.0</v>
      </c>
      <c r="T243">
        <v>2.0</v>
      </c>
      <c r="U243">
        <v>0.0</v>
      </c>
      <c r="V243">
        <v>0.0</v>
      </c>
      <c r="W243">
        <v>0.0</v>
      </c>
      <c r="X243" t="s">
        <v>3109</v>
      </c>
      <c r="Y243">
        <v>2.0</v>
      </c>
      <c r="Z243">
        <v>0.0</v>
      </c>
      <c r="AA243" t="s">
        <v>3110</v>
      </c>
      <c r="AB243">
        <v>3.0</v>
      </c>
      <c r="AC243">
        <v>0.0</v>
      </c>
      <c r="AD243">
        <v>2.0</v>
      </c>
      <c r="AE243" t="s">
        <v>3525</v>
      </c>
      <c r="AF243" t="s">
        <v>3469</v>
      </c>
      <c r="AG243" t="s">
        <v>2702</v>
      </c>
      <c r="AH243" t="s">
        <v>3429</v>
      </c>
    </row>
    <row r="244" ht="15.75" customHeight="1">
      <c r="A244" t="s">
        <v>3120</v>
      </c>
      <c r="B244" t="s">
        <v>3121</v>
      </c>
      <c r="C244" t="s">
        <v>584</v>
      </c>
      <c r="D244" t="s">
        <v>1678</v>
      </c>
      <c r="E244" t="s">
        <v>2831</v>
      </c>
      <c r="F244" t="s">
        <v>2780</v>
      </c>
      <c r="G244" t="s">
        <v>2832</v>
      </c>
      <c r="J244">
        <v>0.0</v>
      </c>
      <c r="K244">
        <v>0.0</v>
      </c>
      <c r="L244">
        <v>3.0</v>
      </c>
      <c r="M244">
        <v>10.0</v>
      </c>
      <c r="N244">
        <v>0.0</v>
      </c>
      <c r="O244">
        <v>0.0</v>
      </c>
      <c r="P244">
        <v>0.0</v>
      </c>
      <c r="Q244">
        <v>0.0</v>
      </c>
      <c r="R244">
        <v>5.0</v>
      </c>
      <c r="S244">
        <v>2.0</v>
      </c>
      <c r="T244">
        <v>2.0</v>
      </c>
      <c r="U244">
        <v>0.0</v>
      </c>
      <c r="V244">
        <v>0.0</v>
      </c>
      <c r="W244">
        <v>0.0</v>
      </c>
      <c r="X244" t="s">
        <v>3109</v>
      </c>
      <c r="Y244">
        <v>2.0</v>
      </c>
      <c r="Z244">
        <v>0.0</v>
      </c>
      <c r="AA244" t="s">
        <v>3110</v>
      </c>
      <c r="AB244">
        <v>3.0</v>
      </c>
      <c r="AC244">
        <v>0.0</v>
      </c>
      <c r="AD244">
        <v>2.0</v>
      </c>
      <c r="AE244" t="s">
        <v>3525</v>
      </c>
      <c r="AF244" t="s">
        <v>3470</v>
      </c>
      <c r="AG244" t="s">
        <v>2702</v>
      </c>
      <c r="AH244" t="s">
        <v>3429</v>
      </c>
    </row>
    <row r="245" ht="15.75" customHeight="1">
      <c r="A245" t="s">
        <v>3122</v>
      </c>
      <c r="B245" t="s">
        <v>3123</v>
      </c>
      <c r="C245" t="s">
        <v>569</v>
      </c>
      <c r="D245" t="s">
        <v>1678</v>
      </c>
      <c r="E245" t="s">
        <v>2855</v>
      </c>
      <c r="F245" t="s">
        <v>956</v>
      </c>
      <c r="G245" t="s">
        <v>2856</v>
      </c>
      <c r="J245">
        <v>0.0</v>
      </c>
      <c r="K245">
        <v>0.0</v>
      </c>
      <c r="L245">
        <v>1.0</v>
      </c>
      <c r="M245">
        <v>2.0</v>
      </c>
      <c r="N245">
        <v>1.0</v>
      </c>
      <c r="O245">
        <v>0.0</v>
      </c>
      <c r="P245">
        <v>0.0</v>
      </c>
      <c r="Q245">
        <v>0.0</v>
      </c>
      <c r="R245">
        <v>0.0</v>
      </c>
      <c r="S245">
        <v>0.0</v>
      </c>
      <c r="T245">
        <v>0.0</v>
      </c>
      <c r="U245">
        <v>0.0</v>
      </c>
      <c r="V245">
        <v>0.0</v>
      </c>
      <c r="W245">
        <v>0.0</v>
      </c>
      <c r="X245" t="s">
        <v>3124</v>
      </c>
      <c r="Y245">
        <v>2.0</v>
      </c>
      <c r="Z245">
        <v>0.0</v>
      </c>
      <c r="AA245" t="s">
        <v>3125</v>
      </c>
      <c r="AB245">
        <v>3.0</v>
      </c>
      <c r="AC245">
        <v>0.0</v>
      </c>
      <c r="AD245">
        <v>3.0</v>
      </c>
      <c r="AE245" t="s">
        <v>3526</v>
      </c>
      <c r="AF245" t="s">
        <v>3471</v>
      </c>
      <c r="AG245" t="s">
        <v>2702</v>
      </c>
      <c r="AH245" t="s">
        <v>3429</v>
      </c>
    </row>
    <row r="246" ht="15.75" customHeight="1">
      <c r="A246" t="s">
        <v>3126</v>
      </c>
      <c r="B246" t="s">
        <v>3127</v>
      </c>
      <c r="C246" t="s">
        <v>572</v>
      </c>
      <c r="D246" t="s">
        <v>1678</v>
      </c>
      <c r="E246" t="s">
        <v>2855</v>
      </c>
      <c r="F246" t="s">
        <v>956</v>
      </c>
      <c r="G246" t="s">
        <v>2856</v>
      </c>
      <c r="J246">
        <v>0.0</v>
      </c>
      <c r="K246">
        <v>0.0</v>
      </c>
      <c r="L246">
        <v>2.0</v>
      </c>
      <c r="M246">
        <v>2.0</v>
      </c>
      <c r="N246">
        <v>1.0</v>
      </c>
      <c r="O246">
        <v>0.0</v>
      </c>
      <c r="P246">
        <v>0.0</v>
      </c>
      <c r="Q246">
        <v>0.0</v>
      </c>
      <c r="R246">
        <v>0.0</v>
      </c>
      <c r="S246">
        <v>1.0</v>
      </c>
      <c r="T246">
        <v>0.0</v>
      </c>
      <c r="U246">
        <v>0.0</v>
      </c>
      <c r="V246">
        <v>0.0</v>
      </c>
      <c r="W246">
        <v>0.0</v>
      </c>
      <c r="X246" t="s">
        <v>3124</v>
      </c>
      <c r="Y246">
        <v>2.0</v>
      </c>
      <c r="Z246">
        <v>0.0</v>
      </c>
      <c r="AA246" t="s">
        <v>3125</v>
      </c>
      <c r="AB246">
        <v>3.0</v>
      </c>
      <c r="AC246">
        <v>0.0</v>
      </c>
      <c r="AD246">
        <v>3.0</v>
      </c>
      <c r="AE246" t="s">
        <v>3527</v>
      </c>
      <c r="AF246" t="s">
        <v>3471</v>
      </c>
      <c r="AG246" t="s">
        <v>2702</v>
      </c>
      <c r="AH246" t="s">
        <v>3429</v>
      </c>
    </row>
    <row r="247" ht="15.75" customHeight="1">
      <c r="A247" t="s">
        <v>3128</v>
      </c>
      <c r="B247" t="s">
        <v>3129</v>
      </c>
      <c r="C247" t="s">
        <v>575</v>
      </c>
      <c r="D247" t="s">
        <v>1678</v>
      </c>
      <c r="E247" t="s">
        <v>2855</v>
      </c>
      <c r="F247" t="s">
        <v>956</v>
      </c>
      <c r="G247" t="s">
        <v>2856</v>
      </c>
      <c r="J247">
        <v>0.0</v>
      </c>
      <c r="K247">
        <v>0.0</v>
      </c>
      <c r="L247">
        <v>2.0</v>
      </c>
      <c r="M247">
        <v>4.0</v>
      </c>
      <c r="N247">
        <v>2.0</v>
      </c>
      <c r="O247">
        <v>0.0</v>
      </c>
      <c r="P247">
        <v>0.0</v>
      </c>
      <c r="Q247">
        <v>0.0</v>
      </c>
      <c r="R247">
        <v>0.0</v>
      </c>
      <c r="S247">
        <v>1.0</v>
      </c>
      <c r="T247">
        <v>0.0</v>
      </c>
      <c r="U247">
        <v>0.0</v>
      </c>
      <c r="V247">
        <v>0.0</v>
      </c>
      <c r="W247">
        <v>0.0</v>
      </c>
      <c r="X247" t="s">
        <v>3124</v>
      </c>
      <c r="Y247">
        <v>2.0</v>
      </c>
      <c r="Z247">
        <v>0.0</v>
      </c>
      <c r="AA247" t="s">
        <v>3125</v>
      </c>
      <c r="AB247">
        <v>3.0</v>
      </c>
      <c r="AC247">
        <v>0.0</v>
      </c>
      <c r="AD247">
        <v>3.0</v>
      </c>
      <c r="AE247" t="s">
        <v>3527</v>
      </c>
      <c r="AF247" t="s">
        <v>3473</v>
      </c>
      <c r="AG247" t="s">
        <v>2702</v>
      </c>
      <c r="AH247" t="s">
        <v>3429</v>
      </c>
    </row>
    <row r="248" ht="15.75" customHeight="1">
      <c r="A248" t="s">
        <v>3130</v>
      </c>
      <c r="B248" t="s">
        <v>3131</v>
      </c>
      <c r="C248" t="s">
        <v>578</v>
      </c>
      <c r="D248" t="s">
        <v>1678</v>
      </c>
      <c r="E248" t="s">
        <v>2855</v>
      </c>
      <c r="F248" t="s">
        <v>956</v>
      </c>
      <c r="G248" t="s">
        <v>2856</v>
      </c>
      <c r="J248">
        <v>0.0</v>
      </c>
      <c r="K248">
        <v>0.0</v>
      </c>
      <c r="L248">
        <v>3.0</v>
      </c>
      <c r="M248">
        <v>5.0</v>
      </c>
      <c r="N248">
        <v>3.0</v>
      </c>
      <c r="O248">
        <v>0.0</v>
      </c>
      <c r="P248">
        <v>0.0</v>
      </c>
      <c r="Q248">
        <v>1.0</v>
      </c>
      <c r="R248">
        <v>0.0</v>
      </c>
      <c r="S248">
        <v>1.0</v>
      </c>
      <c r="T248">
        <v>0.0</v>
      </c>
      <c r="U248">
        <v>0.0</v>
      </c>
      <c r="V248">
        <v>0.0</v>
      </c>
      <c r="W248">
        <v>0.0</v>
      </c>
      <c r="X248" t="s">
        <v>3124</v>
      </c>
      <c r="Y248">
        <v>2.0</v>
      </c>
      <c r="Z248">
        <v>0.0</v>
      </c>
      <c r="AA248" t="s">
        <v>3125</v>
      </c>
      <c r="AB248">
        <v>3.0</v>
      </c>
      <c r="AC248">
        <v>0.0</v>
      </c>
      <c r="AD248">
        <v>3.0</v>
      </c>
      <c r="AE248" t="s">
        <v>3528</v>
      </c>
      <c r="AF248" t="s">
        <v>3473</v>
      </c>
      <c r="AG248" t="s">
        <v>2702</v>
      </c>
      <c r="AH248" t="s">
        <v>3429</v>
      </c>
    </row>
    <row r="249" ht="15.75" customHeight="1">
      <c r="A249" t="s">
        <v>3132</v>
      </c>
      <c r="B249" t="s">
        <v>3133</v>
      </c>
      <c r="C249" t="s">
        <v>581</v>
      </c>
      <c r="D249" t="s">
        <v>1678</v>
      </c>
      <c r="E249" t="s">
        <v>2855</v>
      </c>
      <c r="F249" t="s">
        <v>956</v>
      </c>
      <c r="G249" t="s">
        <v>2856</v>
      </c>
      <c r="J249">
        <v>0.0</v>
      </c>
      <c r="K249">
        <v>0.0</v>
      </c>
      <c r="L249">
        <v>5.0</v>
      </c>
      <c r="M249">
        <v>7.0</v>
      </c>
      <c r="N249">
        <v>4.0</v>
      </c>
      <c r="O249">
        <v>0.0</v>
      </c>
      <c r="P249">
        <v>0.0</v>
      </c>
      <c r="Q249">
        <v>1.0</v>
      </c>
      <c r="R249">
        <v>0.0</v>
      </c>
      <c r="S249">
        <v>2.0</v>
      </c>
      <c r="T249">
        <v>0.0</v>
      </c>
      <c r="U249">
        <v>0.0</v>
      </c>
      <c r="V249">
        <v>0.0</v>
      </c>
      <c r="W249">
        <v>0.0</v>
      </c>
      <c r="X249" t="s">
        <v>3124</v>
      </c>
      <c r="Y249">
        <v>2.0</v>
      </c>
      <c r="Z249">
        <v>0.0</v>
      </c>
      <c r="AA249" t="s">
        <v>3125</v>
      </c>
      <c r="AB249">
        <v>3.0</v>
      </c>
      <c r="AC249">
        <v>0.0</v>
      </c>
      <c r="AD249">
        <v>3.0</v>
      </c>
      <c r="AE249" t="s">
        <v>3528</v>
      </c>
      <c r="AF249" t="s">
        <v>3475</v>
      </c>
      <c r="AG249" t="s">
        <v>2702</v>
      </c>
      <c r="AH249" t="s">
        <v>3429</v>
      </c>
    </row>
    <row r="250" ht="15.75" customHeight="1">
      <c r="A250" t="s">
        <v>3134</v>
      </c>
      <c r="B250" t="s">
        <v>3135</v>
      </c>
      <c r="C250" t="s">
        <v>584</v>
      </c>
      <c r="D250" t="s">
        <v>1678</v>
      </c>
      <c r="E250" t="s">
        <v>2855</v>
      </c>
      <c r="F250" t="s">
        <v>956</v>
      </c>
      <c r="G250" t="s">
        <v>2856</v>
      </c>
      <c r="J250">
        <v>0.0</v>
      </c>
      <c r="K250">
        <v>0.0</v>
      </c>
      <c r="L250">
        <v>6.0</v>
      </c>
      <c r="M250">
        <v>10.0</v>
      </c>
      <c r="N250">
        <v>5.0</v>
      </c>
      <c r="O250">
        <v>0.0</v>
      </c>
      <c r="P250">
        <v>0.0</v>
      </c>
      <c r="Q250">
        <v>2.0</v>
      </c>
      <c r="R250">
        <v>0.0</v>
      </c>
      <c r="S250">
        <v>2.0</v>
      </c>
      <c r="T250">
        <v>0.0</v>
      </c>
      <c r="U250">
        <v>0.0</v>
      </c>
      <c r="V250">
        <v>0.0</v>
      </c>
      <c r="W250">
        <v>0.0</v>
      </c>
      <c r="X250" t="s">
        <v>3124</v>
      </c>
      <c r="Y250">
        <v>2.0</v>
      </c>
      <c r="Z250">
        <v>0.0</v>
      </c>
      <c r="AA250" t="s">
        <v>3125</v>
      </c>
      <c r="AB250">
        <v>3.0</v>
      </c>
      <c r="AC250">
        <v>0.0</v>
      </c>
      <c r="AD250">
        <v>3.0</v>
      </c>
      <c r="AE250" t="s">
        <v>3528</v>
      </c>
      <c r="AF250" t="s">
        <v>3476</v>
      </c>
      <c r="AG250" t="s">
        <v>2702</v>
      </c>
      <c r="AH250" t="s">
        <v>3429</v>
      </c>
    </row>
    <row r="251" ht="15.75" customHeight="1">
      <c r="A251" t="s">
        <v>3136</v>
      </c>
      <c r="B251" t="s">
        <v>3137</v>
      </c>
      <c r="C251" t="s">
        <v>569</v>
      </c>
      <c r="D251" t="s">
        <v>1678</v>
      </c>
      <c r="E251" t="s">
        <v>2878</v>
      </c>
      <c r="F251" t="s">
        <v>956</v>
      </c>
      <c r="G251" t="s">
        <v>2879</v>
      </c>
      <c r="J251">
        <v>0.0</v>
      </c>
      <c r="K251">
        <v>0.0</v>
      </c>
      <c r="L251">
        <v>0.0</v>
      </c>
      <c r="M251">
        <v>3.0</v>
      </c>
      <c r="N251">
        <v>0.0</v>
      </c>
      <c r="O251">
        <v>0.0</v>
      </c>
      <c r="P251">
        <v>0.0</v>
      </c>
      <c r="Q251">
        <v>0.0</v>
      </c>
      <c r="R251">
        <v>0.0</v>
      </c>
      <c r="S251">
        <v>1.0</v>
      </c>
      <c r="T251">
        <v>0.0</v>
      </c>
      <c r="U251">
        <v>0.0</v>
      </c>
      <c r="V251">
        <v>0.0</v>
      </c>
      <c r="W251">
        <v>0.0</v>
      </c>
      <c r="X251" t="s">
        <v>3138</v>
      </c>
      <c r="Y251">
        <v>2.0</v>
      </c>
      <c r="Z251">
        <v>0.0</v>
      </c>
      <c r="AA251" t="s">
        <v>3139</v>
      </c>
      <c r="AB251">
        <v>3.0</v>
      </c>
      <c r="AC251">
        <v>0.0</v>
      </c>
      <c r="AD251">
        <v>2.0</v>
      </c>
      <c r="AE251" t="s">
        <v>3529</v>
      </c>
      <c r="AF251" t="s">
        <v>3478</v>
      </c>
      <c r="AG251" t="s">
        <v>2702</v>
      </c>
      <c r="AH251" t="s">
        <v>3429</v>
      </c>
    </row>
    <row r="252" ht="15.75" customHeight="1">
      <c r="A252" t="s">
        <v>3140</v>
      </c>
      <c r="B252" t="s">
        <v>3141</v>
      </c>
      <c r="C252" t="s">
        <v>572</v>
      </c>
      <c r="D252" t="s">
        <v>1678</v>
      </c>
      <c r="E252" t="s">
        <v>2878</v>
      </c>
      <c r="F252" t="s">
        <v>956</v>
      </c>
      <c r="G252" t="s">
        <v>2879</v>
      </c>
      <c r="J252">
        <v>0.0</v>
      </c>
      <c r="K252">
        <v>0.0</v>
      </c>
      <c r="L252">
        <v>1.0</v>
      </c>
      <c r="M252">
        <v>3.0</v>
      </c>
      <c r="N252">
        <v>0.0</v>
      </c>
      <c r="O252">
        <v>0.0</v>
      </c>
      <c r="P252">
        <v>0.0</v>
      </c>
      <c r="Q252">
        <v>0.0</v>
      </c>
      <c r="R252">
        <v>1.0</v>
      </c>
      <c r="S252">
        <v>1.0</v>
      </c>
      <c r="T252">
        <v>0.0</v>
      </c>
      <c r="U252">
        <v>0.0</v>
      </c>
      <c r="V252">
        <v>0.0</v>
      </c>
      <c r="W252">
        <v>0.0</v>
      </c>
      <c r="X252" t="s">
        <v>3138</v>
      </c>
      <c r="Y252">
        <v>2.0</v>
      </c>
      <c r="Z252">
        <v>0.0</v>
      </c>
      <c r="AA252" t="s">
        <v>3139</v>
      </c>
      <c r="AB252">
        <v>3.0</v>
      </c>
      <c r="AC252">
        <v>0.0</v>
      </c>
      <c r="AD252">
        <v>2.0</v>
      </c>
      <c r="AE252" t="s">
        <v>3530</v>
      </c>
      <c r="AF252" t="s">
        <v>3478</v>
      </c>
      <c r="AG252" t="s">
        <v>2702</v>
      </c>
      <c r="AH252" t="s">
        <v>3429</v>
      </c>
    </row>
    <row r="253" ht="15.75" customHeight="1">
      <c r="A253" t="s">
        <v>3142</v>
      </c>
      <c r="B253" t="s">
        <v>3143</v>
      </c>
      <c r="C253" t="s">
        <v>575</v>
      </c>
      <c r="D253" t="s">
        <v>1678</v>
      </c>
      <c r="E253" t="s">
        <v>2878</v>
      </c>
      <c r="F253" t="s">
        <v>956</v>
      </c>
      <c r="G253" t="s">
        <v>2879</v>
      </c>
      <c r="J253">
        <v>0.0</v>
      </c>
      <c r="K253">
        <v>0.0</v>
      </c>
      <c r="L253">
        <v>1.0</v>
      </c>
      <c r="M253">
        <v>5.0</v>
      </c>
      <c r="N253">
        <v>0.0</v>
      </c>
      <c r="O253">
        <v>0.0</v>
      </c>
      <c r="P253">
        <v>0.0</v>
      </c>
      <c r="Q253">
        <v>0.0</v>
      </c>
      <c r="R253">
        <v>1.0</v>
      </c>
      <c r="S253">
        <v>2.0</v>
      </c>
      <c r="T253">
        <v>0.0</v>
      </c>
      <c r="U253">
        <v>0.0</v>
      </c>
      <c r="V253">
        <v>0.0</v>
      </c>
      <c r="W253">
        <v>0.0</v>
      </c>
      <c r="X253" t="s">
        <v>3138</v>
      </c>
      <c r="Y253">
        <v>2.0</v>
      </c>
      <c r="Z253">
        <v>0.0</v>
      </c>
      <c r="AA253" t="s">
        <v>3139</v>
      </c>
      <c r="AB253">
        <v>3.0</v>
      </c>
      <c r="AC253">
        <v>0.0</v>
      </c>
      <c r="AD253">
        <v>2.0</v>
      </c>
      <c r="AE253" t="s">
        <v>3530</v>
      </c>
      <c r="AF253" t="s">
        <v>3480</v>
      </c>
      <c r="AG253" t="s">
        <v>2702</v>
      </c>
      <c r="AH253" t="s">
        <v>3429</v>
      </c>
    </row>
    <row r="254" ht="15.75" customHeight="1">
      <c r="A254" t="s">
        <v>3144</v>
      </c>
      <c r="B254" t="s">
        <v>3145</v>
      </c>
      <c r="C254" t="s">
        <v>578</v>
      </c>
      <c r="D254" t="s">
        <v>1678</v>
      </c>
      <c r="E254" t="s">
        <v>2878</v>
      </c>
      <c r="F254" t="s">
        <v>956</v>
      </c>
      <c r="G254" t="s">
        <v>2879</v>
      </c>
      <c r="J254">
        <v>0.0</v>
      </c>
      <c r="K254">
        <v>0.0</v>
      </c>
      <c r="L254">
        <v>2.0</v>
      </c>
      <c r="M254">
        <v>6.0</v>
      </c>
      <c r="N254">
        <v>1.0</v>
      </c>
      <c r="O254">
        <v>0.0</v>
      </c>
      <c r="P254">
        <v>0.0</v>
      </c>
      <c r="Q254">
        <v>0.0</v>
      </c>
      <c r="R254">
        <v>1.0</v>
      </c>
      <c r="S254">
        <v>3.0</v>
      </c>
      <c r="T254">
        <v>0.0</v>
      </c>
      <c r="U254">
        <v>0.0</v>
      </c>
      <c r="V254">
        <v>0.0</v>
      </c>
      <c r="W254">
        <v>0.0</v>
      </c>
      <c r="X254" t="s">
        <v>3138</v>
      </c>
      <c r="Y254">
        <v>2.0</v>
      </c>
      <c r="Z254">
        <v>0.0</v>
      </c>
      <c r="AA254" t="s">
        <v>3139</v>
      </c>
      <c r="AB254">
        <v>3.0</v>
      </c>
      <c r="AC254">
        <v>0.0</v>
      </c>
      <c r="AD254">
        <v>2.0</v>
      </c>
      <c r="AE254" t="s">
        <v>3531</v>
      </c>
      <c r="AF254" t="s">
        <v>3480</v>
      </c>
      <c r="AG254" t="s">
        <v>2702</v>
      </c>
      <c r="AH254" t="s">
        <v>3429</v>
      </c>
    </row>
    <row r="255" ht="15.75" customHeight="1">
      <c r="A255" t="s">
        <v>3147</v>
      </c>
      <c r="B255" t="s">
        <v>3148</v>
      </c>
      <c r="C255" t="s">
        <v>581</v>
      </c>
      <c r="D255" t="s">
        <v>1678</v>
      </c>
      <c r="E255" t="s">
        <v>2878</v>
      </c>
      <c r="F255" t="s">
        <v>956</v>
      </c>
      <c r="G255" t="s">
        <v>2879</v>
      </c>
      <c r="J255">
        <v>0.0</v>
      </c>
      <c r="K255">
        <v>0.0</v>
      </c>
      <c r="L255">
        <v>3.0</v>
      </c>
      <c r="M255">
        <v>9.0</v>
      </c>
      <c r="N255">
        <v>1.0</v>
      </c>
      <c r="O255">
        <v>0.0</v>
      </c>
      <c r="P255">
        <v>0.0</v>
      </c>
      <c r="Q255">
        <v>0.0</v>
      </c>
      <c r="R255">
        <v>2.0</v>
      </c>
      <c r="S255">
        <v>4.0</v>
      </c>
      <c r="T255">
        <v>0.0</v>
      </c>
      <c r="U255">
        <v>0.0</v>
      </c>
      <c r="V255">
        <v>0.0</v>
      </c>
      <c r="W255">
        <v>0.0</v>
      </c>
      <c r="X255" t="s">
        <v>3138</v>
      </c>
      <c r="Y255">
        <v>2.0</v>
      </c>
      <c r="Z255">
        <v>0.0</v>
      </c>
      <c r="AA255" t="s">
        <v>3139</v>
      </c>
      <c r="AB255">
        <v>3.0</v>
      </c>
      <c r="AC255">
        <v>0.0</v>
      </c>
      <c r="AD255">
        <v>2.0</v>
      </c>
      <c r="AE255" t="s">
        <v>3531</v>
      </c>
      <c r="AF255" t="s">
        <v>3482</v>
      </c>
      <c r="AG255" t="s">
        <v>2702</v>
      </c>
      <c r="AH255" t="s">
        <v>3429</v>
      </c>
    </row>
    <row r="256" ht="15.75" customHeight="1">
      <c r="A256" t="s">
        <v>3149</v>
      </c>
      <c r="B256" t="s">
        <v>3150</v>
      </c>
      <c r="C256" t="s">
        <v>584</v>
      </c>
      <c r="D256" t="s">
        <v>1678</v>
      </c>
      <c r="E256" t="s">
        <v>2878</v>
      </c>
      <c r="F256" t="s">
        <v>956</v>
      </c>
      <c r="G256" t="s">
        <v>2879</v>
      </c>
      <c r="J256">
        <v>0.0</v>
      </c>
      <c r="K256">
        <v>0.0</v>
      </c>
      <c r="L256">
        <v>4.0</v>
      </c>
      <c r="M256">
        <v>12.0</v>
      </c>
      <c r="N256">
        <v>2.0</v>
      </c>
      <c r="O256">
        <v>0.0</v>
      </c>
      <c r="P256">
        <v>0.0</v>
      </c>
      <c r="Q256">
        <v>0.0</v>
      </c>
      <c r="R256">
        <v>2.0</v>
      </c>
      <c r="S256">
        <v>5.0</v>
      </c>
      <c r="T256">
        <v>0.0</v>
      </c>
      <c r="U256">
        <v>0.0</v>
      </c>
      <c r="V256">
        <v>0.0</v>
      </c>
      <c r="W256">
        <v>0.0</v>
      </c>
      <c r="X256" t="s">
        <v>3138</v>
      </c>
      <c r="Y256">
        <v>2.0</v>
      </c>
      <c r="Z256">
        <v>0.0</v>
      </c>
      <c r="AA256" t="s">
        <v>3139</v>
      </c>
      <c r="AB256">
        <v>3.0</v>
      </c>
      <c r="AC256">
        <v>0.0</v>
      </c>
      <c r="AD256">
        <v>2.0</v>
      </c>
      <c r="AE256" t="s">
        <v>3531</v>
      </c>
      <c r="AF256" t="s">
        <v>3483</v>
      </c>
      <c r="AG256" t="s">
        <v>2702</v>
      </c>
      <c r="AH256" t="s">
        <v>3429</v>
      </c>
    </row>
    <row r="257" ht="15.75" customHeight="1">
      <c r="A257" t="s">
        <v>3153</v>
      </c>
      <c r="B257" t="s">
        <v>3154</v>
      </c>
      <c r="C257" t="s">
        <v>569</v>
      </c>
      <c r="D257" t="s">
        <v>1680</v>
      </c>
      <c r="E257" t="s">
        <v>3154</v>
      </c>
      <c r="J257">
        <v>0.0</v>
      </c>
      <c r="K257">
        <v>0.0</v>
      </c>
      <c r="L257">
        <v>0.0</v>
      </c>
      <c r="M257">
        <v>0.0</v>
      </c>
      <c r="N257">
        <v>0.0</v>
      </c>
      <c r="O257">
        <v>0.0</v>
      </c>
      <c r="P257">
        <v>0.0</v>
      </c>
      <c r="Q257">
        <v>0.0</v>
      </c>
      <c r="R257">
        <v>0.0</v>
      </c>
      <c r="S257">
        <v>0.0</v>
      </c>
      <c r="T257">
        <v>1.0</v>
      </c>
      <c r="U257">
        <v>0.0</v>
      </c>
      <c r="V257">
        <v>0.0</v>
      </c>
      <c r="W257">
        <v>0.0</v>
      </c>
      <c r="X257" t="s">
        <v>3157</v>
      </c>
      <c r="Y257">
        <v>2.0</v>
      </c>
      <c r="Z257">
        <v>0.0</v>
      </c>
      <c r="AA257" t="s">
        <v>3158</v>
      </c>
      <c r="AB257">
        <v>3.0</v>
      </c>
      <c r="AC257">
        <v>0.0</v>
      </c>
      <c r="AD257">
        <v>1.0</v>
      </c>
      <c r="AE257" t="s">
        <v>3532</v>
      </c>
      <c r="AG257" t="s">
        <v>3533</v>
      </c>
      <c r="AH257" t="s">
        <v>3429</v>
      </c>
    </row>
    <row r="258" ht="15.75" customHeight="1">
      <c r="A258" t="s">
        <v>3159</v>
      </c>
      <c r="B258" t="s">
        <v>3160</v>
      </c>
      <c r="C258" t="s">
        <v>572</v>
      </c>
      <c r="D258" t="s">
        <v>1680</v>
      </c>
      <c r="E258" t="s">
        <v>3154</v>
      </c>
      <c r="J258">
        <v>0.0</v>
      </c>
      <c r="K258">
        <v>0.0</v>
      </c>
      <c r="L258">
        <v>0.0</v>
      </c>
      <c r="M258">
        <v>0.0</v>
      </c>
      <c r="N258">
        <v>0.0</v>
      </c>
      <c r="O258">
        <v>0.0</v>
      </c>
      <c r="P258">
        <v>0.0</v>
      </c>
      <c r="Q258">
        <v>0.0</v>
      </c>
      <c r="R258">
        <v>0.0</v>
      </c>
      <c r="S258">
        <v>0.0</v>
      </c>
      <c r="T258">
        <v>1.0</v>
      </c>
      <c r="U258">
        <v>0.0</v>
      </c>
      <c r="V258">
        <v>0.0</v>
      </c>
      <c r="W258">
        <v>0.0</v>
      </c>
      <c r="X258" t="s">
        <v>3157</v>
      </c>
      <c r="Y258">
        <v>2.0</v>
      </c>
      <c r="Z258">
        <v>0.0</v>
      </c>
      <c r="AA258" t="s">
        <v>3158</v>
      </c>
      <c r="AB258">
        <v>3.0</v>
      </c>
      <c r="AC258">
        <v>0.0</v>
      </c>
      <c r="AD258">
        <v>1.0</v>
      </c>
      <c r="AE258" t="s">
        <v>3534</v>
      </c>
      <c r="AG258" t="s">
        <v>3533</v>
      </c>
      <c r="AH258" t="s">
        <v>3429</v>
      </c>
    </row>
    <row r="259" ht="15.75" customHeight="1">
      <c r="A259" t="s">
        <v>3162</v>
      </c>
      <c r="B259" t="s">
        <v>3163</v>
      </c>
      <c r="C259" t="s">
        <v>575</v>
      </c>
      <c r="D259" t="s">
        <v>1680</v>
      </c>
      <c r="E259" t="s">
        <v>3154</v>
      </c>
      <c r="J259">
        <v>0.0</v>
      </c>
      <c r="K259">
        <v>0.0</v>
      </c>
      <c r="L259">
        <v>0.0</v>
      </c>
      <c r="M259">
        <v>0.0</v>
      </c>
      <c r="N259">
        <v>0.0</v>
      </c>
      <c r="O259">
        <v>0.0</v>
      </c>
      <c r="P259">
        <v>1.0</v>
      </c>
      <c r="Q259">
        <v>0.0</v>
      </c>
      <c r="R259">
        <v>0.0</v>
      </c>
      <c r="S259">
        <v>0.0</v>
      </c>
      <c r="T259">
        <v>1.0</v>
      </c>
      <c r="U259">
        <v>0.0</v>
      </c>
      <c r="V259">
        <v>0.0</v>
      </c>
      <c r="W259">
        <v>0.0</v>
      </c>
      <c r="X259" t="s">
        <v>3157</v>
      </c>
      <c r="Y259">
        <v>2.0</v>
      </c>
      <c r="Z259">
        <v>0.0</v>
      </c>
      <c r="AA259" t="s">
        <v>3158</v>
      </c>
      <c r="AB259">
        <v>3.0</v>
      </c>
      <c r="AC259">
        <v>0.0</v>
      </c>
      <c r="AD259">
        <v>1.0</v>
      </c>
      <c r="AE259" t="s">
        <v>3534</v>
      </c>
      <c r="AG259" t="s">
        <v>3533</v>
      </c>
      <c r="AH259" t="s">
        <v>3429</v>
      </c>
    </row>
    <row r="260" ht="15.75" customHeight="1">
      <c r="A260" t="s">
        <v>3164</v>
      </c>
      <c r="B260" t="s">
        <v>3165</v>
      </c>
      <c r="C260" t="s">
        <v>578</v>
      </c>
      <c r="D260" t="s">
        <v>1680</v>
      </c>
      <c r="E260" t="s">
        <v>3154</v>
      </c>
      <c r="J260">
        <v>0.0</v>
      </c>
      <c r="K260">
        <v>0.0</v>
      </c>
      <c r="L260">
        <v>0.0</v>
      </c>
      <c r="M260">
        <v>0.0</v>
      </c>
      <c r="N260">
        <v>0.0</v>
      </c>
      <c r="O260">
        <v>0.0</v>
      </c>
      <c r="P260">
        <v>1.0</v>
      </c>
      <c r="Q260">
        <v>0.0</v>
      </c>
      <c r="R260">
        <v>0.0</v>
      </c>
      <c r="S260">
        <v>0.0</v>
      </c>
      <c r="T260">
        <v>2.0</v>
      </c>
      <c r="U260">
        <v>0.0</v>
      </c>
      <c r="V260">
        <v>0.0</v>
      </c>
      <c r="W260">
        <v>0.0</v>
      </c>
      <c r="X260" t="s">
        <v>3157</v>
      </c>
      <c r="Y260">
        <v>2.0</v>
      </c>
      <c r="Z260">
        <v>0.0</v>
      </c>
      <c r="AA260" t="s">
        <v>3158</v>
      </c>
      <c r="AB260">
        <v>3.0</v>
      </c>
      <c r="AC260">
        <v>0.0</v>
      </c>
      <c r="AD260">
        <v>1.0</v>
      </c>
      <c r="AE260" t="s">
        <v>3535</v>
      </c>
      <c r="AG260" t="s">
        <v>3533</v>
      </c>
      <c r="AH260" t="s">
        <v>3429</v>
      </c>
    </row>
    <row r="261" ht="15.75" customHeight="1">
      <c r="A261" t="s">
        <v>3167</v>
      </c>
      <c r="B261" t="s">
        <v>3168</v>
      </c>
      <c r="C261" t="s">
        <v>581</v>
      </c>
      <c r="D261" t="s">
        <v>1680</v>
      </c>
      <c r="E261" t="s">
        <v>3154</v>
      </c>
      <c r="J261">
        <v>0.0</v>
      </c>
      <c r="K261">
        <v>0.0</v>
      </c>
      <c r="L261">
        <v>0.0</v>
      </c>
      <c r="M261">
        <v>0.0</v>
      </c>
      <c r="N261">
        <v>0.0</v>
      </c>
      <c r="O261">
        <v>0.0</v>
      </c>
      <c r="P261">
        <v>1.0</v>
      </c>
      <c r="Q261">
        <v>0.0</v>
      </c>
      <c r="R261">
        <v>0.0</v>
      </c>
      <c r="S261">
        <v>1.0</v>
      </c>
      <c r="T261">
        <v>2.0</v>
      </c>
      <c r="U261">
        <v>0.0</v>
      </c>
      <c r="V261">
        <v>0.0</v>
      </c>
      <c r="W261">
        <v>0.0</v>
      </c>
      <c r="X261" t="s">
        <v>3157</v>
      </c>
      <c r="Y261">
        <v>2.0</v>
      </c>
      <c r="Z261">
        <v>0.0</v>
      </c>
      <c r="AA261" t="s">
        <v>3158</v>
      </c>
      <c r="AB261">
        <v>3.0</v>
      </c>
      <c r="AC261">
        <v>0.0</v>
      </c>
      <c r="AD261">
        <v>1.0</v>
      </c>
      <c r="AE261" t="s">
        <v>3535</v>
      </c>
      <c r="AG261" t="s">
        <v>3533</v>
      </c>
      <c r="AH261" t="s">
        <v>3429</v>
      </c>
    </row>
    <row r="262" ht="15.75" customHeight="1">
      <c r="A262" t="s">
        <v>3169</v>
      </c>
      <c r="B262" t="s">
        <v>3170</v>
      </c>
      <c r="C262" t="s">
        <v>584</v>
      </c>
      <c r="D262" t="s">
        <v>1680</v>
      </c>
      <c r="E262" t="s">
        <v>3154</v>
      </c>
      <c r="J262">
        <v>0.0</v>
      </c>
      <c r="K262">
        <v>0.0</v>
      </c>
      <c r="L262">
        <v>0.0</v>
      </c>
      <c r="M262">
        <v>0.0</v>
      </c>
      <c r="N262">
        <v>0.0</v>
      </c>
      <c r="O262">
        <v>0.0</v>
      </c>
      <c r="P262">
        <v>1.0</v>
      </c>
      <c r="Q262">
        <v>0.0</v>
      </c>
      <c r="R262">
        <v>0.0</v>
      </c>
      <c r="S262">
        <v>1.0</v>
      </c>
      <c r="T262">
        <v>3.0</v>
      </c>
      <c r="U262">
        <v>0.0</v>
      </c>
      <c r="V262">
        <v>0.0</v>
      </c>
      <c r="W262">
        <v>0.0</v>
      </c>
      <c r="X262" t="s">
        <v>3157</v>
      </c>
      <c r="Y262">
        <v>2.0</v>
      </c>
      <c r="Z262">
        <v>0.0</v>
      </c>
      <c r="AA262" t="s">
        <v>3158</v>
      </c>
      <c r="AB262">
        <v>3.0</v>
      </c>
      <c r="AC262">
        <v>0.0</v>
      </c>
      <c r="AD262">
        <v>1.0</v>
      </c>
      <c r="AE262" t="s">
        <v>3535</v>
      </c>
      <c r="AG262" t="s">
        <v>3533</v>
      </c>
      <c r="AH262" t="s">
        <v>3429</v>
      </c>
    </row>
    <row r="263" ht="15.75" customHeight="1">
      <c r="A263" t="s">
        <v>3171</v>
      </c>
      <c r="B263" t="s">
        <v>3172</v>
      </c>
      <c r="C263" t="s">
        <v>569</v>
      </c>
      <c r="D263" t="s">
        <v>1680</v>
      </c>
      <c r="E263" t="s">
        <v>3172</v>
      </c>
      <c r="J263">
        <v>0.0</v>
      </c>
      <c r="K263">
        <v>0.0</v>
      </c>
      <c r="L263">
        <v>0.0</v>
      </c>
      <c r="M263">
        <v>0.0</v>
      </c>
      <c r="N263">
        <v>0.0</v>
      </c>
      <c r="O263">
        <v>1.0</v>
      </c>
      <c r="P263">
        <v>0.0</v>
      </c>
      <c r="Q263">
        <v>0.0</v>
      </c>
      <c r="R263">
        <v>0.0</v>
      </c>
      <c r="S263">
        <v>0.0</v>
      </c>
      <c r="T263">
        <v>0.0</v>
      </c>
      <c r="U263">
        <v>0.0</v>
      </c>
      <c r="V263">
        <v>0.0</v>
      </c>
      <c r="W263">
        <v>0.0</v>
      </c>
      <c r="X263" t="s">
        <v>3174</v>
      </c>
      <c r="Y263">
        <v>2.0</v>
      </c>
      <c r="Z263">
        <v>0.0</v>
      </c>
      <c r="AA263" t="s">
        <v>3175</v>
      </c>
      <c r="AB263">
        <v>3.0</v>
      </c>
      <c r="AC263">
        <v>0.0</v>
      </c>
      <c r="AD263">
        <v>1.0</v>
      </c>
      <c r="AE263" t="s">
        <v>3536</v>
      </c>
      <c r="AG263" t="s">
        <v>3533</v>
      </c>
      <c r="AH263" t="s">
        <v>3429</v>
      </c>
    </row>
    <row r="264" ht="15.75" customHeight="1">
      <c r="A264" t="s">
        <v>3176</v>
      </c>
      <c r="B264" t="s">
        <v>3177</v>
      </c>
      <c r="C264" t="s">
        <v>572</v>
      </c>
      <c r="D264" t="s">
        <v>1680</v>
      </c>
      <c r="E264" t="s">
        <v>3172</v>
      </c>
      <c r="J264">
        <v>0.0</v>
      </c>
      <c r="K264">
        <v>0.0</v>
      </c>
      <c r="L264">
        <v>0.0</v>
      </c>
      <c r="M264">
        <v>0.0</v>
      </c>
      <c r="N264">
        <v>0.0</v>
      </c>
      <c r="O264">
        <v>1.0</v>
      </c>
      <c r="P264">
        <v>0.0</v>
      </c>
      <c r="Q264">
        <v>0.0</v>
      </c>
      <c r="R264">
        <v>0.0</v>
      </c>
      <c r="S264">
        <v>0.0</v>
      </c>
      <c r="T264">
        <v>0.0</v>
      </c>
      <c r="U264">
        <v>0.0</v>
      </c>
      <c r="V264">
        <v>0.0</v>
      </c>
      <c r="W264">
        <v>0.0</v>
      </c>
      <c r="X264" t="s">
        <v>3174</v>
      </c>
      <c r="Y264">
        <v>2.0</v>
      </c>
      <c r="Z264">
        <v>0.0</v>
      </c>
      <c r="AA264" t="s">
        <v>3175</v>
      </c>
      <c r="AB264">
        <v>3.0</v>
      </c>
      <c r="AC264">
        <v>0.0</v>
      </c>
      <c r="AD264">
        <v>1.0</v>
      </c>
      <c r="AE264" t="s">
        <v>3537</v>
      </c>
      <c r="AG264" t="s">
        <v>3533</v>
      </c>
      <c r="AH264" t="s">
        <v>3429</v>
      </c>
    </row>
    <row r="265" ht="15.75" customHeight="1">
      <c r="A265" t="s">
        <v>3178</v>
      </c>
      <c r="B265" t="s">
        <v>3179</v>
      </c>
      <c r="C265" t="s">
        <v>575</v>
      </c>
      <c r="D265" t="s">
        <v>1680</v>
      </c>
      <c r="E265" t="s">
        <v>3172</v>
      </c>
      <c r="J265">
        <v>0.0</v>
      </c>
      <c r="K265">
        <v>0.0</v>
      </c>
      <c r="L265">
        <v>0.0</v>
      </c>
      <c r="M265">
        <v>0.0</v>
      </c>
      <c r="N265">
        <v>0.0</v>
      </c>
      <c r="O265">
        <v>1.0</v>
      </c>
      <c r="P265">
        <v>0.0</v>
      </c>
      <c r="Q265">
        <v>1.0</v>
      </c>
      <c r="R265">
        <v>0.0</v>
      </c>
      <c r="S265">
        <v>0.0</v>
      </c>
      <c r="T265">
        <v>0.0</v>
      </c>
      <c r="U265">
        <v>0.0</v>
      </c>
      <c r="V265">
        <v>0.0</v>
      </c>
      <c r="W265">
        <v>0.0</v>
      </c>
      <c r="X265" t="s">
        <v>3174</v>
      </c>
      <c r="Y265">
        <v>2.0</v>
      </c>
      <c r="Z265">
        <v>0.0</v>
      </c>
      <c r="AA265" t="s">
        <v>3175</v>
      </c>
      <c r="AB265">
        <v>3.0</v>
      </c>
      <c r="AC265">
        <v>0.0</v>
      </c>
      <c r="AD265">
        <v>1.0</v>
      </c>
      <c r="AE265" t="s">
        <v>3537</v>
      </c>
      <c r="AG265" t="s">
        <v>3533</v>
      </c>
      <c r="AH265" t="s">
        <v>3429</v>
      </c>
    </row>
    <row r="266" ht="15.75" customHeight="1">
      <c r="A266" t="s">
        <v>3180</v>
      </c>
      <c r="B266" t="s">
        <v>3181</v>
      </c>
      <c r="C266" t="s">
        <v>578</v>
      </c>
      <c r="D266" t="s">
        <v>1680</v>
      </c>
      <c r="E266" t="s">
        <v>3172</v>
      </c>
      <c r="J266">
        <v>0.0</v>
      </c>
      <c r="K266">
        <v>0.0</v>
      </c>
      <c r="L266">
        <v>0.0</v>
      </c>
      <c r="M266">
        <v>0.0</v>
      </c>
      <c r="N266">
        <v>0.0</v>
      </c>
      <c r="O266">
        <v>2.0</v>
      </c>
      <c r="P266">
        <v>0.0</v>
      </c>
      <c r="Q266">
        <v>1.0</v>
      </c>
      <c r="R266">
        <v>0.0</v>
      </c>
      <c r="S266">
        <v>0.0</v>
      </c>
      <c r="T266">
        <v>0.0</v>
      </c>
      <c r="U266">
        <v>0.0</v>
      </c>
      <c r="V266">
        <v>0.0</v>
      </c>
      <c r="W266">
        <v>0.0</v>
      </c>
      <c r="X266" t="s">
        <v>3174</v>
      </c>
      <c r="Y266">
        <v>2.0</v>
      </c>
      <c r="Z266">
        <v>0.0</v>
      </c>
      <c r="AA266" t="s">
        <v>3175</v>
      </c>
      <c r="AB266">
        <v>3.0</v>
      </c>
      <c r="AC266">
        <v>0.0</v>
      </c>
      <c r="AD266">
        <v>1.0</v>
      </c>
      <c r="AE266" t="s">
        <v>3538</v>
      </c>
      <c r="AG266" t="s">
        <v>3533</v>
      </c>
      <c r="AH266" t="s">
        <v>3429</v>
      </c>
    </row>
    <row r="267" ht="15.75" customHeight="1">
      <c r="A267" t="s">
        <v>3183</v>
      </c>
      <c r="B267" t="s">
        <v>3184</v>
      </c>
      <c r="C267" t="s">
        <v>581</v>
      </c>
      <c r="D267" t="s">
        <v>1680</v>
      </c>
      <c r="E267" t="s">
        <v>3172</v>
      </c>
      <c r="J267">
        <v>0.0</v>
      </c>
      <c r="K267">
        <v>0.0</v>
      </c>
      <c r="L267">
        <v>0.0</v>
      </c>
      <c r="M267">
        <v>0.0</v>
      </c>
      <c r="N267">
        <v>1.0</v>
      </c>
      <c r="O267">
        <v>2.0</v>
      </c>
      <c r="P267">
        <v>0.0</v>
      </c>
      <c r="Q267">
        <v>1.0</v>
      </c>
      <c r="R267">
        <v>0.0</v>
      </c>
      <c r="S267">
        <v>0.0</v>
      </c>
      <c r="T267">
        <v>0.0</v>
      </c>
      <c r="U267">
        <v>0.0</v>
      </c>
      <c r="V267">
        <v>0.0</v>
      </c>
      <c r="W267">
        <v>0.0</v>
      </c>
      <c r="X267" t="s">
        <v>3174</v>
      </c>
      <c r="Y267">
        <v>2.0</v>
      </c>
      <c r="Z267">
        <v>0.0</v>
      </c>
      <c r="AA267" t="s">
        <v>3175</v>
      </c>
      <c r="AB267">
        <v>3.0</v>
      </c>
      <c r="AC267">
        <v>0.0</v>
      </c>
      <c r="AD267">
        <v>1.0</v>
      </c>
      <c r="AE267" t="s">
        <v>3538</v>
      </c>
      <c r="AG267" t="s">
        <v>3533</v>
      </c>
      <c r="AH267" t="s">
        <v>3429</v>
      </c>
    </row>
    <row r="268" ht="15.75" customHeight="1">
      <c r="A268" t="s">
        <v>3185</v>
      </c>
      <c r="B268" t="s">
        <v>3186</v>
      </c>
      <c r="C268" t="s">
        <v>584</v>
      </c>
      <c r="D268" t="s">
        <v>1680</v>
      </c>
      <c r="E268" t="s">
        <v>3172</v>
      </c>
      <c r="J268">
        <v>0.0</v>
      </c>
      <c r="K268">
        <v>0.0</v>
      </c>
      <c r="L268">
        <v>0.0</v>
      </c>
      <c r="M268">
        <v>0.0</v>
      </c>
      <c r="N268">
        <v>1.0</v>
      </c>
      <c r="O268">
        <v>3.0</v>
      </c>
      <c r="P268">
        <v>0.0</v>
      </c>
      <c r="Q268">
        <v>1.0</v>
      </c>
      <c r="R268">
        <v>0.0</v>
      </c>
      <c r="S268">
        <v>0.0</v>
      </c>
      <c r="T268">
        <v>0.0</v>
      </c>
      <c r="U268">
        <v>0.0</v>
      </c>
      <c r="V268">
        <v>0.0</v>
      </c>
      <c r="W268">
        <v>0.0</v>
      </c>
      <c r="X268" t="s">
        <v>3174</v>
      </c>
      <c r="Y268">
        <v>2.0</v>
      </c>
      <c r="Z268">
        <v>0.0</v>
      </c>
      <c r="AA268" t="s">
        <v>3175</v>
      </c>
      <c r="AB268">
        <v>3.0</v>
      </c>
      <c r="AC268">
        <v>0.0</v>
      </c>
      <c r="AD268">
        <v>1.0</v>
      </c>
      <c r="AE268" t="s">
        <v>3538</v>
      </c>
      <c r="AG268" t="s">
        <v>3533</v>
      </c>
      <c r="AH268" t="s">
        <v>3429</v>
      </c>
    </row>
    <row r="269" ht="15.75" customHeight="1">
      <c r="A269" t="s">
        <v>3187</v>
      </c>
      <c r="B269" t="s">
        <v>3188</v>
      </c>
      <c r="C269" t="s">
        <v>569</v>
      </c>
      <c r="D269" t="s">
        <v>1680</v>
      </c>
      <c r="E269" t="s">
        <v>3188</v>
      </c>
      <c r="J269">
        <v>0.0</v>
      </c>
      <c r="K269">
        <v>0.0</v>
      </c>
      <c r="L269">
        <v>0.0</v>
      </c>
      <c r="M269">
        <v>0.0</v>
      </c>
      <c r="N269">
        <v>0.0</v>
      </c>
      <c r="O269">
        <v>0.0</v>
      </c>
      <c r="P269">
        <v>0.0</v>
      </c>
      <c r="Q269">
        <v>0.0</v>
      </c>
      <c r="R269">
        <v>1.0</v>
      </c>
      <c r="S269">
        <v>0.0</v>
      </c>
      <c r="T269">
        <v>0.0</v>
      </c>
      <c r="U269">
        <v>0.0</v>
      </c>
      <c r="V269">
        <v>0.0</v>
      </c>
      <c r="W269">
        <v>0.0</v>
      </c>
      <c r="X269" t="s">
        <v>3190</v>
      </c>
      <c r="Y269">
        <v>2.0</v>
      </c>
      <c r="Z269">
        <v>0.0</v>
      </c>
      <c r="AA269" t="s">
        <v>3191</v>
      </c>
      <c r="AB269">
        <v>3.0</v>
      </c>
      <c r="AC269">
        <v>0.0</v>
      </c>
      <c r="AD269">
        <v>2.0</v>
      </c>
      <c r="AE269" t="s">
        <v>3539</v>
      </c>
      <c r="AG269" t="s">
        <v>3533</v>
      </c>
      <c r="AH269" t="s">
        <v>3429</v>
      </c>
    </row>
    <row r="270" ht="15.75" customHeight="1">
      <c r="A270" t="s">
        <v>3192</v>
      </c>
      <c r="B270" t="s">
        <v>3193</v>
      </c>
      <c r="C270" t="s">
        <v>572</v>
      </c>
      <c r="D270" t="s">
        <v>1680</v>
      </c>
      <c r="E270" t="s">
        <v>3188</v>
      </c>
      <c r="J270">
        <v>0.0</v>
      </c>
      <c r="K270">
        <v>0.0</v>
      </c>
      <c r="L270">
        <v>0.0</v>
      </c>
      <c r="M270">
        <v>0.0</v>
      </c>
      <c r="N270">
        <v>0.0</v>
      </c>
      <c r="O270">
        <v>0.0</v>
      </c>
      <c r="P270">
        <v>0.0</v>
      </c>
      <c r="Q270">
        <v>0.0</v>
      </c>
      <c r="R270">
        <v>1.0</v>
      </c>
      <c r="S270">
        <v>0.0</v>
      </c>
      <c r="T270">
        <v>0.0</v>
      </c>
      <c r="U270">
        <v>0.0</v>
      </c>
      <c r="V270">
        <v>0.0</v>
      </c>
      <c r="W270">
        <v>0.0</v>
      </c>
      <c r="X270" t="s">
        <v>3190</v>
      </c>
      <c r="Y270">
        <v>2.0</v>
      </c>
      <c r="Z270">
        <v>0.0</v>
      </c>
      <c r="AA270" t="s">
        <v>3191</v>
      </c>
      <c r="AB270">
        <v>3.0</v>
      </c>
      <c r="AC270">
        <v>0.0</v>
      </c>
      <c r="AD270">
        <v>2.0</v>
      </c>
      <c r="AE270" t="s">
        <v>3540</v>
      </c>
      <c r="AG270" t="s">
        <v>3533</v>
      </c>
      <c r="AH270" t="s">
        <v>3429</v>
      </c>
    </row>
    <row r="271" ht="15.75" customHeight="1">
      <c r="A271" t="s">
        <v>3194</v>
      </c>
      <c r="B271" t="s">
        <v>3195</v>
      </c>
      <c r="C271" t="s">
        <v>575</v>
      </c>
      <c r="D271" t="s">
        <v>1680</v>
      </c>
      <c r="E271" t="s">
        <v>3188</v>
      </c>
      <c r="J271">
        <v>0.0</v>
      </c>
      <c r="K271">
        <v>0.0</v>
      </c>
      <c r="L271">
        <v>0.0</v>
      </c>
      <c r="M271">
        <v>0.0</v>
      </c>
      <c r="N271">
        <v>0.0</v>
      </c>
      <c r="O271">
        <v>0.0</v>
      </c>
      <c r="P271">
        <v>0.0</v>
      </c>
      <c r="Q271">
        <v>0.0</v>
      </c>
      <c r="R271">
        <v>1.0</v>
      </c>
      <c r="S271">
        <v>1.0</v>
      </c>
      <c r="T271">
        <v>0.0</v>
      </c>
      <c r="U271">
        <v>0.0</v>
      </c>
      <c r="V271">
        <v>0.0</v>
      </c>
      <c r="W271">
        <v>0.0</v>
      </c>
      <c r="X271" t="s">
        <v>3190</v>
      </c>
      <c r="Y271">
        <v>2.0</v>
      </c>
      <c r="Z271">
        <v>0.0</v>
      </c>
      <c r="AA271" t="s">
        <v>3191</v>
      </c>
      <c r="AB271">
        <v>3.0</v>
      </c>
      <c r="AC271">
        <v>0.0</v>
      </c>
      <c r="AD271">
        <v>2.0</v>
      </c>
      <c r="AE271" t="s">
        <v>3540</v>
      </c>
      <c r="AG271" t="s">
        <v>3533</v>
      </c>
      <c r="AH271" t="s">
        <v>3429</v>
      </c>
    </row>
    <row r="272" ht="15.75" customHeight="1">
      <c r="A272" t="s">
        <v>3196</v>
      </c>
      <c r="B272" t="s">
        <v>3197</v>
      </c>
      <c r="C272" t="s">
        <v>578</v>
      </c>
      <c r="D272" t="s">
        <v>1680</v>
      </c>
      <c r="E272" t="s">
        <v>3188</v>
      </c>
      <c r="J272">
        <v>0.0</v>
      </c>
      <c r="K272">
        <v>0.0</v>
      </c>
      <c r="L272">
        <v>0.0</v>
      </c>
      <c r="M272">
        <v>0.0</v>
      </c>
      <c r="N272">
        <v>0.0</v>
      </c>
      <c r="O272">
        <v>0.0</v>
      </c>
      <c r="P272">
        <v>0.0</v>
      </c>
      <c r="Q272">
        <v>0.0</v>
      </c>
      <c r="R272">
        <v>2.0</v>
      </c>
      <c r="S272">
        <v>1.0</v>
      </c>
      <c r="T272">
        <v>0.0</v>
      </c>
      <c r="U272">
        <v>0.0</v>
      </c>
      <c r="V272">
        <v>0.0</v>
      </c>
      <c r="W272">
        <v>0.0</v>
      </c>
      <c r="X272" t="s">
        <v>3190</v>
      </c>
      <c r="Y272">
        <v>2.0</v>
      </c>
      <c r="Z272">
        <v>0.0</v>
      </c>
      <c r="AA272" t="s">
        <v>3191</v>
      </c>
      <c r="AB272">
        <v>3.0</v>
      </c>
      <c r="AC272">
        <v>0.0</v>
      </c>
      <c r="AD272">
        <v>2.0</v>
      </c>
      <c r="AE272" t="s">
        <v>3541</v>
      </c>
      <c r="AG272" t="s">
        <v>3533</v>
      </c>
      <c r="AH272" t="s">
        <v>3429</v>
      </c>
    </row>
    <row r="273" ht="15.75" customHeight="1">
      <c r="A273" t="s">
        <v>3199</v>
      </c>
      <c r="B273" t="s">
        <v>3200</v>
      </c>
      <c r="C273" t="s">
        <v>581</v>
      </c>
      <c r="D273" t="s">
        <v>1680</v>
      </c>
      <c r="E273" t="s">
        <v>3188</v>
      </c>
      <c r="J273">
        <v>0.0</v>
      </c>
      <c r="K273">
        <v>0.0</v>
      </c>
      <c r="L273">
        <v>0.0</v>
      </c>
      <c r="M273">
        <v>0.0</v>
      </c>
      <c r="N273">
        <v>0.0</v>
      </c>
      <c r="O273">
        <v>0.0</v>
      </c>
      <c r="P273">
        <v>0.0</v>
      </c>
      <c r="Q273">
        <v>0.0</v>
      </c>
      <c r="R273">
        <v>2.0</v>
      </c>
      <c r="S273">
        <v>1.0</v>
      </c>
      <c r="T273">
        <v>1.0</v>
      </c>
      <c r="U273">
        <v>0.0</v>
      </c>
      <c r="V273">
        <v>0.0</v>
      </c>
      <c r="W273">
        <v>0.0</v>
      </c>
      <c r="X273" t="s">
        <v>3190</v>
      </c>
      <c r="Y273">
        <v>2.0</v>
      </c>
      <c r="Z273">
        <v>0.0</v>
      </c>
      <c r="AA273" t="s">
        <v>3191</v>
      </c>
      <c r="AB273">
        <v>3.0</v>
      </c>
      <c r="AC273">
        <v>0.0</v>
      </c>
      <c r="AD273">
        <v>2.0</v>
      </c>
      <c r="AE273" t="s">
        <v>3541</v>
      </c>
      <c r="AG273" t="s">
        <v>3533</v>
      </c>
      <c r="AH273" t="s">
        <v>3429</v>
      </c>
    </row>
    <row r="274" ht="15.75" customHeight="1">
      <c r="A274" t="s">
        <v>3201</v>
      </c>
      <c r="B274" t="s">
        <v>3202</v>
      </c>
      <c r="C274" t="s">
        <v>584</v>
      </c>
      <c r="D274" t="s">
        <v>1680</v>
      </c>
      <c r="E274" t="s">
        <v>3188</v>
      </c>
      <c r="J274">
        <v>0.0</v>
      </c>
      <c r="K274">
        <v>0.0</v>
      </c>
      <c r="L274">
        <v>0.0</v>
      </c>
      <c r="M274">
        <v>0.0</v>
      </c>
      <c r="N274">
        <v>0.0</v>
      </c>
      <c r="O274">
        <v>0.0</v>
      </c>
      <c r="P274">
        <v>0.0</v>
      </c>
      <c r="Q274">
        <v>0.0</v>
      </c>
      <c r="R274">
        <v>3.0</v>
      </c>
      <c r="S274">
        <v>1.0</v>
      </c>
      <c r="T274">
        <v>1.0</v>
      </c>
      <c r="U274">
        <v>0.0</v>
      </c>
      <c r="V274">
        <v>0.0</v>
      </c>
      <c r="W274">
        <v>0.0</v>
      </c>
      <c r="X274" t="s">
        <v>3190</v>
      </c>
      <c r="Y274">
        <v>2.0</v>
      </c>
      <c r="Z274">
        <v>0.0</v>
      </c>
      <c r="AA274" t="s">
        <v>3191</v>
      </c>
      <c r="AB274">
        <v>3.0</v>
      </c>
      <c r="AC274">
        <v>0.0</v>
      </c>
      <c r="AD274">
        <v>2.0</v>
      </c>
      <c r="AE274" t="s">
        <v>3541</v>
      </c>
      <c r="AG274" t="s">
        <v>3533</v>
      </c>
      <c r="AH274" t="s">
        <v>3429</v>
      </c>
    </row>
    <row r="275" ht="15.75" customHeight="1">
      <c r="A275" t="s">
        <v>3203</v>
      </c>
      <c r="B275" t="s">
        <v>3204</v>
      </c>
      <c r="C275" t="s">
        <v>569</v>
      </c>
      <c r="D275" t="s">
        <v>1680</v>
      </c>
      <c r="E275" t="s">
        <v>3204</v>
      </c>
      <c r="J275">
        <v>0.0</v>
      </c>
      <c r="K275">
        <v>0.0</v>
      </c>
      <c r="L275">
        <v>0.0</v>
      </c>
      <c r="M275">
        <v>0.0</v>
      </c>
      <c r="N275">
        <v>1.0</v>
      </c>
      <c r="O275">
        <v>0.0</v>
      </c>
      <c r="P275">
        <v>0.0</v>
      </c>
      <c r="Q275">
        <v>0.0</v>
      </c>
      <c r="R275">
        <v>0.0</v>
      </c>
      <c r="S275">
        <v>0.0</v>
      </c>
      <c r="T275">
        <v>0.0</v>
      </c>
      <c r="U275">
        <v>0.0</v>
      </c>
      <c r="V275">
        <v>0.0</v>
      </c>
      <c r="W275">
        <v>0.0</v>
      </c>
      <c r="X275" t="s">
        <v>3206</v>
      </c>
      <c r="Y275">
        <v>2.0</v>
      </c>
      <c r="Z275">
        <v>0.0</v>
      </c>
      <c r="AA275" t="s">
        <v>3207</v>
      </c>
      <c r="AB275">
        <v>3.0</v>
      </c>
      <c r="AC275">
        <v>0.0</v>
      </c>
      <c r="AD275">
        <v>1.0</v>
      </c>
      <c r="AE275" t="s">
        <v>3502</v>
      </c>
      <c r="AG275" t="s">
        <v>3533</v>
      </c>
      <c r="AH275" t="s">
        <v>3429</v>
      </c>
    </row>
    <row r="276" ht="15.75" customHeight="1">
      <c r="A276" t="s">
        <v>3208</v>
      </c>
      <c r="B276" t="s">
        <v>3209</v>
      </c>
      <c r="C276" t="s">
        <v>572</v>
      </c>
      <c r="D276" t="s">
        <v>1680</v>
      </c>
      <c r="E276" t="s">
        <v>3204</v>
      </c>
      <c r="J276">
        <v>0.0</v>
      </c>
      <c r="K276">
        <v>0.0</v>
      </c>
      <c r="L276">
        <v>0.0</v>
      </c>
      <c r="M276">
        <v>0.0</v>
      </c>
      <c r="N276">
        <v>1.0</v>
      </c>
      <c r="O276">
        <v>0.0</v>
      </c>
      <c r="P276">
        <v>0.0</v>
      </c>
      <c r="Q276">
        <v>0.0</v>
      </c>
      <c r="R276">
        <v>0.0</v>
      </c>
      <c r="S276">
        <v>0.0</v>
      </c>
      <c r="T276">
        <v>0.0</v>
      </c>
      <c r="U276">
        <v>0.0</v>
      </c>
      <c r="V276">
        <v>0.0</v>
      </c>
      <c r="W276">
        <v>0.0</v>
      </c>
      <c r="X276" t="s">
        <v>3206</v>
      </c>
      <c r="Y276">
        <v>2.0</v>
      </c>
      <c r="Z276">
        <v>0.0</v>
      </c>
      <c r="AA276" t="s">
        <v>3207</v>
      </c>
      <c r="AB276">
        <v>3.0</v>
      </c>
      <c r="AC276">
        <v>0.0</v>
      </c>
      <c r="AD276">
        <v>1.0</v>
      </c>
      <c r="AE276" t="s">
        <v>3542</v>
      </c>
      <c r="AG276" t="s">
        <v>3533</v>
      </c>
      <c r="AH276" t="s">
        <v>3429</v>
      </c>
    </row>
    <row r="277" ht="15.75" customHeight="1">
      <c r="A277" t="s">
        <v>3210</v>
      </c>
      <c r="B277" t="s">
        <v>3211</v>
      </c>
      <c r="C277" t="s">
        <v>575</v>
      </c>
      <c r="D277" t="s">
        <v>1680</v>
      </c>
      <c r="E277" t="s">
        <v>3204</v>
      </c>
      <c r="J277">
        <v>0.0</v>
      </c>
      <c r="K277">
        <v>0.0</v>
      </c>
      <c r="L277">
        <v>0.0</v>
      </c>
      <c r="M277">
        <v>0.0</v>
      </c>
      <c r="N277">
        <v>1.0</v>
      </c>
      <c r="O277">
        <v>0.0</v>
      </c>
      <c r="P277">
        <v>0.0</v>
      </c>
      <c r="Q277">
        <v>0.0</v>
      </c>
      <c r="R277">
        <v>0.0</v>
      </c>
      <c r="S277">
        <v>1.0</v>
      </c>
      <c r="T277">
        <v>0.0</v>
      </c>
      <c r="U277">
        <v>0.0</v>
      </c>
      <c r="V277">
        <v>0.0</v>
      </c>
      <c r="W277">
        <v>0.0</v>
      </c>
      <c r="X277" t="s">
        <v>3206</v>
      </c>
      <c r="Y277">
        <v>2.0</v>
      </c>
      <c r="Z277">
        <v>0.0</v>
      </c>
      <c r="AA277" t="s">
        <v>3207</v>
      </c>
      <c r="AB277">
        <v>3.0</v>
      </c>
      <c r="AC277">
        <v>0.0</v>
      </c>
      <c r="AD277">
        <v>1.0</v>
      </c>
      <c r="AE277" t="s">
        <v>3542</v>
      </c>
      <c r="AG277" t="s">
        <v>3533</v>
      </c>
      <c r="AH277" t="s">
        <v>3429</v>
      </c>
    </row>
    <row r="278" ht="15.75" customHeight="1">
      <c r="A278" t="s">
        <v>3212</v>
      </c>
      <c r="B278" t="s">
        <v>3213</v>
      </c>
      <c r="C278" t="s">
        <v>578</v>
      </c>
      <c r="D278" t="s">
        <v>1680</v>
      </c>
      <c r="E278" t="s">
        <v>3204</v>
      </c>
      <c r="J278">
        <v>0.0</v>
      </c>
      <c r="K278">
        <v>0.0</v>
      </c>
      <c r="L278">
        <v>0.0</v>
      </c>
      <c r="M278">
        <v>0.0</v>
      </c>
      <c r="N278">
        <v>2.0</v>
      </c>
      <c r="O278">
        <v>0.0</v>
      </c>
      <c r="P278">
        <v>0.0</v>
      </c>
      <c r="Q278">
        <v>0.0</v>
      </c>
      <c r="R278">
        <v>0.0</v>
      </c>
      <c r="S278">
        <v>1.0</v>
      </c>
      <c r="T278">
        <v>0.0</v>
      </c>
      <c r="U278">
        <v>0.0</v>
      </c>
      <c r="V278">
        <v>0.0</v>
      </c>
      <c r="W278">
        <v>0.0</v>
      </c>
      <c r="X278" t="s">
        <v>3206</v>
      </c>
      <c r="Y278">
        <v>2.0</v>
      </c>
      <c r="Z278">
        <v>0.0</v>
      </c>
      <c r="AA278" t="s">
        <v>3207</v>
      </c>
      <c r="AB278">
        <v>3.0</v>
      </c>
      <c r="AC278">
        <v>0.0</v>
      </c>
      <c r="AD278">
        <v>1.0</v>
      </c>
      <c r="AE278" t="s">
        <v>3543</v>
      </c>
      <c r="AG278" t="s">
        <v>3533</v>
      </c>
      <c r="AH278" t="s">
        <v>3429</v>
      </c>
    </row>
    <row r="279" ht="15.75" customHeight="1">
      <c r="A279" t="s">
        <v>3214</v>
      </c>
      <c r="B279" t="s">
        <v>3215</v>
      </c>
      <c r="C279" t="s">
        <v>581</v>
      </c>
      <c r="D279" t="s">
        <v>1680</v>
      </c>
      <c r="E279" t="s">
        <v>3204</v>
      </c>
      <c r="J279">
        <v>0.0</v>
      </c>
      <c r="K279">
        <v>0.0</v>
      </c>
      <c r="L279">
        <v>0.0</v>
      </c>
      <c r="M279">
        <v>0.0</v>
      </c>
      <c r="N279">
        <v>2.0</v>
      </c>
      <c r="O279">
        <v>0.0</v>
      </c>
      <c r="P279">
        <v>0.0</v>
      </c>
      <c r="Q279">
        <v>1.0</v>
      </c>
      <c r="R279">
        <v>0.0</v>
      </c>
      <c r="S279">
        <v>1.0</v>
      </c>
      <c r="T279">
        <v>0.0</v>
      </c>
      <c r="U279">
        <v>0.0</v>
      </c>
      <c r="V279">
        <v>0.0</v>
      </c>
      <c r="W279">
        <v>0.0</v>
      </c>
      <c r="X279" t="s">
        <v>3206</v>
      </c>
      <c r="Y279">
        <v>2.0</v>
      </c>
      <c r="Z279">
        <v>0.0</v>
      </c>
      <c r="AA279" t="s">
        <v>3207</v>
      </c>
      <c r="AB279">
        <v>3.0</v>
      </c>
      <c r="AC279">
        <v>0.0</v>
      </c>
      <c r="AD279">
        <v>1.0</v>
      </c>
      <c r="AE279" t="s">
        <v>3543</v>
      </c>
      <c r="AG279" t="s">
        <v>3533</v>
      </c>
      <c r="AH279" t="s">
        <v>3429</v>
      </c>
    </row>
    <row r="280" ht="15.75" customHeight="1">
      <c r="A280" t="s">
        <v>3216</v>
      </c>
      <c r="B280" t="s">
        <v>3217</v>
      </c>
      <c r="C280" t="s">
        <v>584</v>
      </c>
      <c r="D280" t="s">
        <v>1680</v>
      </c>
      <c r="E280" t="s">
        <v>3204</v>
      </c>
      <c r="J280">
        <v>0.0</v>
      </c>
      <c r="K280">
        <v>0.0</v>
      </c>
      <c r="L280">
        <v>0.0</v>
      </c>
      <c r="M280">
        <v>0.0</v>
      </c>
      <c r="N280">
        <v>3.0</v>
      </c>
      <c r="O280">
        <v>0.0</v>
      </c>
      <c r="P280">
        <v>0.0</v>
      </c>
      <c r="Q280">
        <v>1.0</v>
      </c>
      <c r="R280">
        <v>0.0</v>
      </c>
      <c r="S280">
        <v>1.0</v>
      </c>
      <c r="T280">
        <v>0.0</v>
      </c>
      <c r="U280">
        <v>0.0</v>
      </c>
      <c r="V280">
        <v>0.0</v>
      </c>
      <c r="W280">
        <v>0.0</v>
      </c>
      <c r="X280" t="s">
        <v>3206</v>
      </c>
      <c r="Y280">
        <v>2.0</v>
      </c>
      <c r="Z280">
        <v>0.0</v>
      </c>
      <c r="AA280" t="s">
        <v>3207</v>
      </c>
      <c r="AB280">
        <v>3.0</v>
      </c>
      <c r="AC280">
        <v>0.0</v>
      </c>
      <c r="AD280">
        <v>1.0</v>
      </c>
      <c r="AE280" t="s">
        <v>3543</v>
      </c>
      <c r="AG280" t="s">
        <v>3533</v>
      </c>
      <c r="AH280" t="s">
        <v>3429</v>
      </c>
    </row>
    <row r="281" ht="15.75" customHeight="1">
      <c r="A281" t="s">
        <v>3218</v>
      </c>
      <c r="B281" t="s">
        <v>3219</v>
      </c>
      <c r="C281" t="s">
        <v>569</v>
      </c>
      <c r="D281" t="s">
        <v>1681</v>
      </c>
      <c r="E281" t="s">
        <v>3219</v>
      </c>
      <c r="J281">
        <v>0.0</v>
      </c>
      <c r="K281">
        <v>0.0</v>
      </c>
      <c r="L281">
        <v>0.0</v>
      </c>
      <c r="M281">
        <v>0.0</v>
      </c>
      <c r="N281">
        <v>0.0</v>
      </c>
      <c r="O281">
        <v>0.0</v>
      </c>
      <c r="P281">
        <v>1.0</v>
      </c>
      <c r="Q281">
        <v>0.0</v>
      </c>
      <c r="R281">
        <v>0.0</v>
      </c>
      <c r="S281">
        <v>0.0</v>
      </c>
      <c r="T281">
        <v>0.0</v>
      </c>
      <c r="U281">
        <v>0.0</v>
      </c>
      <c r="V281">
        <v>0.0</v>
      </c>
      <c r="W281">
        <v>0.0</v>
      </c>
      <c r="X281" t="s">
        <v>3221</v>
      </c>
      <c r="Y281">
        <v>2.0</v>
      </c>
      <c r="Z281">
        <v>0.0</v>
      </c>
      <c r="AA281" t="s">
        <v>3222</v>
      </c>
      <c r="AB281">
        <v>3.0</v>
      </c>
      <c r="AC281">
        <v>0.0</v>
      </c>
      <c r="AD281">
        <v>1.0</v>
      </c>
      <c r="AE281" t="s">
        <v>3544</v>
      </c>
      <c r="AG281" t="s">
        <v>3533</v>
      </c>
      <c r="AH281" t="s">
        <v>3429</v>
      </c>
    </row>
    <row r="282" ht="15.75" customHeight="1">
      <c r="A282" t="s">
        <v>3223</v>
      </c>
      <c r="B282" t="s">
        <v>3224</v>
      </c>
      <c r="C282" t="s">
        <v>572</v>
      </c>
      <c r="D282" t="s">
        <v>1681</v>
      </c>
      <c r="E282" t="s">
        <v>3219</v>
      </c>
      <c r="J282">
        <v>0.0</v>
      </c>
      <c r="K282">
        <v>0.0</v>
      </c>
      <c r="L282">
        <v>0.0</v>
      </c>
      <c r="M282">
        <v>0.0</v>
      </c>
      <c r="N282">
        <v>0.0</v>
      </c>
      <c r="O282">
        <v>0.0</v>
      </c>
      <c r="P282">
        <v>1.0</v>
      </c>
      <c r="Q282">
        <v>0.0</v>
      </c>
      <c r="R282">
        <v>0.0</v>
      </c>
      <c r="S282">
        <v>0.0</v>
      </c>
      <c r="T282">
        <v>0.0</v>
      </c>
      <c r="U282">
        <v>0.0</v>
      </c>
      <c r="V282">
        <v>0.0</v>
      </c>
      <c r="W282">
        <v>0.0</v>
      </c>
      <c r="X282" t="s">
        <v>3221</v>
      </c>
      <c r="Y282">
        <v>2.0</v>
      </c>
      <c r="Z282">
        <v>0.0</v>
      </c>
      <c r="AA282" t="s">
        <v>3222</v>
      </c>
      <c r="AB282">
        <v>3.0</v>
      </c>
      <c r="AC282">
        <v>0.0</v>
      </c>
      <c r="AD282">
        <v>1.0</v>
      </c>
      <c r="AE282" t="s">
        <v>3545</v>
      </c>
      <c r="AG282" t="s">
        <v>3533</v>
      </c>
      <c r="AH282" t="s">
        <v>3429</v>
      </c>
    </row>
    <row r="283" ht="15.75" customHeight="1">
      <c r="A283" t="s">
        <v>3225</v>
      </c>
      <c r="B283" t="s">
        <v>3226</v>
      </c>
      <c r="C283" t="s">
        <v>575</v>
      </c>
      <c r="D283" t="s">
        <v>1681</v>
      </c>
      <c r="E283" t="s">
        <v>3219</v>
      </c>
      <c r="J283">
        <v>0.0</v>
      </c>
      <c r="K283">
        <v>0.0</v>
      </c>
      <c r="L283">
        <v>0.0</v>
      </c>
      <c r="M283">
        <v>0.0</v>
      </c>
      <c r="N283">
        <v>0.0</v>
      </c>
      <c r="O283">
        <v>0.0</v>
      </c>
      <c r="P283">
        <v>1.0</v>
      </c>
      <c r="Q283">
        <v>0.0</v>
      </c>
      <c r="R283">
        <v>0.0</v>
      </c>
      <c r="S283">
        <v>0.0</v>
      </c>
      <c r="T283">
        <v>1.0</v>
      </c>
      <c r="U283">
        <v>1.0</v>
      </c>
      <c r="V283">
        <v>0.0</v>
      </c>
      <c r="W283">
        <v>0.0</v>
      </c>
      <c r="X283" t="s">
        <v>3221</v>
      </c>
      <c r="Y283">
        <v>2.0</v>
      </c>
      <c r="Z283">
        <v>0.0</v>
      </c>
      <c r="AA283" t="s">
        <v>3222</v>
      </c>
      <c r="AB283">
        <v>3.0</v>
      </c>
      <c r="AC283">
        <v>0.0</v>
      </c>
      <c r="AD283">
        <v>1.0</v>
      </c>
      <c r="AE283" t="s">
        <v>3545</v>
      </c>
      <c r="AG283" t="s">
        <v>3533</v>
      </c>
      <c r="AH283" t="s">
        <v>3429</v>
      </c>
    </row>
    <row r="284" ht="15.75" customHeight="1">
      <c r="A284" t="s">
        <v>3227</v>
      </c>
      <c r="B284" t="s">
        <v>3228</v>
      </c>
      <c r="C284" t="s">
        <v>578</v>
      </c>
      <c r="D284" t="s">
        <v>1681</v>
      </c>
      <c r="E284" t="s">
        <v>3219</v>
      </c>
      <c r="J284">
        <v>0.0</v>
      </c>
      <c r="K284">
        <v>0.0</v>
      </c>
      <c r="L284">
        <v>0.0</v>
      </c>
      <c r="M284">
        <v>0.0</v>
      </c>
      <c r="N284">
        <v>0.0</v>
      </c>
      <c r="O284">
        <v>0.0</v>
      </c>
      <c r="P284">
        <v>2.0</v>
      </c>
      <c r="Q284">
        <v>0.0</v>
      </c>
      <c r="R284">
        <v>0.0</v>
      </c>
      <c r="S284">
        <v>0.0</v>
      </c>
      <c r="T284">
        <v>1.0</v>
      </c>
      <c r="U284">
        <v>2.0</v>
      </c>
      <c r="V284">
        <v>0.0</v>
      </c>
      <c r="W284">
        <v>0.0</v>
      </c>
      <c r="X284" t="s">
        <v>3221</v>
      </c>
      <c r="Y284">
        <v>2.0</v>
      </c>
      <c r="Z284">
        <v>0.0</v>
      </c>
      <c r="AA284" t="s">
        <v>3222</v>
      </c>
      <c r="AB284">
        <v>3.0</v>
      </c>
      <c r="AC284">
        <v>0.0</v>
      </c>
      <c r="AD284">
        <v>1.0</v>
      </c>
      <c r="AE284" t="s">
        <v>3546</v>
      </c>
      <c r="AG284" t="s">
        <v>3533</v>
      </c>
      <c r="AH284" t="s">
        <v>3429</v>
      </c>
    </row>
    <row r="285" ht="15.75" customHeight="1">
      <c r="A285" t="s">
        <v>3230</v>
      </c>
      <c r="B285" t="s">
        <v>3231</v>
      </c>
      <c r="C285" t="s">
        <v>581</v>
      </c>
      <c r="D285" t="s">
        <v>1681</v>
      </c>
      <c r="E285" t="s">
        <v>3219</v>
      </c>
      <c r="J285">
        <v>0.0</v>
      </c>
      <c r="K285">
        <v>0.0</v>
      </c>
      <c r="L285">
        <v>0.0</v>
      </c>
      <c r="M285">
        <v>0.0</v>
      </c>
      <c r="N285">
        <v>1.0</v>
      </c>
      <c r="O285">
        <v>0.0</v>
      </c>
      <c r="P285">
        <v>2.0</v>
      </c>
      <c r="Q285">
        <v>0.0</v>
      </c>
      <c r="R285">
        <v>0.0</v>
      </c>
      <c r="S285">
        <v>0.0</v>
      </c>
      <c r="T285">
        <v>1.0</v>
      </c>
      <c r="U285">
        <v>3.0</v>
      </c>
      <c r="V285">
        <v>0.0</v>
      </c>
      <c r="W285">
        <v>0.0</v>
      </c>
      <c r="X285" t="s">
        <v>3221</v>
      </c>
      <c r="Y285">
        <v>2.0</v>
      </c>
      <c r="Z285">
        <v>0.0</v>
      </c>
      <c r="AA285" t="s">
        <v>3222</v>
      </c>
      <c r="AB285">
        <v>3.0</v>
      </c>
      <c r="AC285">
        <v>0.0</v>
      </c>
      <c r="AD285">
        <v>1.0</v>
      </c>
      <c r="AE285" t="s">
        <v>3546</v>
      </c>
      <c r="AG285" t="s">
        <v>3533</v>
      </c>
      <c r="AH285" t="s">
        <v>3429</v>
      </c>
    </row>
    <row r="286" ht="15.75" customHeight="1">
      <c r="A286" t="s">
        <v>3232</v>
      </c>
      <c r="B286" t="s">
        <v>3233</v>
      </c>
      <c r="C286" t="s">
        <v>584</v>
      </c>
      <c r="D286" t="s">
        <v>1681</v>
      </c>
      <c r="E286" t="s">
        <v>3219</v>
      </c>
      <c r="J286">
        <v>0.0</v>
      </c>
      <c r="K286">
        <v>0.0</v>
      </c>
      <c r="L286">
        <v>0.0</v>
      </c>
      <c r="M286">
        <v>0.0</v>
      </c>
      <c r="N286">
        <v>1.0</v>
      </c>
      <c r="O286">
        <v>0.0</v>
      </c>
      <c r="P286">
        <v>3.0</v>
      </c>
      <c r="Q286">
        <v>0.0</v>
      </c>
      <c r="R286">
        <v>0.0</v>
      </c>
      <c r="S286">
        <v>0.0</v>
      </c>
      <c r="T286">
        <v>1.0</v>
      </c>
      <c r="U286">
        <v>4.0</v>
      </c>
      <c r="V286">
        <v>0.0</v>
      </c>
      <c r="W286">
        <v>0.0</v>
      </c>
      <c r="X286" t="s">
        <v>3221</v>
      </c>
      <c r="Y286">
        <v>2.0</v>
      </c>
      <c r="Z286">
        <v>0.0</v>
      </c>
      <c r="AA286" t="s">
        <v>3222</v>
      </c>
      <c r="AB286">
        <v>3.0</v>
      </c>
      <c r="AC286">
        <v>0.0</v>
      </c>
      <c r="AD286">
        <v>1.0</v>
      </c>
      <c r="AE286" t="s">
        <v>3546</v>
      </c>
      <c r="AG286" t="s">
        <v>3533</v>
      </c>
      <c r="AH286" t="s">
        <v>3429</v>
      </c>
    </row>
    <row r="287" ht="15.75" customHeight="1">
      <c r="A287" t="s">
        <v>3234</v>
      </c>
      <c r="B287" t="s">
        <v>3235</v>
      </c>
      <c r="C287" t="s">
        <v>569</v>
      </c>
      <c r="D287" t="s">
        <v>1681</v>
      </c>
      <c r="E287" t="s">
        <v>3235</v>
      </c>
      <c r="J287">
        <v>0.0</v>
      </c>
      <c r="K287">
        <v>0.0</v>
      </c>
      <c r="L287">
        <v>0.0</v>
      </c>
      <c r="M287">
        <v>0.0</v>
      </c>
      <c r="N287">
        <v>0.0</v>
      </c>
      <c r="O287">
        <v>1.0</v>
      </c>
      <c r="P287">
        <v>0.0</v>
      </c>
      <c r="Q287">
        <v>0.0</v>
      </c>
      <c r="R287">
        <v>0.0</v>
      </c>
      <c r="S287">
        <v>0.0</v>
      </c>
      <c r="T287">
        <v>0.0</v>
      </c>
      <c r="U287">
        <v>0.0</v>
      </c>
      <c r="V287">
        <v>0.0</v>
      </c>
      <c r="W287">
        <v>0.0</v>
      </c>
      <c r="X287" t="s">
        <v>3237</v>
      </c>
      <c r="Y287">
        <v>2.0</v>
      </c>
      <c r="Z287">
        <v>0.0</v>
      </c>
      <c r="AA287" t="s">
        <v>3238</v>
      </c>
      <c r="AB287">
        <v>3.0</v>
      </c>
      <c r="AC287">
        <v>0.0</v>
      </c>
      <c r="AD287">
        <v>2.0</v>
      </c>
      <c r="AE287" t="s">
        <v>3547</v>
      </c>
      <c r="AG287" t="s">
        <v>3533</v>
      </c>
      <c r="AH287" t="s">
        <v>3429</v>
      </c>
    </row>
    <row r="288" ht="15.75" customHeight="1">
      <c r="A288" t="s">
        <v>3239</v>
      </c>
      <c r="B288" t="s">
        <v>3240</v>
      </c>
      <c r="C288" t="s">
        <v>572</v>
      </c>
      <c r="D288" t="s">
        <v>1681</v>
      </c>
      <c r="E288" t="s">
        <v>3235</v>
      </c>
      <c r="J288">
        <v>0.0</v>
      </c>
      <c r="K288">
        <v>0.0</v>
      </c>
      <c r="L288">
        <v>0.0</v>
      </c>
      <c r="M288">
        <v>0.0</v>
      </c>
      <c r="N288">
        <v>0.0</v>
      </c>
      <c r="O288">
        <v>1.0</v>
      </c>
      <c r="P288">
        <v>0.0</v>
      </c>
      <c r="Q288">
        <v>0.0</v>
      </c>
      <c r="R288">
        <v>0.0</v>
      </c>
      <c r="S288">
        <v>0.0</v>
      </c>
      <c r="T288">
        <v>0.0</v>
      </c>
      <c r="U288">
        <v>0.0</v>
      </c>
      <c r="V288">
        <v>0.0</v>
      </c>
      <c r="W288">
        <v>0.0</v>
      </c>
      <c r="X288" t="s">
        <v>3237</v>
      </c>
      <c r="Y288">
        <v>2.0</v>
      </c>
      <c r="Z288">
        <v>0.0</v>
      </c>
      <c r="AA288" t="s">
        <v>3238</v>
      </c>
      <c r="AB288">
        <v>3.0</v>
      </c>
      <c r="AC288">
        <v>0.0</v>
      </c>
      <c r="AD288">
        <v>2.0</v>
      </c>
      <c r="AE288" t="s">
        <v>3548</v>
      </c>
      <c r="AG288" t="s">
        <v>3533</v>
      </c>
      <c r="AH288" t="s">
        <v>3429</v>
      </c>
    </row>
    <row r="289" ht="15.75" customHeight="1">
      <c r="A289" t="s">
        <v>3241</v>
      </c>
      <c r="B289" t="s">
        <v>3242</v>
      </c>
      <c r="C289" t="s">
        <v>575</v>
      </c>
      <c r="D289" t="s">
        <v>1681</v>
      </c>
      <c r="E289" t="s">
        <v>3235</v>
      </c>
      <c r="J289">
        <v>0.0</v>
      </c>
      <c r="K289">
        <v>0.0</v>
      </c>
      <c r="L289">
        <v>0.0</v>
      </c>
      <c r="M289">
        <v>0.0</v>
      </c>
      <c r="N289">
        <v>1.0</v>
      </c>
      <c r="O289">
        <v>1.0</v>
      </c>
      <c r="P289">
        <v>0.0</v>
      </c>
      <c r="Q289">
        <v>0.0</v>
      </c>
      <c r="R289">
        <v>0.0</v>
      </c>
      <c r="S289">
        <v>0.0</v>
      </c>
      <c r="T289">
        <v>0.0</v>
      </c>
      <c r="U289">
        <v>0.0</v>
      </c>
      <c r="V289">
        <v>0.0</v>
      </c>
      <c r="W289">
        <v>0.0</v>
      </c>
      <c r="X289" t="s">
        <v>3237</v>
      </c>
      <c r="Y289">
        <v>2.0</v>
      </c>
      <c r="Z289">
        <v>0.0</v>
      </c>
      <c r="AA289" t="s">
        <v>3238</v>
      </c>
      <c r="AB289">
        <v>3.0</v>
      </c>
      <c r="AC289">
        <v>0.0</v>
      </c>
      <c r="AD289">
        <v>2.0</v>
      </c>
      <c r="AE289" t="s">
        <v>3548</v>
      </c>
      <c r="AG289" t="s">
        <v>3533</v>
      </c>
      <c r="AH289" t="s">
        <v>3429</v>
      </c>
    </row>
    <row r="290" ht="15.75" customHeight="1">
      <c r="A290" t="s">
        <v>3243</v>
      </c>
      <c r="B290" t="s">
        <v>3244</v>
      </c>
      <c r="C290" t="s">
        <v>578</v>
      </c>
      <c r="D290" t="s">
        <v>1681</v>
      </c>
      <c r="E290" t="s">
        <v>3235</v>
      </c>
      <c r="J290">
        <v>0.0</v>
      </c>
      <c r="K290">
        <v>0.0</v>
      </c>
      <c r="L290">
        <v>0.0</v>
      </c>
      <c r="M290">
        <v>0.0</v>
      </c>
      <c r="N290">
        <v>1.0</v>
      </c>
      <c r="O290">
        <v>2.0</v>
      </c>
      <c r="P290">
        <v>0.0</v>
      </c>
      <c r="Q290">
        <v>0.0</v>
      </c>
      <c r="R290">
        <v>0.0</v>
      </c>
      <c r="S290">
        <v>0.0</v>
      </c>
      <c r="T290">
        <v>0.0</v>
      </c>
      <c r="U290">
        <v>0.0</v>
      </c>
      <c r="V290">
        <v>0.0</v>
      </c>
      <c r="W290">
        <v>0.0</v>
      </c>
      <c r="X290" t="s">
        <v>3237</v>
      </c>
      <c r="Y290">
        <v>2.0</v>
      </c>
      <c r="Z290">
        <v>0.0</v>
      </c>
      <c r="AA290" t="s">
        <v>3238</v>
      </c>
      <c r="AB290">
        <v>3.0</v>
      </c>
      <c r="AC290">
        <v>0.0</v>
      </c>
      <c r="AD290">
        <v>2.0</v>
      </c>
      <c r="AE290" t="s">
        <v>3549</v>
      </c>
      <c r="AG290" t="s">
        <v>3533</v>
      </c>
      <c r="AH290" t="s">
        <v>3429</v>
      </c>
    </row>
    <row r="291" ht="15.75" customHeight="1">
      <c r="A291" t="s">
        <v>3246</v>
      </c>
      <c r="B291" t="s">
        <v>3247</v>
      </c>
      <c r="C291" t="s">
        <v>581</v>
      </c>
      <c r="D291" t="s">
        <v>1681</v>
      </c>
      <c r="E291" t="s">
        <v>3235</v>
      </c>
      <c r="J291">
        <v>0.0</v>
      </c>
      <c r="K291">
        <v>0.0</v>
      </c>
      <c r="L291">
        <v>0.0</v>
      </c>
      <c r="M291">
        <v>0.0</v>
      </c>
      <c r="N291">
        <v>1.0</v>
      </c>
      <c r="O291">
        <v>2.0</v>
      </c>
      <c r="P291">
        <v>0.0</v>
      </c>
      <c r="Q291">
        <v>1.0</v>
      </c>
      <c r="R291">
        <v>0.0</v>
      </c>
      <c r="S291">
        <v>0.0</v>
      </c>
      <c r="T291">
        <v>0.0</v>
      </c>
      <c r="U291">
        <v>0.0</v>
      </c>
      <c r="V291">
        <v>0.0</v>
      </c>
      <c r="W291">
        <v>0.0</v>
      </c>
      <c r="X291" t="s">
        <v>3237</v>
      </c>
      <c r="Y291">
        <v>2.0</v>
      </c>
      <c r="Z291">
        <v>0.0</v>
      </c>
      <c r="AA291" t="s">
        <v>3238</v>
      </c>
      <c r="AB291">
        <v>3.0</v>
      </c>
      <c r="AC291">
        <v>0.0</v>
      </c>
      <c r="AD291">
        <v>2.0</v>
      </c>
      <c r="AE291" t="s">
        <v>3549</v>
      </c>
      <c r="AG291" t="s">
        <v>3533</v>
      </c>
      <c r="AH291" t="s">
        <v>3429</v>
      </c>
    </row>
    <row r="292" ht="15.75" customHeight="1">
      <c r="A292" t="s">
        <v>3248</v>
      </c>
      <c r="B292" t="s">
        <v>3249</v>
      </c>
      <c r="C292" t="s">
        <v>584</v>
      </c>
      <c r="D292" t="s">
        <v>1681</v>
      </c>
      <c r="E292" t="s">
        <v>3235</v>
      </c>
      <c r="J292">
        <v>0.0</v>
      </c>
      <c r="K292">
        <v>0.0</v>
      </c>
      <c r="L292">
        <v>0.0</v>
      </c>
      <c r="M292">
        <v>0.0</v>
      </c>
      <c r="N292">
        <v>1.0</v>
      </c>
      <c r="O292">
        <v>3.0</v>
      </c>
      <c r="P292">
        <v>0.0</v>
      </c>
      <c r="Q292">
        <v>1.0</v>
      </c>
      <c r="R292">
        <v>0.0</v>
      </c>
      <c r="S292">
        <v>0.0</v>
      </c>
      <c r="T292">
        <v>0.0</v>
      </c>
      <c r="U292">
        <v>0.0</v>
      </c>
      <c r="V292">
        <v>0.0</v>
      </c>
      <c r="W292">
        <v>0.0</v>
      </c>
      <c r="X292" t="s">
        <v>3237</v>
      </c>
      <c r="Y292">
        <v>2.0</v>
      </c>
      <c r="Z292">
        <v>0.0</v>
      </c>
      <c r="AA292" t="s">
        <v>3238</v>
      </c>
      <c r="AB292">
        <v>3.0</v>
      </c>
      <c r="AC292">
        <v>0.0</v>
      </c>
      <c r="AD292">
        <v>2.0</v>
      </c>
      <c r="AE292" t="s">
        <v>3549</v>
      </c>
      <c r="AG292" t="s">
        <v>3533</v>
      </c>
      <c r="AH292" t="s">
        <v>3429</v>
      </c>
    </row>
    <row r="293" ht="15.75" customHeight="1">
      <c r="A293" t="s">
        <v>3250</v>
      </c>
      <c r="B293" t="s">
        <v>3251</v>
      </c>
      <c r="C293" t="s">
        <v>569</v>
      </c>
      <c r="D293" t="s">
        <v>1681</v>
      </c>
      <c r="E293" t="s">
        <v>3251</v>
      </c>
      <c r="J293">
        <v>0.0</v>
      </c>
      <c r="K293">
        <v>0.0</v>
      </c>
      <c r="L293">
        <v>0.0</v>
      </c>
      <c r="M293">
        <v>0.0</v>
      </c>
      <c r="N293">
        <v>0.0</v>
      </c>
      <c r="O293">
        <v>0.0</v>
      </c>
      <c r="P293">
        <v>0.0</v>
      </c>
      <c r="Q293">
        <v>0.0</v>
      </c>
      <c r="R293">
        <v>1.0</v>
      </c>
      <c r="S293">
        <v>0.0</v>
      </c>
      <c r="T293">
        <v>0.0</v>
      </c>
      <c r="U293">
        <v>0.0</v>
      </c>
      <c r="V293">
        <v>0.0</v>
      </c>
      <c r="W293">
        <v>0.0</v>
      </c>
      <c r="X293" t="s">
        <v>3253</v>
      </c>
      <c r="Y293">
        <v>2.0</v>
      </c>
      <c r="Z293">
        <v>0.0</v>
      </c>
      <c r="AA293" t="s">
        <v>3254</v>
      </c>
      <c r="AB293">
        <v>3.0</v>
      </c>
      <c r="AC293">
        <v>0.0</v>
      </c>
      <c r="AD293">
        <v>2.0</v>
      </c>
      <c r="AE293" t="s">
        <v>3550</v>
      </c>
      <c r="AG293" t="s">
        <v>3533</v>
      </c>
      <c r="AH293" t="s">
        <v>3429</v>
      </c>
    </row>
    <row r="294" ht="15.75" customHeight="1">
      <c r="A294" t="s">
        <v>3255</v>
      </c>
      <c r="B294" t="s">
        <v>3256</v>
      </c>
      <c r="C294" t="s">
        <v>572</v>
      </c>
      <c r="D294" t="s">
        <v>1681</v>
      </c>
      <c r="E294" t="s">
        <v>3251</v>
      </c>
      <c r="J294">
        <v>0.0</v>
      </c>
      <c r="K294">
        <v>0.0</v>
      </c>
      <c r="L294">
        <v>0.0</v>
      </c>
      <c r="M294">
        <v>0.0</v>
      </c>
      <c r="N294">
        <v>0.0</v>
      </c>
      <c r="O294">
        <v>0.0</v>
      </c>
      <c r="P294">
        <v>0.0</v>
      </c>
      <c r="Q294">
        <v>0.0</v>
      </c>
      <c r="R294">
        <v>1.0</v>
      </c>
      <c r="S294">
        <v>0.0</v>
      </c>
      <c r="T294">
        <v>0.0</v>
      </c>
      <c r="U294">
        <v>0.0</v>
      </c>
      <c r="V294">
        <v>0.0</v>
      </c>
      <c r="W294">
        <v>0.0</v>
      </c>
      <c r="X294" t="s">
        <v>3253</v>
      </c>
      <c r="Y294">
        <v>2.0</v>
      </c>
      <c r="Z294">
        <v>0.0</v>
      </c>
      <c r="AA294" t="s">
        <v>3254</v>
      </c>
      <c r="AB294">
        <v>3.0</v>
      </c>
      <c r="AC294">
        <v>0.0</v>
      </c>
      <c r="AD294">
        <v>2.0</v>
      </c>
      <c r="AE294" t="s">
        <v>3551</v>
      </c>
      <c r="AG294" t="s">
        <v>3533</v>
      </c>
      <c r="AH294" t="s">
        <v>3429</v>
      </c>
    </row>
    <row r="295" ht="15.75" customHeight="1">
      <c r="A295" t="s">
        <v>3257</v>
      </c>
      <c r="B295" t="s">
        <v>3258</v>
      </c>
      <c r="C295" t="s">
        <v>575</v>
      </c>
      <c r="D295" t="s">
        <v>1681</v>
      </c>
      <c r="E295" t="s">
        <v>3251</v>
      </c>
      <c r="J295">
        <v>0.0</v>
      </c>
      <c r="K295">
        <v>0.0</v>
      </c>
      <c r="L295">
        <v>0.0</v>
      </c>
      <c r="M295">
        <v>0.0</v>
      </c>
      <c r="N295">
        <v>0.0</v>
      </c>
      <c r="O295">
        <v>0.0</v>
      </c>
      <c r="P295">
        <v>0.0</v>
      </c>
      <c r="Q295">
        <v>0.0</v>
      </c>
      <c r="R295">
        <v>1.0</v>
      </c>
      <c r="S295">
        <v>1.0</v>
      </c>
      <c r="T295">
        <v>0.0</v>
      </c>
      <c r="U295">
        <v>0.0</v>
      </c>
      <c r="V295">
        <v>0.0</v>
      </c>
      <c r="W295">
        <v>0.0</v>
      </c>
      <c r="X295" t="s">
        <v>3253</v>
      </c>
      <c r="Y295">
        <v>2.0</v>
      </c>
      <c r="Z295">
        <v>0.0</v>
      </c>
      <c r="AA295" t="s">
        <v>3254</v>
      </c>
      <c r="AB295">
        <v>3.0</v>
      </c>
      <c r="AC295">
        <v>0.0</v>
      </c>
      <c r="AD295">
        <v>2.0</v>
      </c>
      <c r="AE295" t="s">
        <v>3551</v>
      </c>
      <c r="AG295" t="s">
        <v>3533</v>
      </c>
      <c r="AH295" t="s">
        <v>3429</v>
      </c>
    </row>
    <row r="296" ht="15.75" customHeight="1">
      <c r="A296" t="s">
        <v>3259</v>
      </c>
      <c r="B296" t="s">
        <v>3260</v>
      </c>
      <c r="C296" t="s">
        <v>578</v>
      </c>
      <c r="D296" t="s">
        <v>1681</v>
      </c>
      <c r="E296" t="s">
        <v>3251</v>
      </c>
      <c r="J296">
        <v>0.0</v>
      </c>
      <c r="K296">
        <v>0.0</v>
      </c>
      <c r="L296">
        <v>0.0</v>
      </c>
      <c r="M296">
        <v>0.0</v>
      </c>
      <c r="N296">
        <v>0.0</v>
      </c>
      <c r="O296">
        <v>0.0</v>
      </c>
      <c r="P296">
        <v>0.0</v>
      </c>
      <c r="Q296">
        <v>0.0</v>
      </c>
      <c r="R296">
        <v>2.0</v>
      </c>
      <c r="S296">
        <v>1.0</v>
      </c>
      <c r="T296">
        <v>0.0</v>
      </c>
      <c r="U296">
        <v>0.0</v>
      </c>
      <c r="V296">
        <v>0.0</v>
      </c>
      <c r="W296">
        <v>0.0</v>
      </c>
      <c r="X296" t="s">
        <v>3253</v>
      </c>
      <c r="Y296">
        <v>2.0</v>
      </c>
      <c r="Z296">
        <v>0.0</v>
      </c>
      <c r="AA296" t="s">
        <v>3254</v>
      </c>
      <c r="AB296">
        <v>3.0</v>
      </c>
      <c r="AC296">
        <v>0.0</v>
      </c>
      <c r="AD296">
        <v>2.0</v>
      </c>
      <c r="AE296" t="s">
        <v>3552</v>
      </c>
      <c r="AG296" t="s">
        <v>3533</v>
      </c>
      <c r="AH296" t="s">
        <v>3429</v>
      </c>
    </row>
    <row r="297" ht="15.75" customHeight="1">
      <c r="A297" t="s">
        <v>3261</v>
      </c>
      <c r="B297" t="s">
        <v>3262</v>
      </c>
      <c r="C297" t="s">
        <v>581</v>
      </c>
      <c r="D297" t="s">
        <v>1681</v>
      </c>
      <c r="E297" t="s">
        <v>3251</v>
      </c>
      <c r="J297">
        <v>0.0</v>
      </c>
      <c r="K297">
        <v>0.0</v>
      </c>
      <c r="L297">
        <v>0.0</v>
      </c>
      <c r="M297">
        <v>0.0</v>
      </c>
      <c r="N297">
        <v>1.0</v>
      </c>
      <c r="O297">
        <v>0.0</v>
      </c>
      <c r="P297">
        <v>0.0</v>
      </c>
      <c r="Q297">
        <v>0.0</v>
      </c>
      <c r="R297">
        <v>2.0</v>
      </c>
      <c r="S297">
        <v>1.0</v>
      </c>
      <c r="T297">
        <v>0.0</v>
      </c>
      <c r="U297">
        <v>0.0</v>
      </c>
      <c r="V297">
        <v>0.0</v>
      </c>
      <c r="W297">
        <v>0.0</v>
      </c>
      <c r="X297" t="s">
        <v>3253</v>
      </c>
      <c r="Y297">
        <v>2.0</v>
      </c>
      <c r="Z297">
        <v>0.0</v>
      </c>
      <c r="AA297" t="s">
        <v>3254</v>
      </c>
      <c r="AB297">
        <v>3.0</v>
      </c>
      <c r="AC297">
        <v>0.0</v>
      </c>
      <c r="AD297">
        <v>2.0</v>
      </c>
      <c r="AE297" t="s">
        <v>3552</v>
      </c>
      <c r="AG297" t="s">
        <v>3533</v>
      </c>
      <c r="AH297" t="s">
        <v>3429</v>
      </c>
    </row>
    <row r="298" ht="15.75" customHeight="1">
      <c r="A298" t="s">
        <v>3263</v>
      </c>
      <c r="B298" t="s">
        <v>3264</v>
      </c>
      <c r="C298" t="s">
        <v>584</v>
      </c>
      <c r="D298" t="s">
        <v>1681</v>
      </c>
      <c r="E298" t="s">
        <v>3251</v>
      </c>
      <c r="J298">
        <v>0.0</v>
      </c>
      <c r="K298">
        <v>0.0</v>
      </c>
      <c r="L298">
        <v>0.0</v>
      </c>
      <c r="M298">
        <v>0.0</v>
      </c>
      <c r="N298">
        <v>1.0</v>
      </c>
      <c r="O298">
        <v>0.0</v>
      </c>
      <c r="P298">
        <v>0.0</v>
      </c>
      <c r="Q298">
        <v>0.0</v>
      </c>
      <c r="R298">
        <v>3.0</v>
      </c>
      <c r="S298">
        <v>1.0</v>
      </c>
      <c r="T298">
        <v>0.0</v>
      </c>
      <c r="U298">
        <v>0.0</v>
      </c>
      <c r="V298">
        <v>0.0</v>
      </c>
      <c r="W298">
        <v>0.0</v>
      </c>
      <c r="X298" t="s">
        <v>3253</v>
      </c>
      <c r="Y298">
        <v>2.0</v>
      </c>
      <c r="Z298">
        <v>0.0</v>
      </c>
      <c r="AA298" t="s">
        <v>3254</v>
      </c>
      <c r="AB298">
        <v>3.0</v>
      </c>
      <c r="AC298">
        <v>0.0</v>
      </c>
      <c r="AD298">
        <v>2.0</v>
      </c>
      <c r="AE298" t="s">
        <v>3552</v>
      </c>
      <c r="AG298" t="s">
        <v>3533</v>
      </c>
      <c r="AH298" t="s">
        <v>3429</v>
      </c>
    </row>
    <row r="299" ht="15.75" customHeight="1">
      <c r="A299" t="s">
        <v>3265</v>
      </c>
      <c r="B299" t="s">
        <v>3266</v>
      </c>
      <c r="C299" t="s">
        <v>569</v>
      </c>
      <c r="D299" t="s">
        <v>1681</v>
      </c>
      <c r="E299" t="s">
        <v>3266</v>
      </c>
      <c r="J299">
        <v>0.0</v>
      </c>
      <c r="K299">
        <v>0.0</v>
      </c>
      <c r="L299">
        <v>0.0</v>
      </c>
      <c r="M299">
        <v>0.0</v>
      </c>
      <c r="N299">
        <v>0.0</v>
      </c>
      <c r="O299">
        <v>0.0</v>
      </c>
      <c r="P299">
        <v>0.0</v>
      </c>
      <c r="Q299">
        <v>1.0</v>
      </c>
      <c r="R299">
        <v>0.0</v>
      </c>
      <c r="S299">
        <v>0.0</v>
      </c>
      <c r="T299">
        <v>0.0</v>
      </c>
      <c r="U299">
        <v>0.0</v>
      </c>
      <c r="V299">
        <v>0.0</v>
      </c>
      <c r="W299">
        <v>0.0</v>
      </c>
      <c r="X299" t="s">
        <v>3268</v>
      </c>
      <c r="Y299">
        <v>2.0</v>
      </c>
      <c r="Z299">
        <v>0.0</v>
      </c>
      <c r="AA299" t="s">
        <v>3269</v>
      </c>
      <c r="AB299">
        <v>3.0</v>
      </c>
      <c r="AC299">
        <v>0.0</v>
      </c>
      <c r="AD299">
        <v>3.0</v>
      </c>
      <c r="AE299" t="s">
        <v>3553</v>
      </c>
      <c r="AG299" t="s">
        <v>3533</v>
      </c>
      <c r="AH299" t="s">
        <v>3429</v>
      </c>
    </row>
    <row r="300" ht="15.75" customHeight="1">
      <c r="A300" t="s">
        <v>3270</v>
      </c>
      <c r="B300" t="s">
        <v>3271</v>
      </c>
      <c r="C300" t="s">
        <v>572</v>
      </c>
      <c r="D300" t="s">
        <v>1681</v>
      </c>
      <c r="E300" t="s">
        <v>3266</v>
      </c>
      <c r="J300">
        <v>0.0</v>
      </c>
      <c r="K300">
        <v>0.0</v>
      </c>
      <c r="L300">
        <v>0.0</v>
      </c>
      <c r="M300">
        <v>0.0</v>
      </c>
      <c r="N300">
        <v>0.0</v>
      </c>
      <c r="O300">
        <v>0.0</v>
      </c>
      <c r="P300">
        <v>0.0</v>
      </c>
      <c r="Q300">
        <v>1.0</v>
      </c>
      <c r="R300">
        <v>0.0</v>
      </c>
      <c r="S300">
        <v>0.0</v>
      </c>
      <c r="T300">
        <v>0.0</v>
      </c>
      <c r="U300">
        <v>0.0</v>
      </c>
      <c r="V300">
        <v>0.0</v>
      </c>
      <c r="W300">
        <v>0.0</v>
      </c>
      <c r="X300" t="s">
        <v>3268</v>
      </c>
      <c r="Y300">
        <v>2.0</v>
      </c>
      <c r="Z300">
        <v>0.0</v>
      </c>
      <c r="AA300" t="s">
        <v>3269</v>
      </c>
      <c r="AB300">
        <v>3.0</v>
      </c>
      <c r="AC300">
        <v>0.0</v>
      </c>
      <c r="AD300">
        <v>3.0</v>
      </c>
      <c r="AE300" t="s">
        <v>3554</v>
      </c>
      <c r="AG300" t="s">
        <v>3533</v>
      </c>
      <c r="AH300" t="s">
        <v>3429</v>
      </c>
    </row>
    <row r="301" ht="15.75" customHeight="1">
      <c r="A301" t="s">
        <v>3272</v>
      </c>
      <c r="B301" t="s">
        <v>3273</v>
      </c>
      <c r="C301" t="s">
        <v>575</v>
      </c>
      <c r="D301" t="s">
        <v>1681</v>
      </c>
      <c r="E301" t="s">
        <v>3266</v>
      </c>
      <c r="J301">
        <v>0.0</v>
      </c>
      <c r="K301">
        <v>0.0</v>
      </c>
      <c r="L301">
        <v>0.0</v>
      </c>
      <c r="M301">
        <v>0.0</v>
      </c>
      <c r="N301">
        <v>0.0</v>
      </c>
      <c r="O301">
        <v>0.0</v>
      </c>
      <c r="P301">
        <v>0.0</v>
      </c>
      <c r="Q301">
        <v>1.0</v>
      </c>
      <c r="R301">
        <v>0.0</v>
      </c>
      <c r="S301">
        <v>1.0</v>
      </c>
      <c r="T301">
        <v>0.0</v>
      </c>
      <c r="U301">
        <v>0.0</v>
      </c>
      <c r="V301">
        <v>0.0</v>
      </c>
      <c r="W301">
        <v>0.0</v>
      </c>
      <c r="X301" t="s">
        <v>3268</v>
      </c>
      <c r="Y301">
        <v>2.0</v>
      </c>
      <c r="Z301">
        <v>0.0</v>
      </c>
      <c r="AA301" t="s">
        <v>3269</v>
      </c>
      <c r="AB301">
        <v>3.0</v>
      </c>
      <c r="AC301">
        <v>0.0</v>
      </c>
      <c r="AD301">
        <v>3.0</v>
      </c>
      <c r="AE301" t="s">
        <v>3554</v>
      </c>
      <c r="AG301" t="s">
        <v>3555</v>
      </c>
      <c r="AH301" t="s">
        <v>3429</v>
      </c>
    </row>
    <row r="302" ht="15.75" customHeight="1">
      <c r="A302" t="s">
        <v>3274</v>
      </c>
      <c r="B302" t="s">
        <v>3275</v>
      </c>
      <c r="C302" t="s">
        <v>578</v>
      </c>
      <c r="D302" t="s">
        <v>1681</v>
      </c>
      <c r="E302" t="s">
        <v>3266</v>
      </c>
      <c r="J302">
        <v>0.0</v>
      </c>
      <c r="K302">
        <v>0.0</v>
      </c>
      <c r="L302">
        <v>0.0</v>
      </c>
      <c r="M302">
        <v>0.0</v>
      </c>
      <c r="N302">
        <v>0.0</v>
      </c>
      <c r="O302">
        <v>0.0</v>
      </c>
      <c r="P302">
        <v>0.0</v>
      </c>
      <c r="Q302">
        <v>2.0</v>
      </c>
      <c r="R302">
        <v>0.0</v>
      </c>
      <c r="S302">
        <v>1.0</v>
      </c>
      <c r="T302">
        <v>0.0</v>
      </c>
      <c r="U302">
        <v>0.0</v>
      </c>
      <c r="V302">
        <v>0.0</v>
      </c>
      <c r="W302">
        <v>0.0</v>
      </c>
      <c r="X302" t="s">
        <v>3268</v>
      </c>
      <c r="Y302">
        <v>2.0</v>
      </c>
      <c r="Z302">
        <v>0.0</v>
      </c>
      <c r="AA302" t="s">
        <v>3269</v>
      </c>
      <c r="AB302">
        <v>3.0</v>
      </c>
      <c r="AC302">
        <v>0.0</v>
      </c>
      <c r="AD302">
        <v>3.0</v>
      </c>
      <c r="AE302" t="s">
        <v>3556</v>
      </c>
      <c r="AG302" t="s">
        <v>3557</v>
      </c>
      <c r="AH302" t="s">
        <v>3429</v>
      </c>
    </row>
    <row r="303" ht="15.75" customHeight="1">
      <c r="A303" t="s">
        <v>3276</v>
      </c>
      <c r="B303" t="s">
        <v>3277</v>
      </c>
      <c r="C303" t="s">
        <v>581</v>
      </c>
      <c r="D303" t="s">
        <v>1681</v>
      </c>
      <c r="E303" t="s">
        <v>3266</v>
      </c>
      <c r="J303">
        <v>0.0</v>
      </c>
      <c r="K303">
        <v>0.0</v>
      </c>
      <c r="L303">
        <v>0.0</v>
      </c>
      <c r="M303">
        <v>0.0</v>
      </c>
      <c r="N303">
        <v>1.0</v>
      </c>
      <c r="O303">
        <v>0.0</v>
      </c>
      <c r="P303">
        <v>0.0</v>
      </c>
      <c r="Q303">
        <v>2.0</v>
      </c>
      <c r="R303">
        <v>0.0</v>
      </c>
      <c r="S303">
        <v>1.0</v>
      </c>
      <c r="T303">
        <v>0.0</v>
      </c>
      <c r="U303">
        <v>0.0</v>
      </c>
      <c r="V303">
        <v>0.0</v>
      </c>
      <c r="W303">
        <v>0.0</v>
      </c>
      <c r="X303" t="s">
        <v>3268</v>
      </c>
      <c r="Y303">
        <v>2.0</v>
      </c>
      <c r="Z303">
        <v>0.0</v>
      </c>
      <c r="AA303" t="s">
        <v>3269</v>
      </c>
      <c r="AB303">
        <v>3.0</v>
      </c>
      <c r="AC303">
        <v>0.0</v>
      </c>
      <c r="AD303">
        <v>3.0</v>
      </c>
      <c r="AE303" t="s">
        <v>3556</v>
      </c>
      <c r="AG303" t="s">
        <v>3558</v>
      </c>
      <c r="AH303" t="s">
        <v>3429</v>
      </c>
    </row>
    <row r="304" ht="15.75" customHeight="1">
      <c r="A304" t="s">
        <v>3278</v>
      </c>
      <c r="B304" t="s">
        <v>3279</v>
      </c>
      <c r="C304" t="s">
        <v>584</v>
      </c>
      <c r="D304" t="s">
        <v>1681</v>
      </c>
      <c r="E304" t="s">
        <v>3266</v>
      </c>
      <c r="J304">
        <v>0.0</v>
      </c>
      <c r="K304">
        <v>0.0</v>
      </c>
      <c r="L304">
        <v>0.0</v>
      </c>
      <c r="M304">
        <v>0.0</v>
      </c>
      <c r="N304">
        <v>1.0</v>
      </c>
      <c r="O304">
        <v>0.0</v>
      </c>
      <c r="P304">
        <v>0.0</v>
      </c>
      <c r="Q304">
        <v>3.0</v>
      </c>
      <c r="R304">
        <v>0.0</v>
      </c>
      <c r="S304">
        <v>1.0</v>
      </c>
      <c r="T304">
        <v>0.0</v>
      </c>
      <c r="U304">
        <v>0.0</v>
      </c>
      <c r="V304">
        <v>0.0</v>
      </c>
      <c r="W304">
        <v>0.0</v>
      </c>
      <c r="X304" t="s">
        <v>3268</v>
      </c>
      <c r="Y304">
        <v>2.0</v>
      </c>
      <c r="Z304">
        <v>0.0</v>
      </c>
      <c r="AA304" t="s">
        <v>3269</v>
      </c>
      <c r="AB304">
        <v>3.0</v>
      </c>
      <c r="AC304">
        <v>0.0</v>
      </c>
      <c r="AD304">
        <v>3.0</v>
      </c>
      <c r="AE304" t="s">
        <v>3556</v>
      </c>
      <c r="AG304" t="s">
        <v>3559</v>
      </c>
      <c r="AH304" t="s">
        <v>3429</v>
      </c>
    </row>
    <row r="305" ht="15.75" customHeight="1">
      <c r="A305" s="5" t="s">
        <v>2673</v>
      </c>
      <c r="B305" s="5" t="s">
        <v>2450</v>
      </c>
      <c r="C305" s="5" t="s">
        <v>2674</v>
      </c>
      <c r="D305" s="5" t="s">
        <v>2109</v>
      </c>
      <c r="E305" s="5" t="s">
        <v>2450</v>
      </c>
      <c r="F305" s="5" t="s">
        <v>2349</v>
      </c>
      <c r="G305" s="5" t="s">
        <v>2384</v>
      </c>
      <c r="H305" s="5" t="s">
        <v>2175</v>
      </c>
      <c r="I305" s="5" t="s">
        <v>98</v>
      </c>
      <c r="J305" s="5">
        <v>1.0</v>
      </c>
      <c r="K305" s="5">
        <v>2.0</v>
      </c>
      <c r="L305" s="5">
        <v>0.0</v>
      </c>
      <c r="M305" s="5">
        <v>0.0</v>
      </c>
      <c r="N305" s="5">
        <v>0.0</v>
      </c>
      <c r="O305" s="5">
        <v>0.0</v>
      </c>
      <c r="P305" s="5">
        <v>0.0</v>
      </c>
      <c r="Q305" s="5">
        <v>0.0</v>
      </c>
      <c r="R305" s="5">
        <v>0.0</v>
      </c>
      <c r="S305" s="5">
        <v>0.0</v>
      </c>
      <c r="T305" s="5">
        <v>0.0</v>
      </c>
      <c r="U305" s="5">
        <v>0.0</v>
      </c>
      <c r="V305" s="5">
        <v>0.0</v>
      </c>
      <c r="W305" s="5">
        <v>0.0</v>
      </c>
      <c r="X305" s="5" t="s">
        <v>2132</v>
      </c>
      <c r="Y305" s="5">
        <v>1.0</v>
      </c>
      <c r="Z305" s="5">
        <v>100.0</v>
      </c>
      <c r="AA305" s="5"/>
      <c r="AB305" s="5"/>
      <c r="AC305" s="5"/>
      <c r="AD305" s="5">
        <v>0.0</v>
      </c>
      <c r="AE305" s="5" t="s">
        <v>2675</v>
      </c>
      <c r="AF305" s="5"/>
      <c r="AG305" s="5" t="s">
        <v>2453</v>
      </c>
      <c r="AH305" s="5" t="s">
        <v>2454</v>
      </c>
    </row>
    <row r="306" ht="15.75" customHeight="1">
      <c r="A306" s="5" t="s">
        <v>2677</v>
      </c>
      <c r="B306" s="5" t="s">
        <v>2455</v>
      </c>
      <c r="C306" s="5" t="s">
        <v>2674</v>
      </c>
      <c r="D306" s="5" t="s">
        <v>2109</v>
      </c>
      <c r="E306" s="5" t="s">
        <v>2455</v>
      </c>
      <c r="F306" s="5" t="s">
        <v>2456</v>
      </c>
      <c r="G306" s="5" t="s">
        <v>2406</v>
      </c>
      <c r="H306" s="5" t="s">
        <v>570</v>
      </c>
      <c r="I306" s="5" t="s">
        <v>89</v>
      </c>
      <c r="J306" s="5">
        <v>2.0</v>
      </c>
      <c r="K306" s="5">
        <v>3.0</v>
      </c>
      <c r="L306" s="5">
        <v>0.0</v>
      </c>
      <c r="M306" s="5">
        <v>0.0</v>
      </c>
      <c r="N306" s="5">
        <v>0.0</v>
      </c>
      <c r="O306" s="5">
        <v>0.0</v>
      </c>
      <c r="P306" s="5">
        <v>0.0</v>
      </c>
      <c r="Q306" s="5">
        <v>0.0</v>
      </c>
      <c r="R306" s="5">
        <v>0.0</v>
      </c>
      <c r="S306" s="5">
        <v>0.0</v>
      </c>
      <c r="T306" s="5">
        <v>0.0</v>
      </c>
      <c r="U306" s="5">
        <v>0.0</v>
      </c>
      <c r="V306" s="5">
        <v>0.0</v>
      </c>
      <c r="W306" s="5">
        <v>0.0</v>
      </c>
      <c r="X306" s="5" t="s">
        <v>2132</v>
      </c>
      <c r="Y306" s="5">
        <v>1.0</v>
      </c>
      <c r="Z306" s="5">
        <v>100.0</v>
      </c>
      <c r="AA306" s="5"/>
      <c r="AB306" s="5"/>
      <c r="AC306" s="5"/>
      <c r="AD306" s="5">
        <v>0.0</v>
      </c>
      <c r="AE306" s="5" t="s">
        <v>2678</v>
      </c>
      <c r="AF306" s="5"/>
      <c r="AG306" s="5" t="s">
        <v>2458</v>
      </c>
      <c r="AH306" s="5" t="s">
        <v>2454</v>
      </c>
    </row>
    <row r="307" ht="15.75" customHeight="1">
      <c r="A307" s="5" t="s">
        <v>2679</v>
      </c>
      <c r="B307" s="5" t="s">
        <v>2459</v>
      </c>
      <c r="C307" s="5" t="s">
        <v>2674</v>
      </c>
      <c r="D307" s="5" t="s">
        <v>2109</v>
      </c>
      <c r="E307" s="5" t="s">
        <v>2459</v>
      </c>
      <c r="F307" s="5" t="s">
        <v>2456</v>
      </c>
      <c r="G307" s="5" t="s">
        <v>2438</v>
      </c>
      <c r="H307" s="5" t="s">
        <v>2175</v>
      </c>
      <c r="I307" s="5" t="s">
        <v>98</v>
      </c>
      <c r="J307" s="5">
        <v>1.0</v>
      </c>
      <c r="K307" s="5">
        <v>2.0</v>
      </c>
      <c r="L307" s="5">
        <v>0.0</v>
      </c>
      <c r="M307" s="5">
        <v>0.0</v>
      </c>
      <c r="N307" s="5">
        <v>0.0</v>
      </c>
      <c r="O307" s="5">
        <v>0.0</v>
      </c>
      <c r="P307" s="5">
        <v>0.0</v>
      </c>
      <c r="Q307" s="5">
        <v>0.0</v>
      </c>
      <c r="R307" s="5">
        <v>0.0</v>
      </c>
      <c r="S307" s="5">
        <v>0.0</v>
      </c>
      <c r="T307" s="5">
        <v>0.0</v>
      </c>
      <c r="U307" s="5">
        <v>0.0</v>
      </c>
      <c r="V307" s="5">
        <v>0.0</v>
      </c>
      <c r="W307" s="5">
        <v>0.0</v>
      </c>
      <c r="X307" s="5" t="s">
        <v>2132</v>
      </c>
      <c r="Y307" s="5">
        <v>1.0</v>
      </c>
      <c r="Z307" s="5">
        <v>100.0</v>
      </c>
      <c r="AA307" s="5"/>
      <c r="AB307" s="5"/>
      <c r="AC307" s="5"/>
      <c r="AD307" s="5">
        <v>0.0</v>
      </c>
      <c r="AE307" s="5" t="s">
        <v>2675</v>
      </c>
      <c r="AF307" s="5"/>
      <c r="AG307" s="5" t="s">
        <v>2460</v>
      </c>
      <c r="AH307" s="5" t="s">
        <v>2454</v>
      </c>
    </row>
    <row r="308" ht="15.75" customHeight="1">
      <c r="A308" s="5" t="s">
        <v>2680</v>
      </c>
      <c r="B308" s="5" t="s">
        <v>2461</v>
      </c>
      <c r="C308" s="5" t="s">
        <v>2674</v>
      </c>
      <c r="D308" s="5" t="s">
        <v>2109</v>
      </c>
      <c r="E308" s="5" t="s">
        <v>2461</v>
      </c>
      <c r="F308" s="5" t="s">
        <v>2456</v>
      </c>
      <c r="G308" s="5" t="s">
        <v>1856</v>
      </c>
      <c r="H308" s="5" t="s">
        <v>573</v>
      </c>
      <c r="I308" s="5" t="s">
        <v>94</v>
      </c>
      <c r="J308" s="5">
        <v>1.0</v>
      </c>
      <c r="K308" s="5">
        <v>2.0</v>
      </c>
      <c r="L308" s="5">
        <v>0.0</v>
      </c>
      <c r="M308" s="5">
        <v>0.0</v>
      </c>
      <c r="N308" s="5">
        <v>0.0</v>
      </c>
      <c r="O308" s="5">
        <v>0.0</v>
      </c>
      <c r="P308" s="5">
        <v>0.0</v>
      </c>
      <c r="Q308" s="5">
        <v>0.0</v>
      </c>
      <c r="R308" s="5">
        <v>0.0</v>
      </c>
      <c r="S308" s="5">
        <v>0.0</v>
      </c>
      <c r="T308" s="5">
        <v>0.0</v>
      </c>
      <c r="U308" s="5">
        <v>0.0</v>
      </c>
      <c r="V308" s="5">
        <v>0.0</v>
      </c>
      <c r="W308" s="5">
        <v>0.0</v>
      </c>
      <c r="X308" s="5" t="s">
        <v>2132</v>
      </c>
      <c r="Y308" s="5">
        <v>1.0</v>
      </c>
      <c r="Z308" s="5">
        <v>100.0</v>
      </c>
      <c r="AA308" s="5"/>
      <c r="AB308" s="5"/>
      <c r="AC308" s="5"/>
      <c r="AD308" s="5">
        <v>0.0</v>
      </c>
      <c r="AE308" s="5" t="s">
        <v>2681</v>
      </c>
      <c r="AF308" s="5"/>
      <c r="AG308" s="5" t="s">
        <v>2463</v>
      </c>
      <c r="AH308" s="5" t="s">
        <v>2454</v>
      </c>
    </row>
    <row r="309" ht="15.75" customHeight="1">
      <c r="A309" s="5" t="s">
        <v>2682</v>
      </c>
      <c r="B309" s="5" t="s">
        <v>2464</v>
      </c>
      <c r="C309" s="5" t="s">
        <v>2674</v>
      </c>
      <c r="D309" s="5" t="s">
        <v>2109</v>
      </c>
      <c r="E309" s="5" t="s">
        <v>2464</v>
      </c>
      <c r="F309" s="5" t="s">
        <v>2456</v>
      </c>
      <c r="G309" s="5" t="s">
        <v>2465</v>
      </c>
      <c r="H309" s="5" t="s">
        <v>2175</v>
      </c>
      <c r="I309" s="5" t="s">
        <v>98</v>
      </c>
      <c r="J309" s="5">
        <v>1.0</v>
      </c>
      <c r="K309" s="5">
        <v>2.0</v>
      </c>
      <c r="L309" s="5">
        <v>0.0</v>
      </c>
      <c r="M309" s="5">
        <v>0.0</v>
      </c>
      <c r="N309" s="5">
        <v>0.0</v>
      </c>
      <c r="O309" s="5">
        <v>0.0</v>
      </c>
      <c r="P309" s="5">
        <v>0.0</v>
      </c>
      <c r="Q309" s="5">
        <v>0.0</v>
      </c>
      <c r="R309" s="5">
        <v>0.0</v>
      </c>
      <c r="S309" s="5">
        <v>0.0</v>
      </c>
      <c r="T309" s="5">
        <v>0.0</v>
      </c>
      <c r="U309" s="5">
        <v>0.0</v>
      </c>
      <c r="V309" s="5">
        <v>0.0</v>
      </c>
      <c r="W309" s="5">
        <v>0.0</v>
      </c>
      <c r="X309" s="5" t="s">
        <v>2132</v>
      </c>
      <c r="Y309" s="5">
        <v>1.0</v>
      </c>
      <c r="Z309" s="5">
        <v>100.0</v>
      </c>
      <c r="AA309" s="5"/>
      <c r="AB309" s="5"/>
      <c r="AC309" s="5"/>
      <c r="AD309" s="5">
        <v>0.0</v>
      </c>
      <c r="AE309" s="5" t="s">
        <v>2675</v>
      </c>
      <c r="AF309" s="5"/>
      <c r="AG309" s="5" t="s">
        <v>2466</v>
      </c>
      <c r="AH309" s="5" t="s">
        <v>2454</v>
      </c>
    </row>
  </sheetData>
  <printOptions/>
  <pageMargins bottom="0.75" footer="0.0" header="0.0" left="0.7" right="0.7" top="0.75"/>
  <pageSetup orientation="landscape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1" width="8.71"/>
  </cols>
  <sheetData>
    <row r="1">
      <c r="A1" t="s">
        <v>3560</v>
      </c>
    </row>
    <row r="4">
      <c r="A4" t="s">
        <v>3561</v>
      </c>
      <c r="B4" t="s">
        <v>67</v>
      </c>
      <c r="D4" t="s">
        <v>3562</v>
      </c>
      <c r="E4" t="s">
        <v>459</v>
      </c>
      <c r="F4" t="s">
        <v>3563</v>
      </c>
    </row>
    <row r="5">
      <c r="A5" t="s">
        <v>3564</v>
      </c>
      <c r="B5">
        <v>2.0</v>
      </c>
      <c r="D5" t="s">
        <v>3565</v>
      </c>
      <c r="E5" t="s">
        <v>3566</v>
      </c>
      <c r="F5" t="str">
        <f>B8*2.5%</f>
        <v>0.3</v>
      </c>
    </row>
    <row r="6">
      <c r="A6" t="s">
        <v>3567</v>
      </c>
      <c r="B6">
        <v>3.0</v>
      </c>
      <c r="D6" t="s">
        <v>3568</v>
      </c>
      <c r="E6" t="s">
        <v>3569</v>
      </c>
      <c r="F6" t="str">
        <f>(B7+F5*100)/100</f>
        <v>1.2</v>
      </c>
    </row>
    <row r="7">
      <c r="A7" t="s">
        <v>3570</v>
      </c>
      <c r="B7">
        <v>90.0</v>
      </c>
      <c r="D7" t="s">
        <v>3571</v>
      </c>
      <c r="E7" t="s">
        <v>3572</v>
      </c>
      <c r="F7" t="str">
        <f>B5*F6</f>
        <v>2.4</v>
      </c>
    </row>
    <row r="8">
      <c r="A8" t="s">
        <v>565</v>
      </c>
      <c r="B8">
        <v>12.0</v>
      </c>
      <c r="D8" t="s">
        <v>3573</v>
      </c>
      <c r="E8" t="s">
        <v>3574</v>
      </c>
      <c r="F8" t="str">
        <f>B6*F6</f>
        <v>3.6</v>
      </c>
    </row>
    <row r="9">
      <c r="A9" t="s">
        <v>3575</v>
      </c>
      <c r="B9">
        <v>1.0</v>
      </c>
      <c r="D9" t="s">
        <v>1580</v>
      </c>
      <c r="E9" t="s">
        <v>3576</v>
      </c>
      <c r="F9" t="str">
        <f>MAX(0,B11-B12)</f>
        <v>8</v>
      </c>
    </row>
    <row r="10">
      <c r="A10" t="s">
        <v>3577</v>
      </c>
      <c r="B10">
        <v>1.0</v>
      </c>
      <c r="D10" t="s">
        <v>3578</v>
      </c>
      <c r="E10" t="s">
        <v>3579</v>
      </c>
      <c r="F10" t="str">
        <f>F9*2.5</f>
        <v>20</v>
      </c>
    </row>
    <row r="11">
      <c r="A11" t="s">
        <v>3580</v>
      </c>
      <c r="B11">
        <v>8.0</v>
      </c>
      <c r="D11" t="s">
        <v>3581</v>
      </c>
      <c r="E11" t="s">
        <v>490</v>
      </c>
      <c r="F11" t="str">
        <f>MIN(75%,F10/(100+F10))</f>
        <v>0.1666666667</v>
      </c>
    </row>
    <row r="12">
      <c r="A12" t="s">
        <v>3582</v>
      </c>
      <c r="B12">
        <v>0.0</v>
      </c>
      <c r="D12" t="s">
        <v>3583</v>
      </c>
      <c r="E12" t="s">
        <v>3584</v>
      </c>
      <c r="F12" t="str">
        <f>F7*B9*B10*(1-F11)</f>
        <v>2</v>
      </c>
    </row>
    <row r="13">
      <c r="A13" t="s">
        <v>3585</v>
      </c>
      <c r="B13">
        <v>4.0</v>
      </c>
      <c r="D13" t="s">
        <v>3586</v>
      </c>
      <c r="E13" t="s">
        <v>3587</v>
      </c>
      <c r="F13" t="str">
        <f>F8*B9*B10*(1-F11)</f>
        <v>3</v>
      </c>
    </row>
    <row r="14">
      <c r="A14" t="s">
        <v>3588</v>
      </c>
      <c r="B14">
        <v>12.0</v>
      </c>
      <c r="D14" t="s">
        <v>3589</v>
      </c>
      <c r="E14" t="s">
        <v>3590</v>
      </c>
      <c r="F14" t="str">
        <f>MAX(0,F12-B13)</f>
        <v>0</v>
      </c>
    </row>
    <row r="15">
      <c r="D15" t="s">
        <v>3591</v>
      </c>
      <c r="E15" t="s">
        <v>3592</v>
      </c>
      <c r="F15" t="str">
        <f>MAX(0,F13-B13)</f>
        <v>0</v>
      </c>
    </row>
    <row r="16">
      <c r="D16" t="s">
        <v>3593</v>
      </c>
      <c r="E16" t="s">
        <v>3594</v>
      </c>
      <c r="F16" t="str">
        <f>IF(OR(B13=0,F13&gt;B13),"Yes","No")</f>
        <v>No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1" width="8.71"/>
  </cols>
  <sheetData>
    <row r="1">
      <c r="A1" t="s">
        <v>3595</v>
      </c>
    </row>
    <row r="4">
      <c r="A4" t="s">
        <v>3561</v>
      </c>
      <c r="B4" t="s">
        <v>67</v>
      </c>
      <c r="D4" t="s">
        <v>3562</v>
      </c>
      <c r="E4" t="s">
        <v>459</v>
      </c>
      <c r="F4" t="s">
        <v>3563</v>
      </c>
    </row>
    <row r="5">
      <c r="A5" t="s">
        <v>564</v>
      </c>
      <c r="B5" t="s">
        <v>3367</v>
      </c>
      <c r="D5" t="s">
        <v>1580</v>
      </c>
      <c r="E5" t="s">
        <v>3596</v>
      </c>
      <c r="F5" t="str">
        <f>IF(B5="Physical",MAX(0,B7-B9),MAX(0,B8-B10))</f>
        <v>8</v>
      </c>
    </row>
    <row r="6">
      <c r="A6" t="s">
        <v>3597</v>
      </c>
      <c r="B6">
        <v>8.0</v>
      </c>
      <c r="D6" t="s">
        <v>3581</v>
      </c>
      <c r="E6" t="s">
        <v>3598</v>
      </c>
      <c r="F6" t="str">
        <f>MIN(75%,(F5*2.5)/(100+F5*2.5))</f>
        <v>0.1666666667</v>
      </c>
    </row>
    <row r="7">
      <c r="A7" t="s">
        <v>106</v>
      </c>
      <c r="B7">
        <v>8.0</v>
      </c>
      <c r="D7" t="s">
        <v>3599</v>
      </c>
      <c r="E7" t="s">
        <v>3600</v>
      </c>
      <c r="F7" t="str">
        <f>B6*(1-F6)</f>
        <v>6.666666667</v>
      </c>
    </row>
    <row r="8">
      <c r="A8" t="s">
        <v>111</v>
      </c>
      <c r="B8">
        <v>4.0</v>
      </c>
      <c r="D8" t="s">
        <v>3601</v>
      </c>
      <c r="E8" t="s">
        <v>3602</v>
      </c>
      <c r="F8" t="str">
        <f>IF(B5="Physical",B11,B12)</f>
        <v>8</v>
      </c>
    </row>
    <row r="9">
      <c r="A9" t="s">
        <v>517</v>
      </c>
      <c r="B9">
        <v>0.0</v>
      </c>
      <c r="D9" t="s">
        <v>3603</v>
      </c>
      <c r="E9" t="s">
        <v>3604</v>
      </c>
      <c r="F9" t="str">
        <f>MAX(0,F8-F7)</f>
        <v>1.333333333</v>
      </c>
    </row>
    <row r="10">
      <c r="A10" t="s">
        <v>524</v>
      </c>
      <c r="B10">
        <v>0.0</v>
      </c>
      <c r="D10" t="s">
        <v>3605</v>
      </c>
      <c r="E10" t="s">
        <v>3606</v>
      </c>
      <c r="F10" t="str">
        <f>MAX(0,F7-F8)</f>
        <v>0</v>
      </c>
    </row>
    <row r="11">
      <c r="A11" t="s">
        <v>3607</v>
      </c>
      <c r="B11">
        <v>8.0</v>
      </c>
      <c r="D11" t="s">
        <v>3608</v>
      </c>
      <c r="E11" t="s">
        <v>3609</v>
      </c>
      <c r="F11" t="str">
        <f>MAX(0,B13-F10)</f>
        <v>15</v>
      </c>
    </row>
    <row r="12">
      <c r="A12" t="s">
        <v>3610</v>
      </c>
      <c r="B12">
        <v>2.0</v>
      </c>
      <c r="D12" t="s">
        <v>1194</v>
      </c>
      <c r="E12" t="s">
        <v>3611</v>
      </c>
      <c r="F12" t="str">
        <f>IF(F10&gt;0,"Permitted","Blocked")</f>
        <v>Blocked</v>
      </c>
    </row>
    <row r="13">
      <c r="A13" t="s">
        <v>3588</v>
      </c>
      <c r="B13">
        <v>15.0</v>
      </c>
      <c r="D13" t="s">
        <v>3612</v>
      </c>
      <c r="E13" t="s">
        <v>3613</v>
      </c>
      <c r="F13" t="str">
        <f>IF(B5="Physical",F9,B11)</f>
        <v>1.333333333</v>
      </c>
    </row>
    <row r="14">
      <c r="A14" t="s">
        <v>3614</v>
      </c>
      <c r="B14" t="s">
        <v>288</v>
      </c>
      <c r="D14" t="s">
        <v>3615</v>
      </c>
      <c r="E14" t="s">
        <v>3616</v>
      </c>
      <c r="F14" t="str">
        <f>IF(B5="Magical",F9,B12)</f>
        <v>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1" width="8.71"/>
  </cols>
  <sheetData>
    <row r="1">
      <c r="A1" t="s">
        <v>3617</v>
      </c>
    </row>
    <row r="4">
      <c r="A4" t="s">
        <v>2</v>
      </c>
      <c r="B4" t="s">
        <v>367</v>
      </c>
      <c r="C4" t="s">
        <v>1179</v>
      </c>
      <c r="D4" t="s">
        <v>1180</v>
      </c>
      <c r="E4" t="s">
        <v>3618</v>
      </c>
      <c r="F4" t="s">
        <v>3619</v>
      </c>
      <c r="G4" t="s">
        <v>325</v>
      </c>
      <c r="H4" t="s">
        <v>3620</v>
      </c>
      <c r="I4" t="s">
        <v>538</v>
      </c>
      <c r="J4" t="s">
        <v>5</v>
      </c>
    </row>
    <row r="5">
      <c r="A5" t="s">
        <v>2132</v>
      </c>
      <c r="B5" t="s">
        <v>3621</v>
      </c>
      <c r="C5" t="s">
        <v>3622</v>
      </c>
      <c r="D5" t="s">
        <v>1602</v>
      </c>
      <c r="E5" t="s">
        <v>3623</v>
      </c>
      <c r="F5" t="s">
        <v>3624</v>
      </c>
      <c r="G5" t="s">
        <v>1205</v>
      </c>
      <c r="H5" t="s">
        <v>1205</v>
      </c>
      <c r="I5" t="s">
        <v>3625</v>
      </c>
      <c r="J5" t="s">
        <v>84</v>
      </c>
    </row>
    <row r="6">
      <c r="A6" t="s">
        <v>3626</v>
      </c>
      <c r="B6" t="s">
        <v>3627</v>
      </c>
      <c r="C6" t="s">
        <v>3628</v>
      </c>
      <c r="D6" t="s">
        <v>1602</v>
      </c>
      <c r="E6" t="s">
        <v>3629</v>
      </c>
      <c r="F6" t="s">
        <v>3630</v>
      </c>
      <c r="G6" t="s">
        <v>3631</v>
      </c>
      <c r="H6" t="s">
        <v>3631</v>
      </c>
      <c r="I6" t="s">
        <v>3632</v>
      </c>
      <c r="J6" t="s">
        <v>84</v>
      </c>
    </row>
    <row r="7">
      <c r="A7" t="s">
        <v>3633</v>
      </c>
      <c r="B7" t="s">
        <v>3634</v>
      </c>
      <c r="C7" t="s">
        <v>3635</v>
      </c>
      <c r="D7" t="s">
        <v>3636</v>
      </c>
      <c r="E7" t="s">
        <v>3637</v>
      </c>
      <c r="F7" t="s">
        <v>3638</v>
      </c>
      <c r="G7" t="s">
        <v>3631</v>
      </c>
      <c r="H7" t="s">
        <v>3631</v>
      </c>
      <c r="I7" t="s">
        <v>3639</v>
      </c>
      <c r="J7" t="s">
        <v>84</v>
      </c>
    </row>
    <row r="8">
      <c r="A8" t="s">
        <v>3640</v>
      </c>
      <c r="B8" t="s">
        <v>3641</v>
      </c>
      <c r="C8" t="s">
        <v>1205</v>
      </c>
      <c r="D8" t="s">
        <v>1205</v>
      </c>
      <c r="E8" t="s">
        <v>3642</v>
      </c>
      <c r="F8" t="s">
        <v>1205</v>
      </c>
      <c r="G8" t="s">
        <v>1205</v>
      </c>
      <c r="H8" t="s">
        <v>1205</v>
      </c>
      <c r="I8" t="s">
        <v>3643</v>
      </c>
      <c r="J8" t="s">
        <v>84</v>
      </c>
    </row>
    <row r="9">
      <c r="A9" t="s">
        <v>2210</v>
      </c>
      <c r="B9" t="s">
        <v>3644</v>
      </c>
      <c r="C9" t="s">
        <v>3645</v>
      </c>
      <c r="D9" t="s">
        <v>3646</v>
      </c>
      <c r="E9" t="s">
        <v>3647</v>
      </c>
      <c r="F9" t="s">
        <v>3648</v>
      </c>
      <c r="G9" t="s">
        <v>3649</v>
      </c>
      <c r="H9" t="s">
        <v>3650</v>
      </c>
      <c r="I9" t="s">
        <v>3651</v>
      </c>
      <c r="J9" t="s">
        <v>84</v>
      </c>
    </row>
    <row r="10">
      <c r="A10" t="s">
        <v>2217</v>
      </c>
      <c r="B10" t="s">
        <v>3652</v>
      </c>
      <c r="C10" t="s">
        <v>3645</v>
      </c>
      <c r="D10" t="s">
        <v>3646</v>
      </c>
      <c r="E10" t="s">
        <v>3647</v>
      </c>
      <c r="F10" t="s">
        <v>3648</v>
      </c>
      <c r="G10" t="s">
        <v>3649</v>
      </c>
      <c r="H10" t="s">
        <v>3650</v>
      </c>
      <c r="I10" t="s">
        <v>3653</v>
      </c>
      <c r="J10" t="s">
        <v>84</v>
      </c>
    </row>
    <row r="11">
      <c r="A11" t="s">
        <v>1191</v>
      </c>
      <c r="B11" t="s">
        <v>3654</v>
      </c>
      <c r="C11" t="s">
        <v>3655</v>
      </c>
      <c r="D11" t="s">
        <v>3656</v>
      </c>
      <c r="E11" t="s">
        <v>3657</v>
      </c>
      <c r="F11" t="s">
        <v>3658</v>
      </c>
      <c r="G11" t="s">
        <v>3659</v>
      </c>
      <c r="H11" t="s">
        <v>3660</v>
      </c>
      <c r="I11" t="s">
        <v>3661</v>
      </c>
      <c r="J11" t="s">
        <v>84</v>
      </c>
    </row>
    <row r="12">
      <c r="A12" t="s">
        <v>1192</v>
      </c>
      <c r="B12" t="s">
        <v>3662</v>
      </c>
      <c r="C12" t="s">
        <v>3655</v>
      </c>
      <c r="D12" t="s">
        <v>3656</v>
      </c>
      <c r="E12" t="s">
        <v>3657</v>
      </c>
      <c r="F12" t="s">
        <v>3663</v>
      </c>
      <c r="G12" t="s">
        <v>3659</v>
      </c>
      <c r="H12" t="s">
        <v>3664</v>
      </c>
      <c r="I12" t="s">
        <v>3665</v>
      </c>
      <c r="J12" t="s">
        <v>84</v>
      </c>
    </row>
    <row r="13">
      <c r="A13" t="s">
        <v>3666</v>
      </c>
      <c r="B13" t="s">
        <v>3667</v>
      </c>
      <c r="C13" t="s">
        <v>3635</v>
      </c>
      <c r="D13" t="s">
        <v>3668</v>
      </c>
      <c r="E13" t="s">
        <v>3669</v>
      </c>
      <c r="F13" t="s">
        <v>3670</v>
      </c>
      <c r="G13" t="s">
        <v>3671</v>
      </c>
      <c r="H13" t="s">
        <v>3672</v>
      </c>
      <c r="I13" t="s">
        <v>3673</v>
      </c>
      <c r="J13" t="s">
        <v>84</v>
      </c>
    </row>
    <row r="14">
      <c r="A14" t="s">
        <v>3674</v>
      </c>
      <c r="B14" t="s">
        <v>3675</v>
      </c>
      <c r="C14" t="s">
        <v>1205</v>
      </c>
      <c r="D14" t="s">
        <v>1205</v>
      </c>
      <c r="E14" t="s">
        <v>1205</v>
      </c>
      <c r="F14" t="s">
        <v>3676</v>
      </c>
      <c r="G14" t="s">
        <v>1205</v>
      </c>
      <c r="H14" t="s">
        <v>3677</v>
      </c>
      <c r="I14" t="s">
        <v>3678</v>
      </c>
      <c r="J14" t="s">
        <v>84</v>
      </c>
    </row>
    <row r="15">
      <c r="A15" t="s">
        <v>3679</v>
      </c>
      <c r="B15" t="s">
        <v>2234</v>
      </c>
      <c r="C15" t="s">
        <v>1205</v>
      </c>
      <c r="D15" t="s">
        <v>1205</v>
      </c>
      <c r="E15" t="s">
        <v>1205</v>
      </c>
      <c r="F15" t="s">
        <v>3680</v>
      </c>
      <c r="G15" t="s">
        <v>1205</v>
      </c>
      <c r="H15" t="s">
        <v>1205</v>
      </c>
      <c r="I15" t="s">
        <v>3681</v>
      </c>
      <c r="J15" t="s">
        <v>84</v>
      </c>
    </row>
    <row r="16">
      <c r="A16" t="s">
        <v>3682</v>
      </c>
      <c r="B16" t="s">
        <v>3683</v>
      </c>
      <c r="C16" t="s">
        <v>1205</v>
      </c>
      <c r="D16" t="s">
        <v>1205</v>
      </c>
      <c r="E16" t="s">
        <v>1205</v>
      </c>
      <c r="F16" t="s">
        <v>3684</v>
      </c>
      <c r="G16" t="s">
        <v>3685</v>
      </c>
      <c r="H16" t="s">
        <v>1205</v>
      </c>
      <c r="I16" t="s">
        <v>3686</v>
      </c>
      <c r="J16" t="s">
        <v>84</v>
      </c>
    </row>
    <row r="17">
      <c r="A17" t="s">
        <v>3687</v>
      </c>
      <c r="B17" t="s">
        <v>3688</v>
      </c>
      <c r="C17" t="s">
        <v>3689</v>
      </c>
      <c r="D17" t="s">
        <v>3690</v>
      </c>
      <c r="E17" t="s">
        <v>3691</v>
      </c>
      <c r="F17" t="s">
        <v>3692</v>
      </c>
      <c r="G17" t="s">
        <v>1205</v>
      </c>
      <c r="H17" t="s">
        <v>1205</v>
      </c>
      <c r="I17" t="s">
        <v>3693</v>
      </c>
      <c r="J17" t="s">
        <v>84</v>
      </c>
    </row>
    <row r="18">
      <c r="A18" t="s">
        <v>3694</v>
      </c>
      <c r="B18" t="s">
        <v>3695</v>
      </c>
      <c r="C18" t="s">
        <v>1205</v>
      </c>
      <c r="D18" t="s">
        <v>3696</v>
      </c>
      <c r="E18" t="s">
        <v>3697</v>
      </c>
      <c r="F18" t="s">
        <v>3698</v>
      </c>
      <c r="G18" t="s">
        <v>3631</v>
      </c>
      <c r="H18" t="s">
        <v>3631</v>
      </c>
      <c r="I18" t="s">
        <v>3699</v>
      </c>
      <c r="J18" t="s">
        <v>3700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4" width="8.71"/>
  </cols>
  <sheetData>
    <row r="1">
      <c r="A1" t="s">
        <v>3701</v>
      </c>
    </row>
    <row r="4">
      <c r="A4" t="s">
        <v>1804</v>
      </c>
      <c r="B4" t="s">
        <v>1847</v>
      </c>
      <c r="C4" t="s">
        <v>3702</v>
      </c>
      <c r="D4" t="s">
        <v>3703</v>
      </c>
      <c r="E4" t="s">
        <v>1179</v>
      </c>
      <c r="F4" t="s">
        <v>1180</v>
      </c>
      <c r="G4" t="s">
        <v>3570</v>
      </c>
      <c r="H4" t="s">
        <v>2333</v>
      </c>
      <c r="I4" t="s">
        <v>565</v>
      </c>
      <c r="J4" t="s">
        <v>3704</v>
      </c>
      <c r="K4" t="s">
        <v>3705</v>
      </c>
      <c r="L4" t="s">
        <v>3706</v>
      </c>
      <c r="M4" t="s">
        <v>3707</v>
      </c>
      <c r="N4" t="s">
        <v>5</v>
      </c>
    </row>
    <row r="5">
      <c r="A5" t="s">
        <v>3708</v>
      </c>
      <c r="B5" t="s">
        <v>1855</v>
      </c>
      <c r="C5" t="s">
        <v>2337</v>
      </c>
      <c r="D5" t="s">
        <v>2350</v>
      </c>
      <c r="E5">
        <v>2.0</v>
      </c>
      <c r="F5">
        <v>0.0</v>
      </c>
      <c r="G5">
        <v>110.0</v>
      </c>
      <c r="H5" t="s">
        <v>573</v>
      </c>
      <c r="I5" t="s">
        <v>94</v>
      </c>
      <c r="J5" t="s">
        <v>3709</v>
      </c>
      <c r="K5" t="s">
        <v>3710</v>
      </c>
      <c r="L5" t="s">
        <v>2351</v>
      </c>
      <c r="M5" t="s">
        <v>1206</v>
      </c>
      <c r="N5" t="s">
        <v>1547</v>
      </c>
    </row>
    <row r="6">
      <c r="A6" t="s">
        <v>3711</v>
      </c>
      <c r="B6" t="s">
        <v>1855</v>
      </c>
      <c r="C6" t="s">
        <v>2342</v>
      </c>
      <c r="D6" t="s">
        <v>2352</v>
      </c>
      <c r="E6">
        <v>3.0</v>
      </c>
      <c r="F6">
        <v>1.0</v>
      </c>
      <c r="G6">
        <v>120.0</v>
      </c>
      <c r="H6" t="s">
        <v>573</v>
      </c>
      <c r="I6" t="s">
        <v>94</v>
      </c>
      <c r="J6" t="s">
        <v>3712</v>
      </c>
      <c r="K6" t="s">
        <v>3713</v>
      </c>
      <c r="L6" t="s">
        <v>2353</v>
      </c>
      <c r="M6" t="s">
        <v>1206</v>
      </c>
      <c r="N6" t="s">
        <v>1547</v>
      </c>
    </row>
    <row r="7">
      <c r="A7" t="s">
        <v>3714</v>
      </c>
      <c r="B7" t="s">
        <v>1972</v>
      </c>
      <c r="C7" t="s">
        <v>2337</v>
      </c>
      <c r="D7" t="s">
        <v>2357</v>
      </c>
      <c r="E7">
        <v>2.0</v>
      </c>
      <c r="F7">
        <v>0.0</v>
      </c>
      <c r="G7">
        <v>110.0</v>
      </c>
      <c r="H7" t="s">
        <v>573</v>
      </c>
      <c r="I7" t="s">
        <v>94</v>
      </c>
      <c r="J7" t="s">
        <v>3709</v>
      </c>
      <c r="K7" t="s">
        <v>3710</v>
      </c>
      <c r="L7" t="s">
        <v>2358</v>
      </c>
      <c r="M7" t="s">
        <v>1206</v>
      </c>
      <c r="N7" t="s">
        <v>1547</v>
      </c>
    </row>
    <row r="8">
      <c r="A8" t="s">
        <v>3715</v>
      </c>
      <c r="B8" t="s">
        <v>1972</v>
      </c>
      <c r="C8" t="s">
        <v>2342</v>
      </c>
      <c r="D8" t="s">
        <v>2359</v>
      </c>
      <c r="E8">
        <v>3.0</v>
      </c>
      <c r="F8">
        <v>1.0</v>
      </c>
      <c r="G8">
        <v>120.0</v>
      </c>
      <c r="H8" t="s">
        <v>573</v>
      </c>
      <c r="I8" t="s">
        <v>94</v>
      </c>
      <c r="J8" t="s">
        <v>3712</v>
      </c>
      <c r="K8" t="s">
        <v>3713</v>
      </c>
      <c r="L8" t="s">
        <v>2360</v>
      </c>
      <c r="M8" t="s">
        <v>1206</v>
      </c>
      <c r="N8" t="s">
        <v>1547</v>
      </c>
    </row>
    <row r="9">
      <c r="A9" t="s">
        <v>3716</v>
      </c>
      <c r="B9" t="s">
        <v>1985</v>
      </c>
      <c r="C9" t="s">
        <v>2337</v>
      </c>
      <c r="D9" t="s">
        <v>2362</v>
      </c>
      <c r="E9">
        <v>2.0</v>
      </c>
      <c r="F9">
        <v>0.0</v>
      </c>
      <c r="G9">
        <v>100.0</v>
      </c>
      <c r="H9" t="s">
        <v>573</v>
      </c>
      <c r="I9" t="s">
        <v>94</v>
      </c>
      <c r="J9" t="s">
        <v>3709</v>
      </c>
      <c r="K9" t="s">
        <v>3710</v>
      </c>
      <c r="L9" t="s">
        <v>2363</v>
      </c>
      <c r="M9" t="s">
        <v>1206</v>
      </c>
      <c r="N9" t="s">
        <v>1547</v>
      </c>
    </row>
    <row r="10">
      <c r="A10" t="s">
        <v>3717</v>
      </c>
      <c r="B10" t="s">
        <v>1985</v>
      </c>
      <c r="C10" t="s">
        <v>2342</v>
      </c>
      <c r="D10" t="s">
        <v>2364</v>
      </c>
      <c r="E10">
        <v>3.0</v>
      </c>
      <c r="F10">
        <v>1.0</v>
      </c>
      <c r="G10">
        <v>115.0</v>
      </c>
      <c r="H10" t="s">
        <v>573</v>
      </c>
      <c r="I10" t="s">
        <v>94</v>
      </c>
      <c r="J10" t="s">
        <v>3712</v>
      </c>
      <c r="K10" t="s">
        <v>3710</v>
      </c>
      <c r="L10" t="s">
        <v>2365</v>
      </c>
      <c r="M10" t="s">
        <v>1206</v>
      </c>
      <c r="N10" t="s">
        <v>1547</v>
      </c>
    </row>
    <row r="11">
      <c r="A11" t="s">
        <v>3718</v>
      </c>
      <c r="B11" t="s">
        <v>1870</v>
      </c>
      <c r="C11" t="s">
        <v>2337</v>
      </c>
      <c r="D11" t="s">
        <v>2368</v>
      </c>
      <c r="E11">
        <v>2.0</v>
      </c>
      <c r="F11">
        <v>0.0</v>
      </c>
      <c r="G11">
        <v>110.0</v>
      </c>
      <c r="H11" t="s">
        <v>573</v>
      </c>
      <c r="I11" t="s">
        <v>94</v>
      </c>
      <c r="J11" t="s">
        <v>3709</v>
      </c>
      <c r="K11" t="s">
        <v>3710</v>
      </c>
      <c r="L11" t="s">
        <v>2358</v>
      </c>
      <c r="M11" t="s">
        <v>1206</v>
      </c>
      <c r="N11" t="s">
        <v>1547</v>
      </c>
    </row>
    <row r="12">
      <c r="A12" t="s">
        <v>3719</v>
      </c>
      <c r="B12" t="s">
        <v>1870</v>
      </c>
      <c r="C12" t="s">
        <v>2342</v>
      </c>
      <c r="D12" t="s">
        <v>2369</v>
      </c>
      <c r="E12">
        <v>3.0</v>
      </c>
      <c r="F12">
        <v>1.0</v>
      </c>
      <c r="G12">
        <v>115.0</v>
      </c>
      <c r="H12" t="s">
        <v>573</v>
      </c>
      <c r="I12" t="s">
        <v>94</v>
      </c>
      <c r="J12" t="s">
        <v>3712</v>
      </c>
      <c r="K12" t="s">
        <v>3713</v>
      </c>
      <c r="L12" t="s">
        <v>2370</v>
      </c>
      <c r="M12" t="s">
        <v>1206</v>
      </c>
      <c r="N12" t="s">
        <v>1547</v>
      </c>
    </row>
    <row r="13">
      <c r="A13" t="s">
        <v>3720</v>
      </c>
      <c r="B13" t="s">
        <v>1994</v>
      </c>
      <c r="C13" t="s">
        <v>2337</v>
      </c>
      <c r="D13" t="s">
        <v>2373</v>
      </c>
      <c r="E13">
        <v>2.0</v>
      </c>
      <c r="F13">
        <v>0.0</v>
      </c>
      <c r="G13">
        <v>100.0</v>
      </c>
      <c r="H13" t="s">
        <v>570</v>
      </c>
      <c r="I13" t="s">
        <v>89</v>
      </c>
      <c r="J13" t="s">
        <v>3721</v>
      </c>
      <c r="K13" t="s">
        <v>3722</v>
      </c>
      <c r="L13" t="s">
        <v>2374</v>
      </c>
      <c r="M13" t="s">
        <v>1206</v>
      </c>
      <c r="N13" t="s">
        <v>1547</v>
      </c>
    </row>
    <row r="14">
      <c r="A14" t="s">
        <v>3723</v>
      </c>
      <c r="B14" t="s">
        <v>1994</v>
      </c>
      <c r="C14" t="s">
        <v>2342</v>
      </c>
      <c r="D14" t="s">
        <v>2375</v>
      </c>
      <c r="E14">
        <v>3.0</v>
      </c>
      <c r="F14">
        <v>2.0</v>
      </c>
      <c r="G14">
        <v>85.0</v>
      </c>
      <c r="H14" t="s">
        <v>570</v>
      </c>
      <c r="I14" t="s">
        <v>89</v>
      </c>
      <c r="J14" t="s">
        <v>3712</v>
      </c>
      <c r="K14" t="s">
        <v>3724</v>
      </c>
      <c r="L14" t="s">
        <v>2376</v>
      </c>
      <c r="M14" t="s">
        <v>1206</v>
      </c>
      <c r="N14" t="s">
        <v>1547</v>
      </c>
    </row>
    <row r="15">
      <c r="A15" t="s">
        <v>3725</v>
      </c>
      <c r="B15" t="s">
        <v>2009</v>
      </c>
      <c r="C15" t="s">
        <v>2337</v>
      </c>
      <c r="D15" t="s">
        <v>2379</v>
      </c>
      <c r="E15">
        <v>2.0</v>
      </c>
      <c r="F15">
        <v>0.0</v>
      </c>
      <c r="G15">
        <v>110.0</v>
      </c>
      <c r="H15" t="s">
        <v>2175</v>
      </c>
      <c r="I15" t="s">
        <v>98</v>
      </c>
      <c r="J15" t="s">
        <v>3709</v>
      </c>
      <c r="K15" t="s">
        <v>3710</v>
      </c>
      <c r="L15" t="s">
        <v>2380</v>
      </c>
      <c r="M15" t="s">
        <v>1206</v>
      </c>
      <c r="N15" t="s">
        <v>1547</v>
      </c>
    </row>
    <row r="16">
      <c r="A16" t="s">
        <v>3726</v>
      </c>
      <c r="B16" t="s">
        <v>2009</v>
      </c>
      <c r="C16" t="s">
        <v>2342</v>
      </c>
      <c r="D16" t="s">
        <v>2381</v>
      </c>
      <c r="E16">
        <v>3.0</v>
      </c>
      <c r="F16">
        <v>2.0</v>
      </c>
      <c r="G16">
        <v>0.0</v>
      </c>
      <c r="H16" t="s">
        <v>2175</v>
      </c>
      <c r="I16" t="s">
        <v>98</v>
      </c>
      <c r="J16" t="s">
        <v>582</v>
      </c>
      <c r="K16" t="s">
        <v>3727</v>
      </c>
      <c r="L16" t="s">
        <v>2382</v>
      </c>
      <c r="M16" t="s">
        <v>1206</v>
      </c>
      <c r="N16" t="s">
        <v>1547</v>
      </c>
    </row>
    <row r="17">
      <c r="A17" t="s">
        <v>3728</v>
      </c>
      <c r="B17" t="s">
        <v>2015</v>
      </c>
      <c r="C17" t="s">
        <v>2337</v>
      </c>
      <c r="D17" t="s">
        <v>2385</v>
      </c>
      <c r="E17">
        <v>2.0</v>
      </c>
      <c r="F17">
        <v>0.0</v>
      </c>
      <c r="G17">
        <v>90.0</v>
      </c>
      <c r="H17" t="s">
        <v>2175</v>
      </c>
      <c r="I17" t="s">
        <v>98</v>
      </c>
      <c r="J17" t="s">
        <v>3712</v>
      </c>
      <c r="K17" t="s">
        <v>3729</v>
      </c>
      <c r="L17" t="s">
        <v>2386</v>
      </c>
      <c r="M17" t="s">
        <v>1206</v>
      </c>
      <c r="N17" t="s">
        <v>1547</v>
      </c>
    </row>
    <row r="18">
      <c r="A18" t="s">
        <v>3730</v>
      </c>
      <c r="B18" t="s">
        <v>2015</v>
      </c>
      <c r="C18" t="s">
        <v>2342</v>
      </c>
      <c r="D18" t="s">
        <v>2387</v>
      </c>
      <c r="E18">
        <v>3.0</v>
      </c>
      <c r="F18">
        <v>1.0</v>
      </c>
      <c r="G18">
        <v>75.0</v>
      </c>
      <c r="H18" t="s">
        <v>2175</v>
      </c>
      <c r="I18" t="s">
        <v>98</v>
      </c>
      <c r="J18" t="s">
        <v>3712</v>
      </c>
      <c r="K18" t="s">
        <v>3729</v>
      </c>
      <c r="L18" t="s">
        <v>2388</v>
      </c>
      <c r="M18" t="s">
        <v>1206</v>
      </c>
      <c r="N18" t="s">
        <v>1547</v>
      </c>
    </row>
    <row r="19">
      <c r="A19" t="s">
        <v>3731</v>
      </c>
      <c r="B19" t="s">
        <v>1817</v>
      </c>
      <c r="C19" t="s">
        <v>2337</v>
      </c>
      <c r="D19" t="s">
        <v>2390</v>
      </c>
      <c r="E19">
        <v>2.0</v>
      </c>
      <c r="F19">
        <v>0.0</v>
      </c>
      <c r="G19">
        <v>80.0</v>
      </c>
      <c r="H19" t="s">
        <v>2175</v>
      </c>
      <c r="I19" t="s">
        <v>98</v>
      </c>
      <c r="J19" t="s">
        <v>3712</v>
      </c>
      <c r="K19" t="s">
        <v>3729</v>
      </c>
      <c r="L19" t="s">
        <v>2391</v>
      </c>
      <c r="M19" t="s">
        <v>1206</v>
      </c>
      <c r="N19" t="s">
        <v>1547</v>
      </c>
    </row>
    <row r="20">
      <c r="A20" t="s">
        <v>3732</v>
      </c>
      <c r="B20" t="s">
        <v>1817</v>
      </c>
      <c r="C20" t="s">
        <v>2342</v>
      </c>
      <c r="D20" t="s">
        <v>2392</v>
      </c>
      <c r="E20">
        <v>3.0</v>
      </c>
      <c r="F20">
        <v>2.0</v>
      </c>
      <c r="G20">
        <v>0.0</v>
      </c>
      <c r="H20" t="s">
        <v>2175</v>
      </c>
      <c r="I20" t="s">
        <v>98</v>
      </c>
      <c r="J20" t="s">
        <v>582</v>
      </c>
      <c r="K20" t="s">
        <v>3727</v>
      </c>
      <c r="L20" t="s">
        <v>2393</v>
      </c>
      <c r="M20" t="s">
        <v>1206</v>
      </c>
      <c r="N20" t="s">
        <v>1547</v>
      </c>
    </row>
    <row r="21" ht="15.75" customHeight="1">
      <c r="A21" t="s">
        <v>3733</v>
      </c>
      <c r="B21" t="s">
        <v>2022</v>
      </c>
      <c r="C21" t="s">
        <v>2337</v>
      </c>
      <c r="D21" t="s">
        <v>2396</v>
      </c>
      <c r="E21">
        <v>2.0</v>
      </c>
      <c r="F21">
        <v>0.0</v>
      </c>
      <c r="G21">
        <v>110.0</v>
      </c>
      <c r="H21" t="s">
        <v>2175</v>
      </c>
      <c r="I21" t="s">
        <v>98</v>
      </c>
      <c r="J21" t="s">
        <v>3709</v>
      </c>
      <c r="K21" t="s">
        <v>3710</v>
      </c>
      <c r="L21" t="s">
        <v>2380</v>
      </c>
      <c r="M21" t="s">
        <v>1206</v>
      </c>
      <c r="N21" t="s">
        <v>1547</v>
      </c>
    </row>
    <row r="22" ht="15.75" customHeight="1">
      <c r="A22" t="s">
        <v>3734</v>
      </c>
      <c r="B22" t="s">
        <v>2022</v>
      </c>
      <c r="C22" t="s">
        <v>2342</v>
      </c>
      <c r="D22" t="s">
        <v>2397</v>
      </c>
      <c r="E22">
        <v>3.0</v>
      </c>
      <c r="F22">
        <v>1.0</v>
      </c>
      <c r="G22">
        <v>0.0</v>
      </c>
      <c r="H22" t="s">
        <v>2175</v>
      </c>
      <c r="I22" t="s">
        <v>98</v>
      </c>
      <c r="J22" t="s">
        <v>582</v>
      </c>
      <c r="K22" t="s">
        <v>3735</v>
      </c>
      <c r="L22" t="s">
        <v>2398</v>
      </c>
      <c r="M22" t="s">
        <v>1206</v>
      </c>
      <c r="N22" t="s">
        <v>1547</v>
      </c>
    </row>
    <row r="23" ht="15.75" customHeight="1">
      <c r="A23" t="s">
        <v>3736</v>
      </c>
      <c r="B23" t="s">
        <v>1862</v>
      </c>
      <c r="C23" t="s">
        <v>2337</v>
      </c>
      <c r="D23" t="s">
        <v>2401</v>
      </c>
      <c r="E23">
        <v>2.0</v>
      </c>
      <c r="F23">
        <v>0.0</v>
      </c>
      <c r="G23">
        <v>115.0</v>
      </c>
      <c r="H23" t="s">
        <v>573</v>
      </c>
      <c r="I23" t="s">
        <v>94</v>
      </c>
      <c r="J23" t="s">
        <v>3709</v>
      </c>
      <c r="K23" t="s">
        <v>3710</v>
      </c>
      <c r="L23" t="s">
        <v>2402</v>
      </c>
      <c r="M23" t="s">
        <v>1206</v>
      </c>
      <c r="N23" t="s">
        <v>1547</v>
      </c>
    </row>
    <row r="24" ht="15.75" customHeight="1">
      <c r="A24" t="s">
        <v>3737</v>
      </c>
      <c r="B24" t="s">
        <v>1862</v>
      </c>
      <c r="C24" t="s">
        <v>2342</v>
      </c>
      <c r="D24" t="s">
        <v>2403</v>
      </c>
      <c r="E24">
        <v>3.0</v>
      </c>
      <c r="F24">
        <v>1.0</v>
      </c>
      <c r="G24">
        <v>95.0</v>
      </c>
      <c r="H24" t="s">
        <v>573</v>
      </c>
      <c r="I24" t="s">
        <v>94</v>
      </c>
      <c r="J24" t="s">
        <v>3721</v>
      </c>
      <c r="K24" t="s">
        <v>3738</v>
      </c>
      <c r="L24" t="s">
        <v>2404</v>
      </c>
      <c r="M24" t="s">
        <v>1206</v>
      </c>
      <c r="N24" t="s">
        <v>1547</v>
      </c>
    </row>
    <row r="25" ht="15.75" customHeight="1">
      <c r="A25" t="s">
        <v>3739</v>
      </c>
      <c r="B25" t="s">
        <v>1998</v>
      </c>
      <c r="C25" t="s">
        <v>2337</v>
      </c>
      <c r="D25" t="s">
        <v>2407</v>
      </c>
      <c r="E25">
        <v>2.0</v>
      </c>
      <c r="F25">
        <v>0.0</v>
      </c>
      <c r="G25">
        <v>120.0</v>
      </c>
      <c r="H25" t="s">
        <v>570</v>
      </c>
      <c r="I25" t="s">
        <v>89</v>
      </c>
      <c r="J25" t="s">
        <v>3709</v>
      </c>
      <c r="K25" t="s">
        <v>3710</v>
      </c>
      <c r="L25" t="s">
        <v>2408</v>
      </c>
      <c r="M25" t="s">
        <v>1206</v>
      </c>
      <c r="N25" t="s">
        <v>1547</v>
      </c>
    </row>
    <row r="26" ht="15.75" customHeight="1">
      <c r="A26" t="s">
        <v>3740</v>
      </c>
      <c r="B26" t="s">
        <v>1998</v>
      </c>
      <c r="C26" t="s">
        <v>2342</v>
      </c>
      <c r="D26" t="s">
        <v>2409</v>
      </c>
      <c r="E26">
        <v>3.0</v>
      </c>
      <c r="F26">
        <v>1.0</v>
      </c>
      <c r="G26">
        <v>135.0</v>
      </c>
      <c r="H26" t="s">
        <v>570</v>
      </c>
      <c r="I26" t="s">
        <v>89</v>
      </c>
      <c r="J26" t="s">
        <v>3712</v>
      </c>
      <c r="K26" t="s">
        <v>3710</v>
      </c>
      <c r="L26" t="s">
        <v>2410</v>
      </c>
      <c r="M26" t="s">
        <v>1206</v>
      </c>
      <c r="N26" t="s">
        <v>1547</v>
      </c>
    </row>
    <row r="27" ht="15.75" customHeight="1">
      <c r="A27" t="s">
        <v>3741</v>
      </c>
      <c r="B27" t="s">
        <v>2023</v>
      </c>
      <c r="C27" t="s">
        <v>2337</v>
      </c>
      <c r="D27" t="s">
        <v>2413</v>
      </c>
      <c r="E27">
        <v>2.0</v>
      </c>
      <c r="F27">
        <v>0.0</v>
      </c>
      <c r="G27">
        <v>110.0</v>
      </c>
      <c r="H27" t="s">
        <v>2175</v>
      </c>
      <c r="I27" t="s">
        <v>98</v>
      </c>
      <c r="J27" t="s">
        <v>3709</v>
      </c>
      <c r="K27" t="s">
        <v>3710</v>
      </c>
      <c r="L27" t="s">
        <v>2380</v>
      </c>
      <c r="M27" t="s">
        <v>1206</v>
      </c>
      <c r="N27" t="s">
        <v>1547</v>
      </c>
    </row>
    <row r="28" ht="15.75" customHeight="1">
      <c r="A28" t="s">
        <v>3742</v>
      </c>
      <c r="B28" t="s">
        <v>2023</v>
      </c>
      <c r="C28" t="s">
        <v>2342</v>
      </c>
      <c r="D28" t="s">
        <v>2414</v>
      </c>
      <c r="E28">
        <v>3.0</v>
      </c>
      <c r="F28">
        <v>2.0</v>
      </c>
      <c r="G28">
        <v>0.0</v>
      </c>
      <c r="H28" t="s">
        <v>2175</v>
      </c>
      <c r="I28" t="s">
        <v>98</v>
      </c>
      <c r="J28" t="s">
        <v>582</v>
      </c>
      <c r="K28" t="s">
        <v>3727</v>
      </c>
      <c r="L28" t="s">
        <v>2415</v>
      </c>
      <c r="M28" t="s">
        <v>1206</v>
      </c>
      <c r="N28" t="s">
        <v>1547</v>
      </c>
    </row>
    <row r="29" ht="15.75" customHeight="1">
      <c r="A29" t="s">
        <v>3743</v>
      </c>
      <c r="B29" t="s">
        <v>2002</v>
      </c>
      <c r="C29" t="s">
        <v>2337</v>
      </c>
      <c r="D29" t="s">
        <v>2417</v>
      </c>
      <c r="E29">
        <v>2.0</v>
      </c>
      <c r="F29">
        <v>0.0</v>
      </c>
      <c r="G29">
        <v>120.0</v>
      </c>
      <c r="H29" t="s">
        <v>570</v>
      </c>
      <c r="I29" t="s">
        <v>89</v>
      </c>
      <c r="J29" t="s">
        <v>3709</v>
      </c>
      <c r="K29" t="s">
        <v>3710</v>
      </c>
      <c r="L29" t="s">
        <v>2408</v>
      </c>
      <c r="M29" t="s">
        <v>1206</v>
      </c>
      <c r="N29" t="s">
        <v>1547</v>
      </c>
    </row>
    <row r="30" ht="15.75" customHeight="1">
      <c r="A30" t="s">
        <v>3744</v>
      </c>
      <c r="B30" t="s">
        <v>2002</v>
      </c>
      <c r="C30" t="s">
        <v>2342</v>
      </c>
      <c r="D30" t="s">
        <v>2418</v>
      </c>
      <c r="E30">
        <v>3.0</v>
      </c>
      <c r="F30">
        <v>1.0</v>
      </c>
      <c r="G30">
        <v>125.0</v>
      </c>
      <c r="H30" t="s">
        <v>570</v>
      </c>
      <c r="I30" t="s">
        <v>89</v>
      </c>
      <c r="J30" t="s">
        <v>3721</v>
      </c>
      <c r="K30" t="s">
        <v>3745</v>
      </c>
      <c r="L30" t="s">
        <v>2419</v>
      </c>
      <c r="M30" t="s">
        <v>1206</v>
      </c>
      <c r="N30" t="s">
        <v>1547</v>
      </c>
    </row>
    <row r="31" ht="15.75" customHeight="1">
      <c r="A31" t="s">
        <v>3746</v>
      </c>
      <c r="B31" t="s">
        <v>1875</v>
      </c>
      <c r="C31" t="s">
        <v>2337</v>
      </c>
      <c r="D31" t="s">
        <v>2422</v>
      </c>
      <c r="E31">
        <v>2.0</v>
      </c>
      <c r="F31">
        <v>0.0</v>
      </c>
      <c r="G31">
        <v>120.0</v>
      </c>
      <c r="H31" t="s">
        <v>573</v>
      </c>
      <c r="I31" t="s">
        <v>94</v>
      </c>
      <c r="J31" t="s">
        <v>3709</v>
      </c>
      <c r="K31" t="s">
        <v>3710</v>
      </c>
      <c r="L31" t="s">
        <v>2423</v>
      </c>
      <c r="M31" t="s">
        <v>1206</v>
      </c>
      <c r="N31" t="s">
        <v>1547</v>
      </c>
    </row>
    <row r="32" ht="15.75" customHeight="1">
      <c r="A32" t="s">
        <v>3747</v>
      </c>
      <c r="B32" t="s">
        <v>1875</v>
      </c>
      <c r="C32" t="s">
        <v>2342</v>
      </c>
      <c r="D32" t="s">
        <v>2424</v>
      </c>
      <c r="E32">
        <v>3.0</v>
      </c>
      <c r="F32">
        <v>1.0</v>
      </c>
      <c r="G32">
        <v>140.0</v>
      </c>
      <c r="H32" t="s">
        <v>573</v>
      </c>
      <c r="I32" t="s">
        <v>94</v>
      </c>
      <c r="J32" t="s">
        <v>3709</v>
      </c>
      <c r="K32" t="s">
        <v>3710</v>
      </c>
      <c r="L32" t="s">
        <v>2425</v>
      </c>
      <c r="M32" t="s">
        <v>1206</v>
      </c>
      <c r="N32" t="s">
        <v>1547</v>
      </c>
    </row>
    <row r="33" ht="15.75" customHeight="1">
      <c r="A33" t="s">
        <v>3748</v>
      </c>
      <c r="B33" t="s">
        <v>2008</v>
      </c>
      <c r="C33" t="s">
        <v>2337</v>
      </c>
      <c r="D33" t="s">
        <v>2428</v>
      </c>
      <c r="E33">
        <v>2.0</v>
      </c>
      <c r="F33">
        <v>0.0</v>
      </c>
      <c r="G33">
        <v>100.0</v>
      </c>
      <c r="H33" t="s">
        <v>570</v>
      </c>
      <c r="I33" t="s">
        <v>89</v>
      </c>
      <c r="J33" t="s">
        <v>3712</v>
      </c>
      <c r="K33" t="s">
        <v>3710</v>
      </c>
      <c r="L33" t="s">
        <v>2429</v>
      </c>
      <c r="M33" t="s">
        <v>1206</v>
      </c>
      <c r="N33" t="s">
        <v>1547</v>
      </c>
    </row>
    <row r="34" ht="15.75" customHeight="1">
      <c r="A34" t="s">
        <v>3749</v>
      </c>
      <c r="B34" t="s">
        <v>2008</v>
      </c>
      <c r="C34" t="s">
        <v>2342</v>
      </c>
      <c r="D34" t="s">
        <v>2430</v>
      </c>
      <c r="E34">
        <v>3.0</v>
      </c>
      <c r="F34">
        <v>1.0</v>
      </c>
      <c r="G34">
        <v>125.0</v>
      </c>
      <c r="H34" t="s">
        <v>570</v>
      </c>
      <c r="I34" t="s">
        <v>89</v>
      </c>
      <c r="J34" t="s">
        <v>3709</v>
      </c>
      <c r="K34" t="s">
        <v>3710</v>
      </c>
      <c r="L34" t="s">
        <v>2431</v>
      </c>
      <c r="M34" t="s">
        <v>1206</v>
      </c>
      <c r="N34" t="s">
        <v>1547</v>
      </c>
    </row>
    <row r="35" ht="15.75" customHeight="1">
      <c r="A35" t="s">
        <v>3750</v>
      </c>
      <c r="B35" t="s">
        <v>2024</v>
      </c>
      <c r="C35" t="s">
        <v>2337</v>
      </c>
      <c r="D35" t="s">
        <v>2433</v>
      </c>
      <c r="E35">
        <v>2.0</v>
      </c>
      <c r="F35">
        <v>0.0</v>
      </c>
      <c r="G35">
        <v>100.0</v>
      </c>
      <c r="H35" t="s">
        <v>2175</v>
      </c>
      <c r="I35" t="s">
        <v>98</v>
      </c>
      <c r="J35" t="s">
        <v>3709</v>
      </c>
      <c r="K35" t="s">
        <v>3710</v>
      </c>
      <c r="L35" t="s">
        <v>2434</v>
      </c>
      <c r="M35" t="s">
        <v>1206</v>
      </c>
      <c r="N35" t="s">
        <v>1547</v>
      </c>
    </row>
    <row r="36" ht="15.75" customHeight="1">
      <c r="A36" t="s">
        <v>3751</v>
      </c>
      <c r="B36" t="s">
        <v>2024</v>
      </c>
      <c r="C36" t="s">
        <v>2342</v>
      </c>
      <c r="D36" t="s">
        <v>2435</v>
      </c>
      <c r="E36">
        <v>3.0</v>
      </c>
      <c r="F36">
        <v>3.0</v>
      </c>
      <c r="G36">
        <v>0.0</v>
      </c>
      <c r="H36" t="s">
        <v>2175</v>
      </c>
      <c r="I36" t="s">
        <v>98</v>
      </c>
      <c r="J36" t="s">
        <v>582</v>
      </c>
      <c r="K36" t="s">
        <v>3752</v>
      </c>
      <c r="L36" t="s">
        <v>2436</v>
      </c>
      <c r="M36" t="s">
        <v>1206</v>
      </c>
      <c r="N36" t="s">
        <v>1547</v>
      </c>
    </row>
    <row r="37" ht="15.75" customHeight="1">
      <c r="A37" t="s">
        <v>3753</v>
      </c>
      <c r="B37" t="s">
        <v>2025</v>
      </c>
      <c r="C37" t="s">
        <v>2337</v>
      </c>
      <c r="D37" t="s">
        <v>2439</v>
      </c>
      <c r="E37">
        <v>2.0</v>
      </c>
      <c r="F37">
        <v>0.0</v>
      </c>
      <c r="G37">
        <v>70.0</v>
      </c>
      <c r="H37" t="s">
        <v>2175</v>
      </c>
      <c r="I37" t="s">
        <v>98</v>
      </c>
      <c r="J37" t="s">
        <v>3712</v>
      </c>
      <c r="K37" t="s">
        <v>3710</v>
      </c>
      <c r="L37" t="s">
        <v>2440</v>
      </c>
      <c r="M37" t="s">
        <v>1206</v>
      </c>
      <c r="N37" t="s">
        <v>1547</v>
      </c>
    </row>
    <row r="38" ht="15.75" customHeight="1">
      <c r="A38" t="s">
        <v>3754</v>
      </c>
      <c r="B38" t="s">
        <v>2025</v>
      </c>
      <c r="C38" t="s">
        <v>2342</v>
      </c>
      <c r="D38" t="s">
        <v>2441</v>
      </c>
      <c r="E38">
        <v>3.0</v>
      </c>
      <c r="F38">
        <v>1.0</v>
      </c>
      <c r="G38">
        <v>90.0</v>
      </c>
      <c r="H38" t="s">
        <v>2175</v>
      </c>
      <c r="I38" t="s">
        <v>98</v>
      </c>
      <c r="J38" t="s">
        <v>3712</v>
      </c>
      <c r="K38" t="s">
        <v>3710</v>
      </c>
      <c r="L38" t="s">
        <v>2442</v>
      </c>
      <c r="M38" t="s">
        <v>1206</v>
      </c>
      <c r="N38" t="s">
        <v>1547</v>
      </c>
    </row>
    <row r="39" ht="15.75" customHeight="1">
      <c r="A39" t="s">
        <v>3755</v>
      </c>
      <c r="B39" t="s">
        <v>2026</v>
      </c>
      <c r="C39" t="s">
        <v>2337</v>
      </c>
      <c r="D39" t="s">
        <v>2445</v>
      </c>
      <c r="E39">
        <v>2.0</v>
      </c>
      <c r="F39">
        <v>0.0</v>
      </c>
      <c r="G39">
        <v>85.0</v>
      </c>
      <c r="H39" t="s">
        <v>2175</v>
      </c>
      <c r="I39" t="s">
        <v>98</v>
      </c>
      <c r="J39" t="s">
        <v>3712</v>
      </c>
      <c r="K39" t="s">
        <v>3729</v>
      </c>
      <c r="L39" t="s">
        <v>2446</v>
      </c>
      <c r="M39" t="s">
        <v>1206</v>
      </c>
      <c r="N39" t="s">
        <v>1547</v>
      </c>
    </row>
    <row r="40" ht="15.75" customHeight="1">
      <c r="A40" t="s">
        <v>3756</v>
      </c>
      <c r="B40" t="s">
        <v>2026</v>
      </c>
      <c r="C40" t="s">
        <v>2342</v>
      </c>
      <c r="D40" t="s">
        <v>2447</v>
      </c>
      <c r="E40">
        <v>3.0</v>
      </c>
      <c r="F40">
        <v>1.0</v>
      </c>
      <c r="G40">
        <v>100.0</v>
      </c>
      <c r="H40" t="s">
        <v>2175</v>
      </c>
      <c r="I40" t="s">
        <v>98</v>
      </c>
      <c r="J40" t="s">
        <v>3712</v>
      </c>
      <c r="K40" t="s">
        <v>3729</v>
      </c>
      <c r="L40" t="s">
        <v>2448</v>
      </c>
      <c r="M40" t="s">
        <v>1206</v>
      </c>
      <c r="N40" t="s">
        <v>1547</v>
      </c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5" width="8.71"/>
  </cols>
  <sheetData>
    <row r="1">
      <c r="A1" t="s">
        <v>3757</v>
      </c>
    </row>
    <row r="4">
      <c r="A4" t="s">
        <v>1804</v>
      </c>
      <c r="B4" t="s">
        <v>3396</v>
      </c>
      <c r="C4" t="s">
        <v>3416</v>
      </c>
      <c r="D4" t="s">
        <v>2104</v>
      </c>
      <c r="E4" t="s">
        <v>3758</v>
      </c>
      <c r="F4" t="s">
        <v>3703</v>
      </c>
      <c r="G4" t="s">
        <v>1179</v>
      </c>
      <c r="H4" t="s">
        <v>1180</v>
      </c>
      <c r="I4" t="s">
        <v>3704</v>
      </c>
      <c r="J4" t="s">
        <v>3759</v>
      </c>
      <c r="K4" t="s">
        <v>3760</v>
      </c>
      <c r="L4" t="s">
        <v>325</v>
      </c>
      <c r="M4" t="s">
        <v>3706</v>
      </c>
      <c r="N4" t="s">
        <v>3761</v>
      </c>
      <c r="O4" t="s">
        <v>5</v>
      </c>
    </row>
    <row r="5">
      <c r="A5" t="s">
        <v>3762</v>
      </c>
      <c r="B5" t="s">
        <v>3763</v>
      </c>
      <c r="C5" t="s">
        <v>2697</v>
      </c>
      <c r="D5" t="s">
        <v>2113</v>
      </c>
      <c r="E5" t="s">
        <v>3764</v>
      </c>
      <c r="F5" t="s">
        <v>2705</v>
      </c>
      <c r="G5">
        <v>2.0</v>
      </c>
      <c r="H5">
        <v>1.0</v>
      </c>
      <c r="I5" t="s">
        <v>40</v>
      </c>
      <c r="J5" t="s">
        <v>3765</v>
      </c>
      <c r="K5" t="s">
        <v>1205</v>
      </c>
      <c r="L5" t="s">
        <v>3631</v>
      </c>
      <c r="M5" t="s">
        <v>1262</v>
      </c>
      <c r="N5" t="s">
        <v>572</v>
      </c>
      <c r="O5" t="s">
        <v>1547</v>
      </c>
    </row>
    <row r="6">
      <c r="A6" t="s">
        <v>3766</v>
      </c>
      <c r="B6" t="s">
        <v>3763</v>
      </c>
      <c r="C6" t="s">
        <v>2697</v>
      </c>
      <c r="D6" t="s">
        <v>2113</v>
      </c>
      <c r="E6" t="s">
        <v>3767</v>
      </c>
      <c r="F6" t="s">
        <v>2706</v>
      </c>
      <c r="G6">
        <v>3.0</v>
      </c>
      <c r="H6">
        <v>2.0</v>
      </c>
      <c r="I6" t="s">
        <v>1191</v>
      </c>
      <c r="J6" t="s">
        <v>3768</v>
      </c>
      <c r="K6" t="s">
        <v>1205</v>
      </c>
      <c r="L6" t="s">
        <v>3656</v>
      </c>
      <c r="M6" t="s">
        <v>2716</v>
      </c>
      <c r="N6" t="s">
        <v>578</v>
      </c>
      <c r="O6" t="s">
        <v>1547</v>
      </c>
    </row>
    <row r="7">
      <c r="A7" t="s">
        <v>3769</v>
      </c>
      <c r="B7" t="s">
        <v>3763</v>
      </c>
      <c r="C7" t="s">
        <v>2697</v>
      </c>
      <c r="D7" t="s">
        <v>1679</v>
      </c>
      <c r="E7" t="s">
        <v>3764</v>
      </c>
      <c r="F7" t="s">
        <v>2903</v>
      </c>
      <c r="G7">
        <v>2.0</v>
      </c>
      <c r="H7">
        <v>0.0</v>
      </c>
      <c r="I7" t="s">
        <v>3770</v>
      </c>
      <c r="J7" t="s">
        <v>1205</v>
      </c>
      <c r="K7" t="s">
        <v>1205</v>
      </c>
      <c r="L7" t="s">
        <v>3656</v>
      </c>
      <c r="M7" t="s">
        <v>2907</v>
      </c>
      <c r="N7" t="s">
        <v>572</v>
      </c>
      <c r="O7" t="s">
        <v>1547</v>
      </c>
    </row>
    <row r="8">
      <c r="A8" t="s">
        <v>3771</v>
      </c>
      <c r="B8" t="s">
        <v>3763</v>
      </c>
      <c r="C8" t="s">
        <v>2697</v>
      </c>
      <c r="D8" t="s">
        <v>1679</v>
      </c>
      <c r="E8" t="s">
        <v>3767</v>
      </c>
      <c r="F8" t="s">
        <v>2904</v>
      </c>
      <c r="G8">
        <v>3.0</v>
      </c>
      <c r="H8">
        <v>2.0</v>
      </c>
      <c r="I8" t="s">
        <v>3772</v>
      </c>
      <c r="J8" t="s">
        <v>3768</v>
      </c>
      <c r="K8" t="s">
        <v>1205</v>
      </c>
      <c r="L8" t="s">
        <v>3656</v>
      </c>
      <c r="M8" t="s">
        <v>2912</v>
      </c>
      <c r="N8" t="s">
        <v>578</v>
      </c>
      <c r="O8" t="s">
        <v>1547</v>
      </c>
    </row>
    <row r="9">
      <c r="A9" t="s">
        <v>3773</v>
      </c>
      <c r="B9" t="s">
        <v>3763</v>
      </c>
      <c r="C9" t="s">
        <v>2697</v>
      </c>
      <c r="D9" t="s">
        <v>1678</v>
      </c>
      <c r="E9" t="s">
        <v>3764</v>
      </c>
      <c r="F9" t="s">
        <v>3030</v>
      </c>
      <c r="G9">
        <v>2.0</v>
      </c>
      <c r="H9">
        <v>1.0</v>
      </c>
      <c r="I9" t="s">
        <v>40</v>
      </c>
      <c r="J9" t="s">
        <v>3765</v>
      </c>
      <c r="K9" t="s">
        <v>1205</v>
      </c>
      <c r="L9" t="s">
        <v>3631</v>
      </c>
      <c r="M9" t="s">
        <v>3034</v>
      </c>
      <c r="N9" t="s">
        <v>572</v>
      </c>
      <c r="O9" t="s">
        <v>1547</v>
      </c>
    </row>
    <row r="10">
      <c r="A10" t="s">
        <v>3774</v>
      </c>
      <c r="B10" t="s">
        <v>3763</v>
      </c>
      <c r="C10" t="s">
        <v>2697</v>
      </c>
      <c r="D10" t="s">
        <v>1678</v>
      </c>
      <c r="E10" t="s">
        <v>3767</v>
      </c>
      <c r="F10" t="s">
        <v>3031</v>
      </c>
      <c r="G10">
        <v>3.0</v>
      </c>
      <c r="H10">
        <v>2.0</v>
      </c>
      <c r="I10" t="s">
        <v>1191</v>
      </c>
      <c r="J10" t="s">
        <v>3768</v>
      </c>
      <c r="K10" t="s">
        <v>1205</v>
      </c>
      <c r="L10" t="s">
        <v>3656</v>
      </c>
      <c r="M10" t="s">
        <v>3039</v>
      </c>
      <c r="N10" t="s">
        <v>578</v>
      </c>
      <c r="O10" t="s">
        <v>1547</v>
      </c>
    </row>
    <row r="11">
      <c r="A11" t="s">
        <v>3775</v>
      </c>
      <c r="B11" t="s">
        <v>3763</v>
      </c>
      <c r="C11" t="s">
        <v>2727</v>
      </c>
      <c r="D11" t="s">
        <v>2113</v>
      </c>
      <c r="E11" t="s">
        <v>3764</v>
      </c>
      <c r="F11" t="s">
        <v>2732</v>
      </c>
      <c r="G11">
        <v>2.0</v>
      </c>
      <c r="H11">
        <v>1.0</v>
      </c>
      <c r="I11" t="s">
        <v>40</v>
      </c>
      <c r="J11" t="s">
        <v>1205</v>
      </c>
      <c r="K11" t="s">
        <v>3765</v>
      </c>
      <c r="L11" t="s">
        <v>3631</v>
      </c>
      <c r="M11" t="s">
        <v>2736</v>
      </c>
      <c r="N11" t="s">
        <v>572</v>
      </c>
      <c r="O11" t="s">
        <v>1547</v>
      </c>
    </row>
    <row r="12">
      <c r="A12" t="s">
        <v>3776</v>
      </c>
      <c r="B12" t="s">
        <v>3763</v>
      </c>
      <c r="C12" t="s">
        <v>2727</v>
      </c>
      <c r="D12" t="s">
        <v>2113</v>
      </c>
      <c r="E12" t="s">
        <v>3767</v>
      </c>
      <c r="F12" t="s">
        <v>2733</v>
      </c>
      <c r="G12">
        <v>3.0</v>
      </c>
      <c r="H12">
        <v>2.0</v>
      </c>
      <c r="I12" t="s">
        <v>1192</v>
      </c>
      <c r="J12" t="s">
        <v>1205</v>
      </c>
      <c r="K12" t="s">
        <v>3777</v>
      </c>
      <c r="L12" t="s">
        <v>3656</v>
      </c>
      <c r="M12" t="s">
        <v>2743</v>
      </c>
      <c r="N12" t="s">
        <v>578</v>
      </c>
      <c r="O12" t="s">
        <v>1547</v>
      </c>
    </row>
    <row r="13">
      <c r="A13" t="s">
        <v>3778</v>
      </c>
      <c r="B13" t="s">
        <v>3763</v>
      </c>
      <c r="C13" t="s">
        <v>2727</v>
      </c>
      <c r="D13" t="s">
        <v>1679</v>
      </c>
      <c r="E13" t="s">
        <v>3764</v>
      </c>
      <c r="F13" t="s">
        <v>2919</v>
      </c>
      <c r="G13">
        <v>2.0</v>
      </c>
      <c r="H13">
        <v>1.0</v>
      </c>
      <c r="I13" t="s">
        <v>3779</v>
      </c>
      <c r="J13" t="s">
        <v>1205</v>
      </c>
      <c r="K13" t="s">
        <v>3765</v>
      </c>
      <c r="L13" t="s">
        <v>3631</v>
      </c>
      <c r="M13" t="s">
        <v>2923</v>
      </c>
      <c r="N13" t="s">
        <v>572</v>
      </c>
      <c r="O13" t="s">
        <v>1547</v>
      </c>
    </row>
    <row r="14">
      <c r="A14" t="s">
        <v>3780</v>
      </c>
      <c r="B14" t="s">
        <v>3763</v>
      </c>
      <c r="C14" t="s">
        <v>2727</v>
      </c>
      <c r="D14" t="s">
        <v>1679</v>
      </c>
      <c r="E14" t="s">
        <v>3767</v>
      </c>
      <c r="F14" t="s">
        <v>2920</v>
      </c>
      <c r="G14">
        <v>3.0</v>
      </c>
      <c r="H14">
        <v>2.0</v>
      </c>
      <c r="I14" t="s">
        <v>3781</v>
      </c>
      <c r="J14" t="s">
        <v>1205</v>
      </c>
      <c r="K14" t="s">
        <v>3777</v>
      </c>
      <c r="L14" t="s">
        <v>3656</v>
      </c>
      <c r="M14" t="s">
        <v>2928</v>
      </c>
      <c r="N14" t="s">
        <v>578</v>
      </c>
      <c r="O14" t="s">
        <v>1547</v>
      </c>
    </row>
    <row r="15">
      <c r="A15" t="s">
        <v>3782</v>
      </c>
      <c r="B15" t="s">
        <v>3763</v>
      </c>
      <c r="C15" t="s">
        <v>2727</v>
      </c>
      <c r="D15" t="s">
        <v>1678</v>
      </c>
      <c r="E15" t="s">
        <v>3764</v>
      </c>
      <c r="F15" t="s">
        <v>3046</v>
      </c>
      <c r="G15">
        <v>2.0</v>
      </c>
      <c r="H15">
        <v>1.0</v>
      </c>
      <c r="I15" t="s">
        <v>40</v>
      </c>
      <c r="J15" t="s">
        <v>1205</v>
      </c>
      <c r="K15" t="s">
        <v>3765</v>
      </c>
      <c r="L15" t="s">
        <v>3631</v>
      </c>
      <c r="M15" t="s">
        <v>3050</v>
      </c>
      <c r="N15" t="s">
        <v>572</v>
      </c>
      <c r="O15" t="s">
        <v>1547</v>
      </c>
    </row>
    <row r="16">
      <c r="A16" t="s">
        <v>3783</v>
      </c>
      <c r="B16" t="s">
        <v>3763</v>
      </c>
      <c r="C16" t="s">
        <v>2727</v>
      </c>
      <c r="D16" t="s">
        <v>1678</v>
      </c>
      <c r="E16" t="s">
        <v>3767</v>
      </c>
      <c r="F16" t="s">
        <v>3047</v>
      </c>
      <c r="G16">
        <v>3.0</v>
      </c>
      <c r="H16">
        <v>2.0</v>
      </c>
      <c r="I16" t="s">
        <v>1192</v>
      </c>
      <c r="J16" t="s">
        <v>1205</v>
      </c>
      <c r="K16" t="s">
        <v>3777</v>
      </c>
      <c r="L16" t="s">
        <v>3656</v>
      </c>
      <c r="M16" t="s">
        <v>2415</v>
      </c>
      <c r="N16" t="s">
        <v>578</v>
      </c>
      <c r="O16" t="s">
        <v>1547</v>
      </c>
    </row>
    <row r="17">
      <c r="A17" t="s">
        <v>3784</v>
      </c>
      <c r="B17" t="s">
        <v>3763</v>
      </c>
      <c r="C17" t="s">
        <v>2754</v>
      </c>
      <c r="D17" t="s">
        <v>2113</v>
      </c>
      <c r="E17" t="s">
        <v>3764</v>
      </c>
      <c r="F17" t="s">
        <v>2759</v>
      </c>
      <c r="G17">
        <v>2.0</v>
      </c>
      <c r="H17">
        <v>1.0</v>
      </c>
      <c r="I17" t="s">
        <v>3785</v>
      </c>
      <c r="J17" t="s">
        <v>3786</v>
      </c>
      <c r="K17" t="s">
        <v>3786</v>
      </c>
      <c r="L17" t="s">
        <v>3631</v>
      </c>
      <c r="M17" t="s">
        <v>2763</v>
      </c>
      <c r="N17" t="s">
        <v>572</v>
      </c>
      <c r="O17" t="s">
        <v>1547</v>
      </c>
    </row>
    <row r="18">
      <c r="A18" t="s">
        <v>3787</v>
      </c>
      <c r="B18" t="s">
        <v>3763</v>
      </c>
      <c r="C18" t="s">
        <v>2754</v>
      </c>
      <c r="D18" t="s">
        <v>2113</v>
      </c>
      <c r="E18" t="s">
        <v>3767</v>
      </c>
      <c r="F18" t="s">
        <v>2760</v>
      </c>
      <c r="G18">
        <v>3.0</v>
      </c>
      <c r="H18">
        <v>3.0</v>
      </c>
      <c r="I18" t="s">
        <v>3788</v>
      </c>
      <c r="J18" t="s">
        <v>3768</v>
      </c>
      <c r="K18" t="s">
        <v>3777</v>
      </c>
      <c r="L18" t="s">
        <v>3656</v>
      </c>
      <c r="M18" t="s">
        <v>2769</v>
      </c>
      <c r="N18" t="s">
        <v>578</v>
      </c>
      <c r="O18" t="s">
        <v>1547</v>
      </c>
    </row>
    <row r="19">
      <c r="A19" t="s">
        <v>3789</v>
      </c>
      <c r="B19" t="s">
        <v>3763</v>
      </c>
      <c r="C19" t="s">
        <v>2754</v>
      </c>
      <c r="D19" t="s">
        <v>1679</v>
      </c>
      <c r="E19" t="s">
        <v>3764</v>
      </c>
      <c r="F19" t="s">
        <v>2935</v>
      </c>
      <c r="G19">
        <v>2.0</v>
      </c>
      <c r="H19">
        <v>1.0</v>
      </c>
      <c r="I19" t="s">
        <v>40</v>
      </c>
      <c r="J19" t="s">
        <v>3786</v>
      </c>
      <c r="K19" t="s">
        <v>3786</v>
      </c>
      <c r="L19" t="s">
        <v>3631</v>
      </c>
      <c r="M19" t="s">
        <v>2939</v>
      </c>
      <c r="N19" t="s">
        <v>572</v>
      </c>
      <c r="O19" t="s">
        <v>1547</v>
      </c>
    </row>
    <row r="20">
      <c r="A20" t="s">
        <v>3790</v>
      </c>
      <c r="B20" t="s">
        <v>3763</v>
      </c>
      <c r="C20" t="s">
        <v>2754</v>
      </c>
      <c r="D20" t="s">
        <v>1679</v>
      </c>
      <c r="E20" t="s">
        <v>3767</v>
      </c>
      <c r="F20" t="s">
        <v>2936</v>
      </c>
      <c r="G20">
        <v>3.0</v>
      </c>
      <c r="H20">
        <v>3.0</v>
      </c>
      <c r="I20" t="s">
        <v>3788</v>
      </c>
      <c r="J20" t="s">
        <v>3768</v>
      </c>
      <c r="K20" t="s">
        <v>3777</v>
      </c>
      <c r="L20" t="s">
        <v>3656</v>
      </c>
      <c r="M20" t="s">
        <v>2944</v>
      </c>
      <c r="N20" t="s">
        <v>578</v>
      </c>
      <c r="O20" t="s">
        <v>1547</v>
      </c>
    </row>
    <row r="21" ht="15.75" customHeight="1">
      <c r="A21" t="s">
        <v>3791</v>
      </c>
      <c r="B21" t="s">
        <v>3763</v>
      </c>
      <c r="C21" t="s">
        <v>2754</v>
      </c>
      <c r="D21" t="s">
        <v>1678</v>
      </c>
      <c r="E21" t="s">
        <v>3764</v>
      </c>
      <c r="F21" t="s">
        <v>3061</v>
      </c>
      <c r="G21">
        <v>2.0</v>
      </c>
      <c r="H21">
        <v>1.0</v>
      </c>
      <c r="I21" t="s">
        <v>40</v>
      </c>
      <c r="J21" t="s">
        <v>3786</v>
      </c>
      <c r="K21" t="s">
        <v>3786</v>
      </c>
      <c r="L21" t="s">
        <v>3631</v>
      </c>
      <c r="M21" t="s">
        <v>3065</v>
      </c>
      <c r="N21" t="s">
        <v>572</v>
      </c>
      <c r="O21" t="s">
        <v>1547</v>
      </c>
    </row>
    <row r="22" ht="15.75" customHeight="1">
      <c r="A22" t="s">
        <v>3792</v>
      </c>
      <c r="B22" t="s">
        <v>3763</v>
      </c>
      <c r="C22" t="s">
        <v>2754</v>
      </c>
      <c r="D22" t="s">
        <v>1678</v>
      </c>
      <c r="E22" t="s">
        <v>3767</v>
      </c>
      <c r="F22" t="s">
        <v>3062</v>
      </c>
      <c r="G22">
        <v>3.0</v>
      </c>
      <c r="H22">
        <v>3.0</v>
      </c>
      <c r="I22" t="s">
        <v>3788</v>
      </c>
      <c r="J22" t="s">
        <v>3768</v>
      </c>
      <c r="K22" t="s">
        <v>3777</v>
      </c>
      <c r="L22" t="s">
        <v>3656</v>
      </c>
      <c r="M22" t="s">
        <v>3070</v>
      </c>
      <c r="N22" t="s">
        <v>578</v>
      </c>
      <c r="O22" t="s">
        <v>1547</v>
      </c>
    </row>
    <row r="23" ht="15.75" customHeight="1">
      <c r="A23" t="s">
        <v>3793</v>
      </c>
      <c r="B23" t="s">
        <v>3763</v>
      </c>
      <c r="C23" t="s">
        <v>2779</v>
      </c>
      <c r="D23" t="s">
        <v>2113</v>
      </c>
      <c r="E23" t="s">
        <v>3764</v>
      </c>
      <c r="F23" t="s">
        <v>2785</v>
      </c>
      <c r="G23">
        <v>2.0</v>
      </c>
      <c r="H23">
        <v>1.0</v>
      </c>
      <c r="I23" t="s">
        <v>3794</v>
      </c>
      <c r="J23" t="s">
        <v>1205</v>
      </c>
      <c r="K23" t="s">
        <v>1205</v>
      </c>
      <c r="L23" t="s">
        <v>3656</v>
      </c>
      <c r="M23" t="s">
        <v>2789</v>
      </c>
      <c r="N23" t="s">
        <v>572</v>
      </c>
      <c r="O23" t="s">
        <v>1547</v>
      </c>
    </row>
    <row r="24" ht="15.75" customHeight="1">
      <c r="A24" t="s">
        <v>3795</v>
      </c>
      <c r="B24" t="s">
        <v>3763</v>
      </c>
      <c r="C24" t="s">
        <v>2779</v>
      </c>
      <c r="D24" t="s">
        <v>2113</v>
      </c>
      <c r="E24" t="s">
        <v>3767</v>
      </c>
      <c r="F24" t="s">
        <v>2786</v>
      </c>
      <c r="G24">
        <v>3.0</v>
      </c>
      <c r="H24">
        <v>2.0</v>
      </c>
      <c r="I24" t="s">
        <v>3781</v>
      </c>
      <c r="J24" t="s">
        <v>1205</v>
      </c>
      <c r="K24" t="s">
        <v>3777</v>
      </c>
      <c r="L24" t="s">
        <v>3656</v>
      </c>
      <c r="M24" t="s">
        <v>2795</v>
      </c>
      <c r="N24" t="s">
        <v>578</v>
      </c>
      <c r="O24" t="s">
        <v>1547</v>
      </c>
    </row>
    <row r="25" ht="15.75" customHeight="1">
      <c r="A25" t="s">
        <v>3796</v>
      </c>
      <c r="B25" t="s">
        <v>3763</v>
      </c>
      <c r="C25" t="s">
        <v>2779</v>
      </c>
      <c r="D25" t="s">
        <v>1679</v>
      </c>
      <c r="E25" t="s">
        <v>3764</v>
      </c>
      <c r="F25" t="s">
        <v>2951</v>
      </c>
      <c r="G25">
        <v>2.0</v>
      </c>
      <c r="H25">
        <v>0.0</v>
      </c>
      <c r="I25" t="s">
        <v>3797</v>
      </c>
      <c r="J25" t="s">
        <v>1205</v>
      </c>
      <c r="K25" t="s">
        <v>1205</v>
      </c>
      <c r="L25" t="s">
        <v>3656</v>
      </c>
      <c r="M25" t="s">
        <v>2955</v>
      </c>
      <c r="N25" t="s">
        <v>572</v>
      </c>
      <c r="O25" t="s">
        <v>1547</v>
      </c>
    </row>
    <row r="26" ht="15.75" customHeight="1">
      <c r="A26" t="s">
        <v>3798</v>
      </c>
      <c r="B26" t="s">
        <v>3763</v>
      </c>
      <c r="C26" t="s">
        <v>2779</v>
      </c>
      <c r="D26" t="s">
        <v>1679</v>
      </c>
      <c r="E26" t="s">
        <v>3767</v>
      </c>
      <c r="F26" t="s">
        <v>2952</v>
      </c>
      <c r="G26">
        <v>3.0</v>
      </c>
      <c r="H26">
        <v>3.0</v>
      </c>
      <c r="I26" t="s">
        <v>3799</v>
      </c>
      <c r="J26" t="s">
        <v>3768</v>
      </c>
      <c r="K26" t="s">
        <v>3777</v>
      </c>
      <c r="L26" t="s">
        <v>3646</v>
      </c>
      <c r="M26" t="s">
        <v>2960</v>
      </c>
      <c r="N26" t="s">
        <v>578</v>
      </c>
      <c r="O26" t="s">
        <v>1547</v>
      </c>
    </row>
    <row r="27" ht="15.75" customHeight="1">
      <c r="A27" t="s">
        <v>3800</v>
      </c>
      <c r="B27" t="s">
        <v>3763</v>
      </c>
      <c r="C27" t="s">
        <v>2779</v>
      </c>
      <c r="D27" t="s">
        <v>1678</v>
      </c>
      <c r="E27" t="s">
        <v>3764</v>
      </c>
      <c r="F27" t="s">
        <v>3077</v>
      </c>
      <c r="G27">
        <v>2.0</v>
      </c>
      <c r="H27">
        <v>1.0</v>
      </c>
      <c r="I27" t="s">
        <v>3801</v>
      </c>
      <c r="J27" t="s">
        <v>3786</v>
      </c>
      <c r="K27" t="s">
        <v>3786</v>
      </c>
      <c r="L27" t="s">
        <v>3646</v>
      </c>
      <c r="M27" t="s">
        <v>3081</v>
      </c>
      <c r="N27" t="s">
        <v>572</v>
      </c>
      <c r="O27" t="s">
        <v>1547</v>
      </c>
    </row>
    <row r="28" ht="15.75" customHeight="1">
      <c r="A28" t="s">
        <v>3802</v>
      </c>
      <c r="B28" t="s">
        <v>3763</v>
      </c>
      <c r="C28" t="s">
        <v>2779</v>
      </c>
      <c r="D28" t="s">
        <v>1678</v>
      </c>
      <c r="E28" t="s">
        <v>3767</v>
      </c>
      <c r="F28" t="s">
        <v>3078</v>
      </c>
      <c r="G28">
        <v>3.0</v>
      </c>
      <c r="H28">
        <v>3.0</v>
      </c>
      <c r="I28" t="s">
        <v>3788</v>
      </c>
      <c r="J28" t="s">
        <v>3768</v>
      </c>
      <c r="K28" t="s">
        <v>3777</v>
      </c>
      <c r="L28" t="s">
        <v>3646</v>
      </c>
      <c r="M28" t="s">
        <v>3086</v>
      </c>
      <c r="N28" t="s">
        <v>578</v>
      </c>
      <c r="O28" t="s">
        <v>1547</v>
      </c>
    </row>
    <row r="29" ht="15.75" customHeight="1">
      <c r="A29" t="s">
        <v>3803</v>
      </c>
      <c r="B29" t="s">
        <v>3763</v>
      </c>
      <c r="C29" t="s">
        <v>2805</v>
      </c>
      <c r="D29" t="s">
        <v>2113</v>
      </c>
      <c r="E29" t="s">
        <v>3764</v>
      </c>
      <c r="F29" t="s">
        <v>2810</v>
      </c>
      <c r="G29">
        <v>2.0</v>
      </c>
      <c r="H29">
        <v>1.0</v>
      </c>
      <c r="I29" t="s">
        <v>3801</v>
      </c>
      <c r="J29" t="s">
        <v>3765</v>
      </c>
      <c r="K29" t="s">
        <v>1205</v>
      </c>
      <c r="L29" t="s">
        <v>3646</v>
      </c>
      <c r="M29" t="s">
        <v>2814</v>
      </c>
      <c r="N29" t="s">
        <v>572</v>
      </c>
      <c r="O29" t="s">
        <v>1547</v>
      </c>
    </row>
    <row r="30" ht="15.75" customHeight="1">
      <c r="A30" t="s">
        <v>3804</v>
      </c>
      <c r="B30" t="s">
        <v>3763</v>
      </c>
      <c r="C30" t="s">
        <v>2805</v>
      </c>
      <c r="D30" t="s">
        <v>2113</v>
      </c>
      <c r="E30" t="s">
        <v>3767</v>
      </c>
      <c r="F30" t="s">
        <v>2811</v>
      </c>
      <c r="G30">
        <v>3.0</v>
      </c>
      <c r="H30">
        <v>2.0</v>
      </c>
      <c r="I30" t="s">
        <v>3772</v>
      </c>
      <c r="J30" t="s">
        <v>3768</v>
      </c>
      <c r="K30" t="s">
        <v>1205</v>
      </c>
      <c r="L30" t="s">
        <v>3656</v>
      </c>
      <c r="M30" t="s">
        <v>2821</v>
      </c>
      <c r="N30" t="s">
        <v>578</v>
      </c>
      <c r="O30" t="s">
        <v>1547</v>
      </c>
    </row>
    <row r="31" ht="15.75" customHeight="1">
      <c r="A31" t="s">
        <v>3805</v>
      </c>
      <c r="B31" t="s">
        <v>3763</v>
      </c>
      <c r="C31" t="s">
        <v>2805</v>
      </c>
      <c r="D31" t="s">
        <v>1679</v>
      </c>
      <c r="E31" t="s">
        <v>3764</v>
      </c>
      <c r="F31" t="s">
        <v>2967</v>
      </c>
      <c r="G31">
        <v>2.0</v>
      </c>
      <c r="H31">
        <v>0.0</v>
      </c>
      <c r="I31" t="s">
        <v>3797</v>
      </c>
      <c r="J31" t="s">
        <v>1205</v>
      </c>
      <c r="K31" t="s">
        <v>1205</v>
      </c>
      <c r="L31" t="s">
        <v>3656</v>
      </c>
      <c r="M31" t="s">
        <v>2971</v>
      </c>
      <c r="N31" t="s">
        <v>572</v>
      </c>
      <c r="O31" t="s">
        <v>1547</v>
      </c>
    </row>
    <row r="32" ht="15.75" customHeight="1">
      <c r="A32" t="s">
        <v>3806</v>
      </c>
      <c r="B32" t="s">
        <v>3763</v>
      </c>
      <c r="C32" t="s">
        <v>2805</v>
      </c>
      <c r="D32" t="s">
        <v>1679</v>
      </c>
      <c r="E32" t="s">
        <v>3767</v>
      </c>
      <c r="F32" t="s">
        <v>2968</v>
      </c>
      <c r="G32">
        <v>3.0</v>
      </c>
      <c r="H32">
        <v>1.0</v>
      </c>
      <c r="I32" t="s">
        <v>3807</v>
      </c>
      <c r="J32" t="s">
        <v>1205</v>
      </c>
      <c r="K32" t="s">
        <v>1205</v>
      </c>
      <c r="L32" t="s">
        <v>3631</v>
      </c>
      <c r="M32" t="s">
        <v>2976</v>
      </c>
      <c r="N32" t="s">
        <v>578</v>
      </c>
      <c r="O32" t="s">
        <v>1547</v>
      </c>
    </row>
    <row r="33" ht="15.75" customHeight="1">
      <c r="A33" t="s">
        <v>3808</v>
      </c>
      <c r="B33" t="s">
        <v>3763</v>
      </c>
      <c r="C33" t="s">
        <v>2805</v>
      </c>
      <c r="D33" t="s">
        <v>1678</v>
      </c>
      <c r="E33" t="s">
        <v>3764</v>
      </c>
      <c r="F33" t="s">
        <v>3093</v>
      </c>
      <c r="G33">
        <v>2.0</v>
      </c>
      <c r="H33">
        <v>1.0</v>
      </c>
      <c r="I33" t="s">
        <v>3809</v>
      </c>
      <c r="J33" t="s">
        <v>3765</v>
      </c>
      <c r="K33" t="s">
        <v>1205</v>
      </c>
      <c r="L33" t="s">
        <v>3631</v>
      </c>
      <c r="M33" t="s">
        <v>3097</v>
      </c>
      <c r="N33" t="s">
        <v>572</v>
      </c>
      <c r="O33" t="s">
        <v>1547</v>
      </c>
    </row>
    <row r="34" ht="15.75" customHeight="1">
      <c r="A34" t="s">
        <v>3810</v>
      </c>
      <c r="B34" t="s">
        <v>3763</v>
      </c>
      <c r="C34" t="s">
        <v>2805</v>
      </c>
      <c r="D34" t="s">
        <v>1678</v>
      </c>
      <c r="E34" t="s">
        <v>3767</v>
      </c>
      <c r="F34" t="s">
        <v>3094</v>
      </c>
      <c r="G34">
        <v>3.0</v>
      </c>
      <c r="H34">
        <v>2.0</v>
      </c>
      <c r="I34" t="s">
        <v>3811</v>
      </c>
      <c r="J34" t="s">
        <v>3768</v>
      </c>
      <c r="K34" t="s">
        <v>1205</v>
      </c>
      <c r="L34" t="s">
        <v>3656</v>
      </c>
      <c r="M34" t="s">
        <v>3102</v>
      </c>
      <c r="N34" t="s">
        <v>578</v>
      </c>
      <c r="O34" t="s">
        <v>1547</v>
      </c>
    </row>
    <row r="35" ht="15.75" customHeight="1">
      <c r="A35" t="s">
        <v>3812</v>
      </c>
      <c r="B35" t="s">
        <v>3763</v>
      </c>
      <c r="C35" t="s">
        <v>2831</v>
      </c>
      <c r="D35" t="s">
        <v>2113</v>
      </c>
      <c r="E35" t="s">
        <v>3764</v>
      </c>
      <c r="F35" t="s">
        <v>2836</v>
      </c>
      <c r="G35">
        <v>2.0</v>
      </c>
      <c r="H35">
        <v>1.0</v>
      </c>
      <c r="I35" t="s">
        <v>40</v>
      </c>
      <c r="J35" t="s">
        <v>1205</v>
      </c>
      <c r="K35" t="s">
        <v>3765</v>
      </c>
      <c r="L35" t="s">
        <v>3631</v>
      </c>
      <c r="M35" t="s">
        <v>2840</v>
      </c>
      <c r="N35" t="s">
        <v>572</v>
      </c>
      <c r="O35" t="s">
        <v>1547</v>
      </c>
    </row>
    <row r="36" ht="15.75" customHeight="1">
      <c r="A36" t="s">
        <v>3813</v>
      </c>
      <c r="B36" t="s">
        <v>3763</v>
      </c>
      <c r="C36" t="s">
        <v>2831</v>
      </c>
      <c r="D36" t="s">
        <v>2113</v>
      </c>
      <c r="E36" t="s">
        <v>3767</v>
      </c>
      <c r="F36" t="s">
        <v>2837</v>
      </c>
      <c r="G36">
        <v>3.0</v>
      </c>
      <c r="H36">
        <v>2.0</v>
      </c>
      <c r="I36" t="s">
        <v>3781</v>
      </c>
      <c r="J36" t="s">
        <v>1205</v>
      </c>
      <c r="K36" t="s">
        <v>3777</v>
      </c>
      <c r="L36" t="s">
        <v>3656</v>
      </c>
      <c r="M36" t="s">
        <v>2846</v>
      </c>
      <c r="N36" t="s">
        <v>578</v>
      </c>
      <c r="O36" t="s">
        <v>1547</v>
      </c>
    </row>
    <row r="37" ht="15.75" customHeight="1">
      <c r="A37" t="s">
        <v>3814</v>
      </c>
      <c r="B37" t="s">
        <v>3763</v>
      </c>
      <c r="C37" t="s">
        <v>2831</v>
      </c>
      <c r="D37" t="s">
        <v>1679</v>
      </c>
      <c r="E37" t="s">
        <v>3764</v>
      </c>
      <c r="F37" t="s">
        <v>2983</v>
      </c>
      <c r="G37">
        <v>2.0</v>
      </c>
      <c r="H37">
        <v>0.0</v>
      </c>
      <c r="I37" t="s">
        <v>3797</v>
      </c>
      <c r="J37" t="s">
        <v>1205</v>
      </c>
      <c r="K37" t="s">
        <v>1205</v>
      </c>
      <c r="L37" t="s">
        <v>3656</v>
      </c>
      <c r="M37" t="s">
        <v>2987</v>
      </c>
      <c r="N37" t="s">
        <v>572</v>
      </c>
      <c r="O37" t="s">
        <v>1547</v>
      </c>
    </row>
    <row r="38" ht="15.75" customHeight="1">
      <c r="A38" t="s">
        <v>3815</v>
      </c>
      <c r="B38" t="s">
        <v>3763</v>
      </c>
      <c r="C38" t="s">
        <v>2831</v>
      </c>
      <c r="D38" t="s">
        <v>1679</v>
      </c>
      <c r="E38" t="s">
        <v>3767</v>
      </c>
      <c r="F38" t="s">
        <v>2984</v>
      </c>
      <c r="G38">
        <v>3.0</v>
      </c>
      <c r="H38">
        <v>2.0</v>
      </c>
      <c r="I38" t="s">
        <v>3781</v>
      </c>
      <c r="J38" t="s">
        <v>1205</v>
      </c>
      <c r="K38" t="s">
        <v>3777</v>
      </c>
      <c r="L38" t="s">
        <v>3656</v>
      </c>
      <c r="M38" t="s">
        <v>2928</v>
      </c>
      <c r="N38" t="s">
        <v>578</v>
      </c>
      <c r="O38" t="s">
        <v>1547</v>
      </c>
    </row>
    <row r="39" ht="15.75" customHeight="1">
      <c r="A39" t="s">
        <v>3816</v>
      </c>
      <c r="B39" t="s">
        <v>3763</v>
      </c>
      <c r="C39" t="s">
        <v>2831</v>
      </c>
      <c r="D39" t="s">
        <v>1678</v>
      </c>
      <c r="E39" t="s">
        <v>3764</v>
      </c>
      <c r="F39" t="s">
        <v>3109</v>
      </c>
      <c r="G39">
        <v>2.0</v>
      </c>
      <c r="H39">
        <v>1.0</v>
      </c>
      <c r="I39" t="s">
        <v>40</v>
      </c>
      <c r="J39" t="s">
        <v>1205</v>
      </c>
      <c r="K39" t="s">
        <v>3765</v>
      </c>
      <c r="L39" t="s">
        <v>3631</v>
      </c>
      <c r="M39" t="s">
        <v>2887</v>
      </c>
      <c r="N39" t="s">
        <v>572</v>
      </c>
      <c r="O39" t="s">
        <v>1547</v>
      </c>
    </row>
    <row r="40" ht="15.75" customHeight="1">
      <c r="A40" t="s">
        <v>3817</v>
      </c>
      <c r="B40" t="s">
        <v>3763</v>
      </c>
      <c r="C40" t="s">
        <v>2831</v>
      </c>
      <c r="D40" t="s">
        <v>1678</v>
      </c>
      <c r="E40" t="s">
        <v>3767</v>
      </c>
      <c r="F40" t="s">
        <v>3110</v>
      </c>
      <c r="G40">
        <v>3.0</v>
      </c>
      <c r="H40">
        <v>2.0</v>
      </c>
      <c r="I40" t="s">
        <v>3818</v>
      </c>
      <c r="J40" t="s">
        <v>1205</v>
      </c>
      <c r="K40" t="s">
        <v>3777</v>
      </c>
      <c r="L40" t="s">
        <v>3656</v>
      </c>
      <c r="M40" t="s">
        <v>3117</v>
      </c>
      <c r="N40" t="s">
        <v>578</v>
      </c>
      <c r="O40" t="s">
        <v>1547</v>
      </c>
    </row>
    <row r="41" ht="15.75" customHeight="1">
      <c r="A41" t="s">
        <v>3819</v>
      </c>
      <c r="B41" t="s">
        <v>3763</v>
      </c>
      <c r="C41" t="s">
        <v>2855</v>
      </c>
      <c r="D41" t="s">
        <v>2113</v>
      </c>
      <c r="E41" t="s">
        <v>3764</v>
      </c>
      <c r="F41" t="s">
        <v>2860</v>
      </c>
      <c r="G41">
        <v>2.0</v>
      </c>
      <c r="H41">
        <v>1.0</v>
      </c>
      <c r="I41" t="s">
        <v>3785</v>
      </c>
      <c r="J41" t="s">
        <v>3786</v>
      </c>
      <c r="K41" t="s">
        <v>3786</v>
      </c>
      <c r="L41" t="s">
        <v>3631</v>
      </c>
      <c r="M41" t="s">
        <v>2763</v>
      </c>
      <c r="N41" t="s">
        <v>572</v>
      </c>
      <c r="O41" t="s">
        <v>1547</v>
      </c>
    </row>
    <row r="42" ht="15.75" customHeight="1">
      <c r="A42" t="s">
        <v>3820</v>
      </c>
      <c r="B42" t="s">
        <v>3763</v>
      </c>
      <c r="C42" t="s">
        <v>2855</v>
      </c>
      <c r="D42" t="s">
        <v>2113</v>
      </c>
      <c r="E42" t="s">
        <v>3767</v>
      </c>
      <c r="F42" t="s">
        <v>2861</v>
      </c>
      <c r="G42">
        <v>3.0</v>
      </c>
      <c r="H42">
        <v>3.0</v>
      </c>
      <c r="I42" t="s">
        <v>3788</v>
      </c>
      <c r="J42" t="s">
        <v>3768</v>
      </c>
      <c r="K42" t="s">
        <v>3777</v>
      </c>
      <c r="L42" t="s">
        <v>3656</v>
      </c>
      <c r="M42" t="s">
        <v>2769</v>
      </c>
      <c r="N42" t="s">
        <v>578</v>
      </c>
      <c r="O42" t="s">
        <v>1547</v>
      </c>
    </row>
    <row r="43" ht="15.75" customHeight="1">
      <c r="A43" t="s">
        <v>3821</v>
      </c>
      <c r="B43" t="s">
        <v>3763</v>
      </c>
      <c r="C43" t="s">
        <v>2855</v>
      </c>
      <c r="D43" t="s">
        <v>1679</v>
      </c>
      <c r="E43" t="s">
        <v>3764</v>
      </c>
      <c r="F43" t="s">
        <v>2998</v>
      </c>
      <c r="G43">
        <v>2.0</v>
      </c>
      <c r="H43">
        <v>1.0</v>
      </c>
      <c r="I43" t="s">
        <v>40</v>
      </c>
      <c r="J43" t="s">
        <v>3786</v>
      </c>
      <c r="K43" t="s">
        <v>3786</v>
      </c>
      <c r="L43" t="s">
        <v>3631</v>
      </c>
      <c r="M43" t="s">
        <v>2939</v>
      </c>
      <c r="N43" t="s">
        <v>572</v>
      </c>
      <c r="O43" t="s">
        <v>1547</v>
      </c>
    </row>
    <row r="44" ht="15.75" customHeight="1">
      <c r="A44" t="s">
        <v>3822</v>
      </c>
      <c r="B44" t="s">
        <v>3763</v>
      </c>
      <c r="C44" t="s">
        <v>2855</v>
      </c>
      <c r="D44" t="s">
        <v>1679</v>
      </c>
      <c r="E44" t="s">
        <v>3767</v>
      </c>
      <c r="F44" t="s">
        <v>2999</v>
      </c>
      <c r="G44">
        <v>3.0</v>
      </c>
      <c r="H44">
        <v>1.0</v>
      </c>
      <c r="I44" t="s">
        <v>3797</v>
      </c>
      <c r="J44" t="s">
        <v>1205</v>
      </c>
      <c r="K44" t="s">
        <v>1205</v>
      </c>
      <c r="L44" t="s">
        <v>3656</v>
      </c>
      <c r="M44" t="s">
        <v>3006</v>
      </c>
      <c r="N44" t="s">
        <v>578</v>
      </c>
      <c r="O44" t="s">
        <v>1547</v>
      </c>
    </row>
    <row r="45" ht="15.75" customHeight="1">
      <c r="A45" t="s">
        <v>3823</v>
      </c>
      <c r="B45" t="s">
        <v>3763</v>
      </c>
      <c r="C45" t="s">
        <v>2855</v>
      </c>
      <c r="D45" t="s">
        <v>1678</v>
      </c>
      <c r="E45" t="s">
        <v>3764</v>
      </c>
      <c r="F45" t="s">
        <v>3124</v>
      </c>
      <c r="G45">
        <v>2.0</v>
      </c>
      <c r="H45">
        <v>1.0</v>
      </c>
      <c r="I45" t="s">
        <v>3785</v>
      </c>
      <c r="J45" t="s">
        <v>3786</v>
      </c>
      <c r="K45" t="s">
        <v>3786</v>
      </c>
      <c r="L45" t="s">
        <v>3631</v>
      </c>
      <c r="M45" t="s">
        <v>2763</v>
      </c>
      <c r="N45" t="s">
        <v>572</v>
      </c>
      <c r="O45" t="s">
        <v>1547</v>
      </c>
    </row>
    <row r="46" ht="15.75" customHeight="1">
      <c r="A46" t="s">
        <v>3824</v>
      </c>
      <c r="B46" t="s">
        <v>3763</v>
      </c>
      <c r="C46" t="s">
        <v>2855</v>
      </c>
      <c r="D46" t="s">
        <v>1678</v>
      </c>
      <c r="E46" t="s">
        <v>3767</v>
      </c>
      <c r="F46" t="s">
        <v>3125</v>
      </c>
      <c r="G46">
        <v>3.0</v>
      </c>
      <c r="H46">
        <v>3.0</v>
      </c>
      <c r="I46" t="s">
        <v>3788</v>
      </c>
      <c r="J46" t="s">
        <v>3768</v>
      </c>
      <c r="K46" t="s">
        <v>3777</v>
      </c>
      <c r="L46" t="s">
        <v>3656</v>
      </c>
      <c r="M46" t="s">
        <v>3070</v>
      </c>
      <c r="N46" t="s">
        <v>578</v>
      </c>
      <c r="O46" t="s">
        <v>1547</v>
      </c>
    </row>
    <row r="47" ht="15.75" customHeight="1">
      <c r="A47" t="s">
        <v>3825</v>
      </c>
      <c r="B47" t="s">
        <v>3763</v>
      </c>
      <c r="C47" t="s">
        <v>2878</v>
      </c>
      <c r="D47" t="s">
        <v>2113</v>
      </c>
      <c r="E47" t="s">
        <v>3764</v>
      </c>
      <c r="F47" t="s">
        <v>2883</v>
      </c>
      <c r="G47">
        <v>2.0</v>
      </c>
      <c r="H47">
        <v>1.0</v>
      </c>
      <c r="I47" t="s">
        <v>40</v>
      </c>
      <c r="J47" t="s">
        <v>1205</v>
      </c>
      <c r="K47" t="s">
        <v>3765</v>
      </c>
      <c r="L47" t="s">
        <v>3631</v>
      </c>
      <c r="M47" t="s">
        <v>2887</v>
      </c>
      <c r="N47" t="s">
        <v>572</v>
      </c>
      <c r="O47" t="s">
        <v>1547</v>
      </c>
    </row>
    <row r="48" ht="15.75" customHeight="1">
      <c r="A48" t="s">
        <v>3826</v>
      </c>
      <c r="B48" t="s">
        <v>3763</v>
      </c>
      <c r="C48" t="s">
        <v>2878</v>
      </c>
      <c r="D48" t="s">
        <v>2113</v>
      </c>
      <c r="E48" t="s">
        <v>3767</v>
      </c>
      <c r="F48" t="s">
        <v>2884</v>
      </c>
      <c r="G48">
        <v>3.0</v>
      </c>
      <c r="H48">
        <v>2.0</v>
      </c>
      <c r="I48" t="s">
        <v>3827</v>
      </c>
      <c r="J48" t="s">
        <v>1205</v>
      </c>
      <c r="K48" t="s">
        <v>3777</v>
      </c>
      <c r="L48" t="s">
        <v>3656</v>
      </c>
      <c r="M48" t="s">
        <v>2893</v>
      </c>
      <c r="N48" t="s">
        <v>578</v>
      </c>
      <c r="O48" t="s">
        <v>1547</v>
      </c>
    </row>
    <row r="49" ht="15.75" customHeight="1">
      <c r="A49" t="s">
        <v>3828</v>
      </c>
      <c r="B49" t="s">
        <v>3763</v>
      </c>
      <c r="C49" t="s">
        <v>2878</v>
      </c>
      <c r="D49" t="s">
        <v>1679</v>
      </c>
      <c r="E49" t="s">
        <v>3764</v>
      </c>
      <c r="F49" t="s">
        <v>3013</v>
      </c>
      <c r="G49">
        <v>2.0</v>
      </c>
      <c r="H49">
        <v>0.0</v>
      </c>
      <c r="I49" t="s">
        <v>3797</v>
      </c>
      <c r="J49" t="s">
        <v>1205</v>
      </c>
      <c r="K49" t="s">
        <v>1205</v>
      </c>
      <c r="L49" t="s">
        <v>3656</v>
      </c>
      <c r="M49" t="s">
        <v>3017</v>
      </c>
      <c r="N49" t="s">
        <v>572</v>
      </c>
      <c r="O49" t="s">
        <v>1547</v>
      </c>
    </row>
    <row r="50" ht="15.75" customHeight="1">
      <c r="A50" t="s">
        <v>3829</v>
      </c>
      <c r="B50" t="s">
        <v>3763</v>
      </c>
      <c r="C50" t="s">
        <v>2878</v>
      </c>
      <c r="D50" t="s">
        <v>1679</v>
      </c>
      <c r="E50" t="s">
        <v>3767</v>
      </c>
      <c r="F50" t="s">
        <v>3014</v>
      </c>
      <c r="G50">
        <v>3.0</v>
      </c>
      <c r="H50">
        <v>2.0</v>
      </c>
      <c r="I50" t="s">
        <v>3830</v>
      </c>
      <c r="J50" t="s">
        <v>1205</v>
      </c>
      <c r="K50" t="s">
        <v>3777</v>
      </c>
      <c r="L50" t="s">
        <v>3631</v>
      </c>
      <c r="M50" t="s">
        <v>3022</v>
      </c>
      <c r="N50" t="s">
        <v>578</v>
      </c>
      <c r="O50" t="s">
        <v>1547</v>
      </c>
    </row>
    <row r="51" ht="15.75" customHeight="1">
      <c r="A51" t="s">
        <v>3831</v>
      </c>
      <c r="B51" t="s">
        <v>3763</v>
      </c>
      <c r="C51" t="s">
        <v>2878</v>
      </c>
      <c r="D51" t="s">
        <v>1678</v>
      </c>
      <c r="E51" t="s">
        <v>3764</v>
      </c>
      <c r="F51" t="s">
        <v>3138</v>
      </c>
      <c r="G51">
        <v>2.0</v>
      </c>
      <c r="H51">
        <v>1.0</v>
      </c>
      <c r="I51" t="s">
        <v>40</v>
      </c>
      <c r="J51" t="s">
        <v>1205</v>
      </c>
      <c r="K51" t="s">
        <v>3765</v>
      </c>
      <c r="L51" t="s">
        <v>3631</v>
      </c>
      <c r="M51" t="s">
        <v>2887</v>
      </c>
      <c r="N51" t="s">
        <v>572</v>
      </c>
      <c r="O51" t="s">
        <v>1547</v>
      </c>
    </row>
    <row r="52" ht="15.75" customHeight="1">
      <c r="A52" t="s">
        <v>3832</v>
      </c>
      <c r="B52" t="s">
        <v>3763</v>
      </c>
      <c r="C52" t="s">
        <v>2878</v>
      </c>
      <c r="D52" t="s">
        <v>1678</v>
      </c>
      <c r="E52" t="s">
        <v>3767</v>
      </c>
      <c r="F52" t="s">
        <v>3139</v>
      </c>
      <c r="G52">
        <v>3.0</v>
      </c>
      <c r="H52">
        <v>2.0</v>
      </c>
      <c r="I52" t="s">
        <v>3827</v>
      </c>
      <c r="J52" t="s">
        <v>1205</v>
      </c>
      <c r="K52" t="s">
        <v>3777</v>
      </c>
      <c r="L52" t="s">
        <v>3656</v>
      </c>
      <c r="M52" t="s">
        <v>3146</v>
      </c>
      <c r="N52" t="s">
        <v>578</v>
      </c>
      <c r="O52" t="s">
        <v>1547</v>
      </c>
    </row>
    <row r="53" ht="15.75" customHeight="1">
      <c r="A53" t="s">
        <v>3833</v>
      </c>
      <c r="B53" t="s">
        <v>3834</v>
      </c>
      <c r="C53" t="s">
        <v>3154</v>
      </c>
      <c r="D53" t="s">
        <v>1680</v>
      </c>
      <c r="E53" t="s">
        <v>3764</v>
      </c>
      <c r="F53" t="s">
        <v>3157</v>
      </c>
      <c r="G53">
        <v>2.0</v>
      </c>
      <c r="H53">
        <v>0.0</v>
      </c>
      <c r="I53" t="s">
        <v>3797</v>
      </c>
      <c r="J53" t="s">
        <v>1205</v>
      </c>
      <c r="K53" t="s">
        <v>1205</v>
      </c>
      <c r="L53" t="s">
        <v>3656</v>
      </c>
      <c r="M53" t="s">
        <v>3161</v>
      </c>
      <c r="N53" t="s">
        <v>572</v>
      </c>
      <c r="O53" t="s">
        <v>1547</v>
      </c>
    </row>
    <row r="54" ht="15.75" customHeight="1">
      <c r="A54" t="s">
        <v>3835</v>
      </c>
      <c r="B54" t="s">
        <v>3834</v>
      </c>
      <c r="C54" t="s">
        <v>3154</v>
      </c>
      <c r="D54" t="s">
        <v>1680</v>
      </c>
      <c r="E54" t="s">
        <v>3767</v>
      </c>
      <c r="F54" t="s">
        <v>3158</v>
      </c>
      <c r="G54">
        <v>3.0</v>
      </c>
      <c r="H54">
        <v>1.0</v>
      </c>
      <c r="I54" t="s">
        <v>3797</v>
      </c>
      <c r="J54" t="s">
        <v>1205</v>
      </c>
      <c r="K54" t="s">
        <v>1205</v>
      </c>
      <c r="L54" t="s">
        <v>3646</v>
      </c>
      <c r="M54" t="s">
        <v>3166</v>
      </c>
      <c r="N54" t="s">
        <v>578</v>
      </c>
      <c r="O54" t="s">
        <v>1547</v>
      </c>
    </row>
    <row r="55" ht="15.75" customHeight="1">
      <c r="A55" t="s">
        <v>3836</v>
      </c>
      <c r="B55" t="s">
        <v>3834</v>
      </c>
      <c r="C55" t="s">
        <v>3172</v>
      </c>
      <c r="D55" t="s">
        <v>1680</v>
      </c>
      <c r="E55" t="s">
        <v>3764</v>
      </c>
      <c r="F55" t="s">
        <v>3174</v>
      </c>
      <c r="G55">
        <v>2.0</v>
      </c>
      <c r="H55">
        <v>0.0</v>
      </c>
      <c r="I55" t="s">
        <v>3797</v>
      </c>
      <c r="J55" t="s">
        <v>1205</v>
      </c>
      <c r="K55" t="s">
        <v>1205</v>
      </c>
      <c r="L55" t="s">
        <v>3656</v>
      </c>
      <c r="M55" t="s">
        <v>2971</v>
      </c>
      <c r="N55" t="s">
        <v>572</v>
      </c>
      <c r="O55" t="s">
        <v>1547</v>
      </c>
    </row>
    <row r="56" ht="15.75" customHeight="1">
      <c r="A56" t="s">
        <v>3837</v>
      </c>
      <c r="B56" t="s">
        <v>3834</v>
      </c>
      <c r="C56" t="s">
        <v>3172</v>
      </c>
      <c r="D56" t="s">
        <v>1680</v>
      </c>
      <c r="E56" t="s">
        <v>3767</v>
      </c>
      <c r="F56" t="s">
        <v>3175</v>
      </c>
      <c r="G56">
        <v>3.0</v>
      </c>
      <c r="H56">
        <v>1.0</v>
      </c>
      <c r="I56" t="s">
        <v>3797</v>
      </c>
      <c r="J56" t="s">
        <v>1205</v>
      </c>
      <c r="K56" t="s">
        <v>1205</v>
      </c>
      <c r="L56" t="s">
        <v>3656</v>
      </c>
      <c r="M56" t="s">
        <v>3182</v>
      </c>
      <c r="N56" t="s">
        <v>578</v>
      </c>
      <c r="O56" t="s">
        <v>1547</v>
      </c>
    </row>
    <row r="57" ht="15.75" customHeight="1">
      <c r="A57" t="s">
        <v>3838</v>
      </c>
      <c r="B57" t="s">
        <v>3834</v>
      </c>
      <c r="C57" t="s">
        <v>3188</v>
      </c>
      <c r="D57" t="s">
        <v>1680</v>
      </c>
      <c r="E57" t="s">
        <v>3764</v>
      </c>
      <c r="F57" t="s">
        <v>3190</v>
      </c>
      <c r="G57">
        <v>2.0</v>
      </c>
      <c r="H57">
        <v>1.0</v>
      </c>
      <c r="I57" t="s">
        <v>40</v>
      </c>
      <c r="J57" t="s">
        <v>1205</v>
      </c>
      <c r="K57" t="s">
        <v>3765</v>
      </c>
      <c r="L57" t="s">
        <v>3631</v>
      </c>
      <c r="M57" t="s">
        <v>2840</v>
      </c>
      <c r="N57" t="s">
        <v>572</v>
      </c>
      <c r="O57" t="s">
        <v>1547</v>
      </c>
    </row>
    <row r="58" ht="15.75" customHeight="1">
      <c r="A58" t="s">
        <v>3839</v>
      </c>
      <c r="B58" t="s">
        <v>3834</v>
      </c>
      <c r="C58" t="s">
        <v>3188</v>
      </c>
      <c r="D58" t="s">
        <v>1680</v>
      </c>
      <c r="E58" t="s">
        <v>3767</v>
      </c>
      <c r="F58" t="s">
        <v>3191</v>
      </c>
      <c r="G58">
        <v>3.0</v>
      </c>
      <c r="H58">
        <v>2.0</v>
      </c>
      <c r="I58" t="s">
        <v>3781</v>
      </c>
      <c r="J58" t="s">
        <v>1205</v>
      </c>
      <c r="K58" t="s">
        <v>3777</v>
      </c>
      <c r="L58" t="s">
        <v>3656</v>
      </c>
      <c r="M58" t="s">
        <v>3198</v>
      </c>
      <c r="N58" t="s">
        <v>578</v>
      </c>
      <c r="O58" t="s">
        <v>1547</v>
      </c>
    </row>
    <row r="59" ht="15.75" customHeight="1">
      <c r="A59" t="s">
        <v>3840</v>
      </c>
      <c r="B59" t="s">
        <v>3834</v>
      </c>
      <c r="C59" t="s">
        <v>3204</v>
      </c>
      <c r="D59" t="s">
        <v>1680</v>
      </c>
      <c r="E59" t="s">
        <v>3764</v>
      </c>
      <c r="F59" t="s">
        <v>3206</v>
      </c>
      <c r="G59">
        <v>2.0</v>
      </c>
      <c r="H59">
        <v>1.0</v>
      </c>
      <c r="I59" t="s">
        <v>40</v>
      </c>
      <c r="J59" t="s">
        <v>3786</v>
      </c>
      <c r="K59" t="s">
        <v>3786</v>
      </c>
      <c r="L59" t="s">
        <v>3631</v>
      </c>
      <c r="M59" t="s">
        <v>2939</v>
      </c>
      <c r="N59" t="s">
        <v>572</v>
      </c>
      <c r="O59" t="s">
        <v>1547</v>
      </c>
    </row>
    <row r="60" ht="15.75" customHeight="1">
      <c r="A60" t="s">
        <v>3841</v>
      </c>
      <c r="B60" t="s">
        <v>3834</v>
      </c>
      <c r="C60" t="s">
        <v>3204</v>
      </c>
      <c r="D60" t="s">
        <v>1680</v>
      </c>
      <c r="E60" t="s">
        <v>3767</v>
      </c>
      <c r="F60" t="s">
        <v>3207</v>
      </c>
      <c r="G60">
        <v>3.0</v>
      </c>
      <c r="H60">
        <v>1.0</v>
      </c>
      <c r="I60" t="s">
        <v>3797</v>
      </c>
      <c r="J60" t="s">
        <v>1205</v>
      </c>
      <c r="K60" t="s">
        <v>1205</v>
      </c>
      <c r="L60" t="s">
        <v>3656</v>
      </c>
      <c r="M60" t="s">
        <v>3006</v>
      </c>
      <c r="N60" t="s">
        <v>578</v>
      </c>
      <c r="O60" t="s">
        <v>1547</v>
      </c>
    </row>
    <row r="61" ht="15.75" customHeight="1">
      <c r="A61" t="s">
        <v>3842</v>
      </c>
      <c r="B61" t="s">
        <v>3834</v>
      </c>
      <c r="C61" t="s">
        <v>3219</v>
      </c>
      <c r="D61" t="s">
        <v>1681</v>
      </c>
      <c r="E61" t="s">
        <v>3764</v>
      </c>
      <c r="F61" t="s">
        <v>3221</v>
      </c>
      <c r="G61">
        <v>2.0</v>
      </c>
      <c r="H61">
        <v>0.0</v>
      </c>
      <c r="I61" t="s">
        <v>3797</v>
      </c>
      <c r="J61" t="s">
        <v>1205</v>
      </c>
      <c r="K61" t="s">
        <v>1205</v>
      </c>
      <c r="L61" t="s">
        <v>3656</v>
      </c>
      <c r="M61" t="s">
        <v>2955</v>
      </c>
      <c r="N61" t="s">
        <v>572</v>
      </c>
      <c r="O61" t="s">
        <v>1547</v>
      </c>
    </row>
    <row r="62" ht="15.75" customHeight="1">
      <c r="A62" t="s">
        <v>3843</v>
      </c>
      <c r="B62" t="s">
        <v>3834</v>
      </c>
      <c r="C62" t="s">
        <v>3219</v>
      </c>
      <c r="D62" t="s">
        <v>1681</v>
      </c>
      <c r="E62" t="s">
        <v>3767</v>
      </c>
      <c r="F62" t="s">
        <v>3222</v>
      </c>
      <c r="G62">
        <v>3.0</v>
      </c>
      <c r="H62">
        <v>1.0</v>
      </c>
      <c r="I62" t="s">
        <v>3807</v>
      </c>
      <c r="J62" t="s">
        <v>1205</v>
      </c>
      <c r="K62" t="s">
        <v>1205</v>
      </c>
      <c r="L62" t="s">
        <v>3631</v>
      </c>
      <c r="M62" t="s">
        <v>3229</v>
      </c>
      <c r="N62" t="s">
        <v>578</v>
      </c>
      <c r="O62" t="s">
        <v>1547</v>
      </c>
    </row>
    <row r="63" ht="15.75" customHeight="1">
      <c r="A63" t="s">
        <v>3844</v>
      </c>
      <c r="B63" t="s">
        <v>3834</v>
      </c>
      <c r="C63" t="s">
        <v>3235</v>
      </c>
      <c r="D63" t="s">
        <v>1681</v>
      </c>
      <c r="E63" t="s">
        <v>3764</v>
      </c>
      <c r="F63" t="s">
        <v>3237</v>
      </c>
      <c r="G63">
        <v>2.0</v>
      </c>
      <c r="H63">
        <v>0.0</v>
      </c>
      <c r="I63" t="s">
        <v>3797</v>
      </c>
      <c r="J63" t="s">
        <v>1205</v>
      </c>
      <c r="K63" t="s">
        <v>1205</v>
      </c>
      <c r="L63" t="s">
        <v>3656</v>
      </c>
      <c r="M63" t="s">
        <v>2971</v>
      </c>
      <c r="N63" t="s">
        <v>572</v>
      </c>
      <c r="O63" t="s">
        <v>1547</v>
      </c>
    </row>
    <row r="64" ht="15.75" customHeight="1">
      <c r="A64" t="s">
        <v>3845</v>
      </c>
      <c r="B64" t="s">
        <v>3834</v>
      </c>
      <c r="C64" t="s">
        <v>3235</v>
      </c>
      <c r="D64" t="s">
        <v>1681</v>
      </c>
      <c r="E64" t="s">
        <v>3767</v>
      </c>
      <c r="F64" t="s">
        <v>3238</v>
      </c>
      <c r="G64">
        <v>3.0</v>
      </c>
      <c r="H64">
        <v>2.0</v>
      </c>
      <c r="I64" t="s">
        <v>3772</v>
      </c>
      <c r="J64" t="s">
        <v>3768</v>
      </c>
      <c r="K64" t="s">
        <v>1205</v>
      </c>
      <c r="L64" t="s">
        <v>3656</v>
      </c>
      <c r="M64" t="s">
        <v>3245</v>
      </c>
      <c r="N64" t="s">
        <v>578</v>
      </c>
      <c r="O64" t="s">
        <v>1547</v>
      </c>
    </row>
    <row r="65" ht="15.75" customHeight="1">
      <c r="A65" t="s">
        <v>3846</v>
      </c>
      <c r="B65" t="s">
        <v>3834</v>
      </c>
      <c r="C65" t="s">
        <v>3251</v>
      </c>
      <c r="D65" t="s">
        <v>1681</v>
      </c>
      <c r="E65" t="s">
        <v>3764</v>
      </c>
      <c r="F65" t="s">
        <v>3253</v>
      </c>
      <c r="G65">
        <v>2.0</v>
      </c>
      <c r="H65">
        <v>0.0</v>
      </c>
      <c r="I65" t="s">
        <v>3797</v>
      </c>
      <c r="J65" t="s">
        <v>1205</v>
      </c>
      <c r="K65" t="s">
        <v>1205</v>
      </c>
      <c r="L65" t="s">
        <v>3656</v>
      </c>
      <c r="M65" t="s">
        <v>2987</v>
      </c>
      <c r="N65" t="s">
        <v>572</v>
      </c>
      <c r="O65" t="s">
        <v>1547</v>
      </c>
    </row>
    <row r="66" ht="15.75" customHeight="1">
      <c r="A66" t="s">
        <v>3847</v>
      </c>
      <c r="B66" t="s">
        <v>3834</v>
      </c>
      <c r="C66" t="s">
        <v>3251</v>
      </c>
      <c r="D66" t="s">
        <v>1681</v>
      </c>
      <c r="E66" t="s">
        <v>3767</v>
      </c>
      <c r="F66" t="s">
        <v>3254</v>
      </c>
      <c r="G66">
        <v>3.0</v>
      </c>
      <c r="H66">
        <v>2.0</v>
      </c>
      <c r="I66" t="s">
        <v>3781</v>
      </c>
      <c r="J66" t="s">
        <v>1205</v>
      </c>
      <c r="K66" t="s">
        <v>3777</v>
      </c>
      <c r="L66" t="s">
        <v>3656</v>
      </c>
      <c r="M66" t="s">
        <v>3198</v>
      </c>
      <c r="N66" t="s">
        <v>578</v>
      </c>
      <c r="O66" t="s">
        <v>1547</v>
      </c>
    </row>
    <row r="67" ht="15.75" customHeight="1">
      <c r="A67" t="s">
        <v>3848</v>
      </c>
      <c r="B67" t="s">
        <v>3834</v>
      </c>
      <c r="C67" t="s">
        <v>3266</v>
      </c>
      <c r="D67" t="s">
        <v>1681</v>
      </c>
      <c r="E67" t="s">
        <v>3764</v>
      </c>
      <c r="F67" t="s">
        <v>3268</v>
      </c>
      <c r="G67">
        <v>2.0</v>
      </c>
      <c r="H67">
        <v>1.0</v>
      </c>
      <c r="I67" t="s">
        <v>40</v>
      </c>
      <c r="J67" t="s">
        <v>3786</v>
      </c>
      <c r="K67" t="s">
        <v>3786</v>
      </c>
      <c r="L67" t="s">
        <v>3631</v>
      </c>
      <c r="M67" t="s">
        <v>2939</v>
      </c>
      <c r="N67" t="s">
        <v>572</v>
      </c>
      <c r="O67" t="s">
        <v>1547</v>
      </c>
    </row>
    <row r="68" ht="15.75" customHeight="1">
      <c r="A68" t="s">
        <v>3849</v>
      </c>
      <c r="B68" t="s">
        <v>3834</v>
      </c>
      <c r="C68" t="s">
        <v>3266</v>
      </c>
      <c r="D68" t="s">
        <v>1681</v>
      </c>
      <c r="E68" t="s">
        <v>3767</v>
      </c>
      <c r="F68" t="s">
        <v>3269</v>
      </c>
      <c r="G68">
        <v>3.0</v>
      </c>
      <c r="H68">
        <v>3.0</v>
      </c>
      <c r="I68" t="s">
        <v>3788</v>
      </c>
      <c r="J68" t="s">
        <v>3768</v>
      </c>
      <c r="K68" t="s">
        <v>3777</v>
      </c>
      <c r="L68" t="s">
        <v>3656</v>
      </c>
      <c r="M68" t="s">
        <v>2769</v>
      </c>
      <c r="N68" t="s">
        <v>578</v>
      </c>
      <c r="O68" t="s">
        <v>1547</v>
      </c>
    </row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1" width="8.71"/>
  </cols>
  <sheetData>
    <row r="1">
      <c r="A1" t="s">
        <v>3850</v>
      </c>
    </row>
    <row r="4">
      <c r="A4" t="s">
        <v>3851</v>
      </c>
      <c r="F4" t="s">
        <v>3852</v>
      </c>
    </row>
    <row r="5">
      <c r="A5" t="s">
        <v>3561</v>
      </c>
      <c r="B5" t="s">
        <v>67</v>
      </c>
      <c r="D5" t="s">
        <v>3562</v>
      </c>
      <c r="E5" t="s">
        <v>3563</v>
      </c>
      <c r="F5" t="s">
        <v>3561</v>
      </c>
      <c r="G5" t="s">
        <v>67</v>
      </c>
      <c r="I5" t="s">
        <v>3562</v>
      </c>
      <c r="J5" t="s">
        <v>3563</v>
      </c>
    </row>
    <row r="6">
      <c r="A6" t="s">
        <v>3853</v>
      </c>
      <c r="B6">
        <v>24.0</v>
      </c>
      <c r="D6" t="s">
        <v>3854</v>
      </c>
      <c r="E6" t="str">
        <f>B6+B8</f>
        <v>36</v>
      </c>
      <c r="F6" t="s">
        <v>3855</v>
      </c>
      <c r="G6">
        <v>18.0</v>
      </c>
      <c r="I6" t="s">
        <v>3856</v>
      </c>
      <c r="J6" t="str">
        <f>G6+G8</f>
        <v>26</v>
      </c>
    </row>
    <row r="7">
      <c r="A7" t="s">
        <v>3607</v>
      </c>
      <c r="B7">
        <v>20.0</v>
      </c>
      <c r="D7" t="s">
        <v>3857</v>
      </c>
      <c r="E7" t="str">
        <f>MIN(E6,B7+B8)</f>
        <v>32</v>
      </c>
      <c r="F7" t="s">
        <v>3610</v>
      </c>
      <c r="G7">
        <v>15.0</v>
      </c>
      <c r="I7" t="s">
        <v>3858</v>
      </c>
      <c r="J7" t="str">
        <f>MIN(J6,G7+G8)</f>
        <v>23</v>
      </c>
    </row>
    <row r="8">
      <c r="A8" t="s">
        <v>3859</v>
      </c>
      <c r="B8">
        <v>12.0</v>
      </c>
      <c r="D8" t="s">
        <v>3860</v>
      </c>
      <c r="E8" t="str">
        <f>MAX(0,E7-B9)</f>
        <v>27</v>
      </c>
      <c r="F8" t="s">
        <v>3861</v>
      </c>
      <c r="G8">
        <v>8.0</v>
      </c>
      <c r="I8" t="s">
        <v>3862</v>
      </c>
      <c r="J8" t="str">
        <f>MAX(0,J7-G9)</f>
        <v>21</v>
      </c>
    </row>
    <row r="9">
      <c r="A9" t="s">
        <v>3863</v>
      </c>
      <c r="B9">
        <v>5.0</v>
      </c>
      <c r="D9" t="s">
        <v>3864</v>
      </c>
      <c r="E9" t="str">
        <f>MIN(E8,B6)</f>
        <v>24</v>
      </c>
      <c r="F9" t="s">
        <v>3863</v>
      </c>
      <c r="G9">
        <v>2.0</v>
      </c>
      <c r="I9" t="s">
        <v>3865</v>
      </c>
      <c r="J9" t="str">
        <f>MIN(J8,G6)</f>
        <v>18</v>
      </c>
    </row>
    <row r="10">
      <c r="A10" t="s">
        <v>3866</v>
      </c>
      <c r="B10">
        <v>2.0</v>
      </c>
      <c r="D10" t="s">
        <v>1180</v>
      </c>
      <c r="E10" t="s">
        <v>3656</v>
      </c>
      <c r="F10" t="s">
        <v>3866</v>
      </c>
      <c r="G10">
        <v>2.0</v>
      </c>
      <c r="I10" t="s">
        <v>1180</v>
      </c>
      <c r="J10" t="s">
        <v>3656</v>
      </c>
    </row>
    <row r="11">
      <c r="A11" t="s">
        <v>3867</v>
      </c>
      <c r="B11">
        <v>2.0</v>
      </c>
      <c r="D11" t="s">
        <v>3868</v>
      </c>
      <c r="E11" t="s">
        <v>3660</v>
      </c>
      <c r="F11" t="s">
        <v>3867</v>
      </c>
      <c r="G11">
        <v>2.0</v>
      </c>
      <c r="I11" t="s">
        <v>3868</v>
      </c>
      <c r="J11" t="s">
        <v>3664</v>
      </c>
    </row>
    <row r="13">
      <c r="A13" t="s">
        <v>3869</v>
      </c>
    </row>
    <row r="14">
      <c r="A14" t="s">
        <v>3870</v>
      </c>
    </row>
    <row r="15">
      <c r="A15" t="s">
        <v>3871</v>
      </c>
    </row>
    <row r="16">
      <c r="A16" t="s">
        <v>3872</v>
      </c>
    </row>
    <row r="17">
      <c r="A17" t="s">
        <v>3873</v>
      </c>
    </row>
    <row r="18">
      <c r="A18" t="s">
        <v>3874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3.0"/>
    <col customWidth="1" min="2" max="2" width="24.0"/>
    <col customWidth="1" min="3" max="3" width="20.0"/>
    <col customWidth="1" min="4" max="4" width="25.0"/>
    <col customWidth="1" min="5" max="6" width="16.0"/>
    <col customWidth="1" min="7" max="7" width="8.0"/>
    <col customWidth="1" min="8" max="8" width="10.0"/>
    <col customWidth="1" min="9" max="9" width="18.0"/>
    <col customWidth="1" min="10" max="10" width="14.0"/>
    <col customWidth="1" min="11" max="11" width="22.0"/>
    <col customWidth="1" min="12" max="12" width="18.0"/>
    <col customWidth="1" min="13" max="13" width="14.0"/>
    <col customWidth="1" min="14" max="14" width="12.0"/>
    <col customWidth="1" min="15" max="15" width="20.0"/>
    <col customWidth="1" min="16" max="16" width="38.0"/>
    <col customWidth="1" min="17" max="17" width="60.0"/>
  </cols>
  <sheetData>
    <row r="1" ht="27.75" customHeight="1">
      <c r="A1" s="26" t="s">
        <v>3875</v>
      </c>
    </row>
    <row r="2" ht="30.0" customHeight="1">
      <c r="A2" s="27" t="s">
        <v>3876</v>
      </c>
    </row>
    <row r="4" ht="33.75" customHeight="1">
      <c r="A4" s="28" t="s">
        <v>1804</v>
      </c>
      <c r="B4" s="28" t="s">
        <v>3703</v>
      </c>
      <c r="C4" s="28" t="s">
        <v>3877</v>
      </c>
      <c r="D4" s="28" t="s">
        <v>3878</v>
      </c>
      <c r="E4" s="28" t="s">
        <v>2104</v>
      </c>
      <c r="F4" s="28" t="s">
        <v>3879</v>
      </c>
      <c r="G4" s="28" t="s">
        <v>1179</v>
      </c>
      <c r="H4" s="28" t="s">
        <v>1180</v>
      </c>
      <c r="I4" s="28" t="s">
        <v>2333</v>
      </c>
      <c r="J4" s="28" t="s">
        <v>565</v>
      </c>
      <c r="K4" s="28" t="s">
        <v>3704</v>
      </c>
      <c r="L4" s="28" t="s">
        <v>3880</v>
      </c>
      <c r="M4" s="28" t="s">
        <v>3761</v>
      </c>
      <c r="N4" s="28" t="s">
        <v>3881</v>
      </c>
      <c r="O4" s="28" t="s">
        <v>3882</v>
      </c>
      <c r="P4" s="28" t="s">
        <v>3883</v>
      </c>
      <c r="Q4" s="28" t="s">
        <v>3884</v>
      </c>
    </row>
    <row r="5">
      <c r="A5" s="25" t="s">
        <v>3885</v>
      </c>
      <c r="B5" s="25" t="s">
        <v>3886</v>
      </c>
      <c r="C5" s="25" t="s">
        <v>3887</v>
      </c>
      <c r="D5" s="25" t="s">
        <v>2450</v>
      </c>
      <c r="E5" s="25" t="s">
        <v>2109</v>
      </c>
      <c r="F5" s="25" t="s">
        <v>2132</v>
      </c>
      <c r="G5" s="25">
        <v>1.0</v>
      </c>
      <c r="H5" s="25">
        <v>0.0</v>
      </c>
      <c r="I5" s="25" t="s">
        <v>2175</v>
      </c>
      <c r="J5" s="25" t="s">
        <v>98</v>
      </c>
      <c r="K5" s="25" t="s">
        <v>2132</v>
      </c>
      <c r="L5" s="25" t="s">
        <v>2673</v>
      </c>
      <c r="M5" s="25" t="s">
        <v>2674</v>
      </c>
      <c r="N5" s="25">
        <v>1.0</v>
      </c>
      <c r="O5" s="25" t="s">
        <v>3888</v>
      </c>
      <c r="P5" s="25"/>
      <c r="Q5" s="25" t="s">
        <v>2675</v>
      </c>
    </row>
    <row r="6">
      <c r="A6" s="25" t="s">
        <v>3889</v>
      </c>
      <c r="B6" s="25" t="s">
        <v>3890</v>
      </c>
      <c r="C6" s="25" t="s">
        <v>3887</v>
      </c>
      <c r="D6" s="25" t="s">
        <v>2455</v>
      </c>
      <c r="E6" s="25" t="s">
        <v>2109</v>
      </c>
      <c r="F6" s="25" t="s">
        <v>2132</v>
      </c>
      <c r="G6" s="25">
        <v>1.0</v>
      </c>
      <c r="H6" s="25">
        <v>0.0</v>
      </c>
      <c r="I6" s="25" t="s">
        <v>570</v>
      </c>
      <c r="J6" s="25" t="s">
        <v>89</v>
      </c>
      <c r="K6" s="25" t="s">
        <v>2132</v>
      </c>
      <c r="L6" s="25" t="s">
        <v>2677</v>
      </c>
      <c r="M6" s="25" t="s">
        <v>2674</v>
      </c>
      <c r="N6" s="25">
        <v>1.0</v>
      </c>
      <c r="O6" s="25" t="s">
        <v>3888</v>
      </c>
      <c r="P6" s="25"/>
      <c r="Q6" s="25" t="s">
        <v>2678</v>
      </c>
    </row>
    <row r="7">
      <c r="A7" s="25" t="s">
        <v>3891</v>
      </c>
      <c r="B7" s="25" t="s">
        <v>3892</v>
      </c>
      <c r="C7" s="25" t="s">
        <v>3887</v>
      </c>
      <c r="D7" s="25" t="s">
        <v>2459</v>
      </c>
      <c r="E7" s="25" t="s">
        <v>2109</v>
      </c>
      <c r="F7" s="25" t="s">
        <v>2132</v>
      </c>
      <c r="G7" s="25">
        <v>1.0</v>
      </c>
      <c r="H7" s="25">
        <v>0.0</v>
      </c>
      <c r="I7" s="25" t="s">
        <v>2175</v>
      </c>
      <c r="J7" s="25" t="s">
        <v>98</v>
      </c>
      <c r="K7" s="25" t="s">
        <v>2132</v>
      </c>
      <c r="L7" s="25" t="s">
        <v>2679</v>
      </c>
      <c r="M7" s="25" t="s">
        <v>2674</v>
      </c>
      <c r="N7" s="25">
        <v>1.0</v>
      </c>
      <c r="O7" s="25" t="s">
        <v>3888</v>
      </c>
      <c r="P7" s="25"/>
      <c r="Q7" s="25" t="s">
        <v>2675</v>
      </c>
    </row>
    <row r="8">
      <c r="A8" s="25" t="s">
        <v>3893</v>
      </c>
      <c r="B8" s="25" t="s">
        <v>3894</v>
      </c>
      <c r="C8" s="25" t="s">
        <v>3887</v>
      </c>
      <c r="D8" s="25" t="s">
        <v>2461</v>
      </c>
      <c r="E8" s="25" t="s">
        <v>2109</v>
      </c>
      <c r="F8" s="25" t="s">
        <v>2132</v>
      </c>
      <c r="G8" s="25">
        <v>1.0</v>
      </c>
      <c r="H8" s="25">
        <v>0.0</v>
      </c>
      <c r="I8" s="25" t="s">
        <v>573</v>
      </c>
      <c r="J8" s="25" t="s">
        <v>94</v>
      </c>
      <c r="K8" s="25" t="s">
        <v>2132</v>
      </c>
      <c r="L8" s="25" t="s">
        <v>2680</v>
      </c>
      <c r="M8" s="25" t="s">
        <v>2674</v>
      </c>
      <c r="N8" s="25">
        <v>1.0</v>
      </c>
      <c r="O8" s="25" t="s">
        <v>3888</v>
      </c>
      <c r="P8" s="25"/>
      <c r="Q8" s="25" t="s">
        <v>2681</v>
      </c>
    </row>
    <row r="9">
      <c r="A9" s="25" t="s">
        <v>3895</v>
      </c>
      <c r="B9" s="25" t="s">
        <v>3896</v>
      </c>
      <c r="C9" s="25" t="s">
        <v>3887</v>
      </c>
      <c r="D9" s="25" t="s">
        <v>2464</v>
      </c>
      <c r="E9" s="25" t="s">
        <v>2109</v>
      </c>
      <c r="F9" s="25" t="s">
        <v>2132</v>
      </c>
      <c r="G9" s="25">
        <v>1.0</v>
      </c>
      <c r="H9" s="25">
        <v>0.0</v>
      </c>
      <c r="I9" s="25" t="s">
        <v>2175</v>
      </c>
      <c r="J9" s="25" t="s">
        <v>98</v>
      </c>
      <c r="K9" s="25" t="s">
        <v>2132</v>
      </c>
      <c r="L9" s="25" t="s">
        <v>2682</v>
      </c>
      <c r="M9" s="25" t="s">
        <v>2674</v>
      </c>
      <c r="N9" s="25">
        <v>1.0</v>
      </c>
      <c r="O9" s="25" t="s">
        <v>3888</v>
      </c>
      <c r="P9" s="25"/>
      <c r="Q9" s="25" t="s">
        <v>2675</v>
      </c>
    </row>
    <row r="10">
      <c r="A10" s="25" t="s">
        <v>3708</v>
      </c>
      <c r="B10" s="25" t="s">
        <v>2350</v>
      </c>
      <c r="C10" s="25" t="s">
        <v>3897</v>
      </c>
      <c r="D10" s="25" t="s">
        <v>1855</v>
      </c>
      <c r="E10" s="25" t="s">
        <v>2109</v>
      </c>
      <c r="F10" s="25" t="s">
        <v>2337</v>
      </c>
      <c r="G10" s="25">
        <v>2.0</v>
      </c>
      <c r="H10" s="25">
        <v>0.0</v>
      </c>
      <c r="I10" s="25" t="s">
        <v>573</v>
      </c>
      <c r="J10" s="25" t="s">
        <v>94</v>
      </c>
      <c r="K10" s="25" t="s">
        <v>3709</v>
      </c>
      <c r="L10" s="25" t="s">
        <v>1855</v>
      </c>
      <c r="M10" s="25"/>
      <c r="N10" s="25">
        <v>2.0</v>
      </c>
      <c r="O10" s="25" t="s">
        <v>3888</v>
      </c>
      <c r="P10" s="25"/>
      <c r="Q10" s="25" t="s">
        <v>2351</v>
      </c>
    </row>
    <row r="11">
      <c r="A11" s="25" t="s">
        <v>3711</v>
      </c>
      <c r="B11" s="25" t="s">
        <v>2352</v>
      </c>
      <c r="C11" s="25" t="s">
        <v>3897</v>
      </c>
      <c r="D11" s="25" t="s">
        <v>1855</v>
      </c>
      <c r="E11" s="25" t="s">
        <v>2109</v>
      </c>
      <c r="F11" s="25" t="s">
        <v>2342</v>
      </c>
      <c r="G11" s="25">
        <v>3.0</v>
      </c>
      <c r="H11" s="25">
        <v>1.0</v>
      </c>
      <c r="I11" s="25" t="s">
        <v>573</v>
      </c>
      <c r="J11" s="25" t="s">
        <v>94</v>
      </c>
      <c r="K11" s="25" t="s">
        <v>3712</v>
      </c>
      <c r="L11" s="25" t="s">
        <v>1855</v>
      </c>
      <c r="M11" s="25"/>
      <c r="N11" s="25">
        <v>2.0</v>
      </c>
      <c r="O11" s="25" t="s">
        <v>3888</v>
      </c>
      <c r="P11" s="25"/>
      <c r="Q11" s="25" t="s">
        <v>2353</v>
      </c>
    </row>
    <row r="12">
      <c r="A12" s="25" t="s">
        <v>3714</v>
      </c>
      <c r="B12" s="25" t="s">
        <v>2357</v>
      </c>
      <c r="C12" s="25" t="s">
        <v>3897</v>
      </c>
      <c r="D12" s="25" t="s">
        <v>1972</v>
      </c>
      <c r="E12" s="25" t="s">
        <v>2109</v>
      </c>
      <c r="F12" s="25" t="s">
        <v>2337</v>
      </c>
      <c r="G12" s="25">
        <v>2.0</v>
      </c>
      <c r="H12" s="25">
        <v>0.0</v>
      </c>
      <c r="I12" s="25" t="s">
        <v>573</v>
      </c>
      <c r="J12" s="25" t="s">
        <v>94</v>
      </c>
      <c r="K12" s="25" t="s">
        <v>3709</v>
      </c>
      <c r="L12" s="25" t="s">
        <v>1972</v>
      </c>
      <c r="M12" s="25"/>
      <c r="N12" s="25">
        <v>1.0</v>
      </c>
      <c r="O12" s="25" t="s">
        <v>3888</v>
      </c>
      <c r="P12" s="25"/>
      <c r="Q12" s="25" t="s">
        <v>2358</v>
      </c>
    </row>
    <row r="13">
      <c r="A13" s="25" t="s">
        <v>3715</v>
      </c>
      <c r="B13" s="25" t="s">
        <v>2359</v>
      </c>
      <c r="C13" s="25" t="s">
        <v>3897</v>
      </c>
      <c r="D13" s="25" t="s">
        <v>1972</v>
      </c>
      <c r="E13" s="25" t="s">
        <v>2109</v>
      </c>
      <c r="F13" s="25" t="s">
        <v>2342</v>
      </c>
      <c r="G13" s="25">
        <v>3.0</v>
      </c>
      <c r="H13" s="25">
        <v>1.0</v>
      </c>
      <c r="I13" s="25" t="s">
        <v>573</v>
      </c>
      <c r="J13" s="25" t="s">
        <v>94</v>
      </c>
      <c r="K13" s="25" t="s">
        <v>3712</v>
      </c>
      <c r="L13" s="25" t="s">
        <v>1972</v>
      </c>
      <c r="M13" s="25"/>
      <c r="N13" s="25">
        <v>2.0</v>
      </c>
      <c r="O13" s="25" t="s">
        <v>3888</v>
      </c>
      <c r="P13" s="25"/>
      <c r="Q13" s="25" t="s">
        <v>2360</v>
      </c>
    </row>
    <row r="14">
      <c r="A14" s="25" t="s">
        <v>3716</v>
      </c>
      <c r="B14" s="25" t="s">
        <v>2362</v>
      </c>
      <c r="C14" s="25" t="s">
        <v>3897</v>
      </c>
      <c r="D14" s="25" t="s">
        <v>1985</v>
      </c>
      <c r="E14" s="25" t="s">
        <v>2109</v>
      </c>
      <c r="F14" s="25" t="s">
        <v>2337</v>
      </c>
      <c r="G14" s="25">
        <v>2.0</v>
      </c>
      <c r="H14" s="25">
        <v>0.0</v>
      </c>
      <c r="I14" s="25" t="s">
        <v>573</v>
      </c>
      <c r="J14" s="25" t="s">
        <v>94</v>
      </c>
      <c r="K14" s="25" t="s">
        <v>3709</v>
      </c>
      <c r="L14" s="25" t="s">
        <v>1985</v>
      </c>
      <c r="M14" s="25"/>
      <c r="N14" s="25">
        <v>2.0</v>
      </c>
      <c r="O14" s="25" t="s">
        <v>3888</v>
      </c>
      <c r="P14" s="25"/>
      <c r="Q14" s="25" t="s">
        <v>2363</v>
      </c>
    </row>
    <row r="15">
      <c r="A15" s="25" t="s">
        <v>3717</v>
      </c>
      <c r="B15" s="25" t="s">
        <v>2364</v>
      </c>
      <c r="C15" s="25" t="s">
        <v>3897</v>
      </c>
      <c r="D15" s="25" t="s">
        <v>1985</v>
      </c>
      <c r="E15" s="25" t="s">
        <v>2109</v>
      </c>
      <c r="F15" s="25" t="s">
        <v>2342</v>
      </c>
      <c r="G15" s="25">
        <v>3.0</v>
      </c>
      <c r="H15" s="25">
        <v>1.0</v>
      </c>
      <c r="I15" s="25" t="s">
        <v>573</v>
      </c>
      <c r="J15" s="25" t="s">
        <v>94</v>
      </c>
      <c r="K15" s="25" t="s">
        <v>3712</v>
      </c>
      <c r="L15" s="25" t="s">
        <v>1985</v>
      </c>
      <c r="M15" s="25"/>
      <c r="N15" s="25">
        <v>2.0</v>
      </c>
      <c r="O15" s="25" t="s">
        <v>3888</v>
      </c>
      <c r="P15" s="25"/>
      <c r="Q15" s="25" t="s">
        <v>2365</v>
      </c>
    </row>
    <row r="16">
      <c r="A16" s="25" t="s">
        <v>3718</v>
      </c>
      <c r="B16" s="25" t="s">
        <v>2368</v>
      </c>
      <c r="C16" s="25" t="s">
        <v>3897</v>
      </c>
      <c r="D16" s="25" t="s">
        <v>1870</v>
      </c>
      <c r="E16" s="25" t="s">
        <v>2109</v>
      </c>
      <c r="F16" s="25" t="s">
        <v>2337</v>
      </c>
      <c r="G16" s="25">
        <v>2.0</v>
      </c>
      <c r="H16" s="25">
        <v>0.0</v>
      </c>
      <c r="I16" s="25" t="s">
        <v>573</v>
      </c>
      <c r="J16" s="25" t="s">
        <v>94</v>
      </c>
      <c r="K16" s="25" t="s">
        <v>3709</v>
      </c>
      <c r="L16" s="25" t="s">
        <v>1870</v>
      </c>
      <c r="M16" s="25"/>
      <c r="N16" s="25">
        <v>1.0</v>
      </c>
      <c r="O16" s="25" t="s">
        <v>3888</v>
      </c>
      <c r="P16" s="25"/>
      <c r="Q16" s="25" t="s">
        <v>2358</v>
      </c>
    </row>
    <row r="17">
      <c r="A17" s="25" t="s">
        <v>3719</v>
      </c>
      <c r="B17" s="25" t="s">
        <v>2369</v>
      </c>
      <c r="C17" s="25" t="s">
        <v>3897</v>
      </c>
      <c r="D17" s="25" t="s">
        <v>1870</v>
      </c>
      <c r="E17" s="25" t="s">
        <v>2109</v>
      </c>
      <c r="F17" s="25" t="s">
        <v>2342</v>
      </c>
      <c r="G17" s="25">
        <v>3.0</v>
      </c>
      <c r="H17" s="25">
        <v>1.0</v>
      </c>
      <c r="I17" s="25" t="s">
        <v>573</v>
      </c>
      <c r="J17" s="25" t="s">
        <v>94</v>
      </c>
      <c r="K17" s="25" t="s">
        <v>3712</v>
      </c>
      <c r="L17" s="25" t="s">
        <v>1870</v>
      </c>
      <c r="M17" s="25"/>
      <c r="N17" s="25">
        <v>2.0</v>
      </c>
      <c r="O17" s="25" t="s">
        <v>3888</v>
      </c>
      <c r="P17" s="25"/>
      <c r="Q17" s="25" t="s">
        <v>2370</v>
      </c>
    </row>
    <row r="18">
      <c r="A18" s="25" t="s">
        <v>3720</v>
      </c>
      <c r="B18" s="25" t="s">
        <v>2373</v>
      </c>
      <c r="C18" s="25" t="s">
        <v>3897</v>
      </c>
      <c r="D18" s="25" t="s">
        <v>1994</v>
      </c>
      <c r="E18" s="25" t="s">
        <v>2109</v>
      </c>
      <c r="F18" s="25" t="s">
        <v>2337</v>
      </c>
      <c r="G18" s="25">
        <v>2.0</v>
      </c>
      <c r="H18" s="25">
        <v>0.0</v>
      </c>
      <c r="I18" s="25" t="s">
        <v>570</v>
      </c>
      <c r="J18" s="25" t="s">
        <v>89</v>
      </c>
      <c r="K18" s="25" t="s">
        <v>3721</v>
      </c>
      <c r="L18" s="25" t="s">
        <v>1994</v>
      </c>
      <c r="M18" s="25"/>
      <c r="N18" s="25">
        <v>2.0</v>
      </c>
      <c r="O18" s="25" t="s">
        <v>3888</v>
      </c>
      <c r="P18" s="25"/>
      <c r="Q18" s="25" t="s">
        <v>2374</v>
      </c>
    </row>
    <row r="19">
      <c r="A19" s="25" t="s">
        <v>3723</v>
      </c>
      <c r="B19" s="25" t="s">
        <v>2375</v>
      </c>
      <c r="C19" s="25" t="s">
        <v>3897</v>
      </c>
      <c r="D19" s="25" t="s">
        <v>1994</v>
      </c>
      <c r="E19" s="25" t="s">
        <v>2109</v>
      </c>
      <c r="F19" s="25" t="s">
        <v>2342</v>
      </c>
      <c r="G19" s="25">
        <v>3.0</v>
      </c>
      <c r="H19" s="25">
        <v>2.0</v>
      </c>
      <c r="I19" s="25" t="s">
        <v>570</v>
      </c>
      <c r="J19" s="25" t="s">
        <v>89</v>
      </c>
      <c r="K19" s="25" t="s">
        <v>3712</v>
      </c>
      <c r="L19" s="25" t="s">
        <v>1994</v>
      </c>
      <c r="M19" s="25"/>
      <c r="N19" s="25">
        <v>2.0</v>
      </c>
      <c r="O19" s="25" t="s">
        <v>3888</v>
      </c>
      <c r="P19" s="25"/>
      <c r="Q19" s="25" t="s">
        <v>2376</v>
      </c>
    </row>
    <row r="20">
      <c r="A20" s="25" t="s">
        <v>3725</v>
      </c>
      <c r="B20" s="25" t="s">
        <v>2379</v>
      </c>
      <c r="C20" s="25" t="s">
        <v>3897</v>
      </c>
      <c r="D20" s="25" t="s">
        <v>2009</v>
      </c>
      <c r="E20" s="25" t="s">
        <v>2109</v>
      </c>
      <c r="F20" s="25" t="s">
        <v>2337</v>
      </c>
      <c r="G20" s="25">
        <v>2.0</v>
      </c>
      <c r="H20" s="25">
        <v>0.0</v>
      </c>
      <c r="I20" s="25" t="s">
        <v>2175</v>
      </c>
      <c r="J20" s="25" t="s">
        <v>98</v>
      </c>
      <c r="K20" s="25" t="s">
        <v>3709</v>
      </c>
      <c r="L20" s="25" t="s">
        <v>2009</v>
      </c>
      <c r="M20" s="25"/>
      <c r="N20" s="25">
        <v>1.0</v>
      </c>
      <c r="O20" s="25" t="s">
        <v>3888</v>
      </c>
      <c r="P20" s="25"/>
      <c r="Q20" s="25" t="s">
        <v>2380</v>
      </c>
    </row>
    <row r="21" ht="15.75" customHeight="1">
      <c r="A21" s="25" t="s">
        <v>3726</v>
      </c>
      <c r="B21" s="25" t="s">
        <v>2381</v>
      </c>
      <c r="C21" s="25" t="s">
        <v>3897</v>
      </c>
      <c r="D21" s="25" t="s">
        <v>2009</v>
      </c>
      <c r="E21" s="25" t="s">
        <v>2109</v>
      </c>
      <c r="F21" s="25" t="s">
        <v>2342</v>
      </c>
      <c r="G21" s="25">
        <v>3.0</v>
      </c>
      <c r="H21" s="25">
        <v>2.0</v>
      </c>
      <c r="I21" s="25" t="s">
        <v>2175</v>
      </c>
      <c r="J21" s="25" t="s">
        <v>98</v>
      </c>
      <c r="K21" s="25" t="s">
        <v>582</v>
      </c>
      <c r="L21" s="25" t="s">
        <v>2009</v>
      </c>
      <c r="M21" s="25"/>
      <c r="N21" s="25">
        <v>1.0</v>
      </c>
      <c r="O21" s="25" t="s">
        <v>3888</v>
      </c>
      <c r="P21" s="25"/>
      <c r="Q21" s="25" t="s">
        <v>2382</v>
      </c>
    </row>
    <row r="22" ht="15.75" customHeight="1">
      <c r="A22" s="25" t="s">
        <v>3728</v>
      </c>
      <c r="B22" s="25" t="s">
        <v>2385</v>
      </c>
      <c r="C22" s="25" t="s">
        <v>3897</v>
      </c>
      <c r="D22" s="25" t="s">
        <v>2015</v>
      </c>
      <c r="E22" s="25" t="s">
        <v>2109</v>
      </c>
      <c r="F22" s="25" t="s">
        <v>2337</v>
      </c>
      <c r="G22" s="25">
        <v>2.0</v>
      </c>
      <c r="H22" s="25">
        <v>0.0</v>
      </c>
      <c r="I22" s="25" t="s">
        <v>2175</v>
      </c>
      <c r="J22" s="25" t="s">
        <v>98</v>
      </c>
      <c r="K22" s="25" t="s">
        <v>3712</v>
      </c>
      <c r="L22" s="25" t="s">
        <v>2015</v>
      </c>
      <c r="M22" s="25"/>
      <c r="N22" s="25">
        <v>2.0</v>
      </c>
      <c r="O22" s="25" t="s">
        <v>3898</v>
      </c>
      <c r="P22" s="25" t="s">
        <v>3899</v>
      </c>
      <c r="Q22" s="25" t="s">
        <v>2386</v>
      </c>
    </row>
    <row r="23" ht="15.75" customHeight="1">
      <c r="A23" s="25" t="s">
        <v>3730</v>
      </c>
      <c r="B23" s="25" t="s">
        <v>2387</v>
      </c>
      <c r="C23" s="25" t="s">
        <v>3897</v>
      </c>
      <c r="D23" s="25" t="s">
        <v>2015</v>
      </c>
      <c r="E23" s="25" t="s">
        <v>2109</v>
      </c>
      <c r="F23" s="25" t="s">
        <v>2342</v>
      </c>
      <c r="G23" s="25">
        <v>3.0</v>
      </c>
      <c r="H23" s="25">
        <v>1.0</v>
      </c>
      <c r="I23" s="25" t="s">
        <v>2175</v>
      </c>
      <c r="J23" s="25" t="s">
        <v>98</v>
      </c>
      <c r="K23" s="25" t="s">
        <v>3712</v>
      </c>
      <c r="L23" s="25" t="s">
        <v>2015</v>
      </c>
      <c r="M23" s="25"/>
      <c r="N23" s="25">
        <v>2.0</v>
      </c>
      <c r="O23" s="25" t="s">
        <v>3888</v>
      </c>
      <c r="P23" s="25"/>
      <c r="Q23" s="25" t="s">
        <v>2388</v>
      </c>
    </row>
    <row r="24" ht="15.75" customHeight="1">
      <c r="A24" s="25" t="s">
        <v>3731</v>
      </c>
      <c r="B24" s="25" t="s">
        <v>2390</v>
      </c>
      <c r="C24" s="25" t="s">
        <v>3897</v>
      </c>
      <c r="D24" s="25" t="s">
        <v>1817</v>
      </c>
      <c r="E24" s="25" t="s">
        <v>2109</v>
      </c>
      <c r="F24" s="25" t="s">
        <v>2337</v>
      </c>
      <c r="G24" s="25">
        <v>2.0</v>
      </c>
      <c r="H24" s="25">
        <v>0.0</v>
      </c>
      <c r="I24" s="25" t="s">
        <v>2175</v>
      </c>
      <c r="J24" s="25" t="s">
        <v>98</v>
      </c>
      <c r="K24" s="25" t="s">
        <v>3712</v>
      </c>
      <c r="L24" s="25" t="s">
        <v>1817</v>
      </c>
      <c r="M24" s="25"/>
      <c r="N24" s="25">
        <v>2.0</v>
      </c>
      <c r="O24" s="25" t="s">
        <v>3898</v>
      </c>
      <c r="P24" s="25" t="s">
        <v>3899</v>
      </c>
      <c r="Q24" s="25" t="s">
        <v>2391</v>
      </c>
    </row>
    <row r="25" ht="15.75" customHeight="1">
      <c r="A25" s="25" t="s">
        <v>3732</v>
      </c>
      <c r="B25" s="25" t="s">
        <v>2392</v>
      </c>
      <c r="C25" s="25" t="s">
        <v>3897</v>
      </c>
      <c r="D25" s="25" t="s">
        <v>1817</v>
      </c>
      <c r="E25" s="25" t="s">
        <v>2109</v>
      </c>
      <c r="F25" s="25" t="s">
        <v>2342</v>
      </c>
      <c r="G25" s="25">
        <v>3.0</v>
      </c>
      <c r="H25" s="25">
        <v>2.0</v>
      </c>
      <c r="I25" s="25" t="s">
        <v>2175</v>
      </c>
      <c r="J25" s="25" t="s">
        <v>98</v>
      </c>
      <c r="K25" s="25" t="s">
        <v>582</v>
      </c>
      <c r="L25" s="25" t="s">
        <v>1817</v>
      </c>
      <c r="M25" s="25"/>
      <c r="N25" s="25">
        <v>2.0</v>
      </c>
      <c r="O25" s="25" t="s">
        <v>3898</v>
      </c>
      <c r="P25" s="25" t="s">
        <v>3900</v>
      </c>
      <c r="Q25" s="25" t="s">
        <v>2393</v>
      </c>
    </row>
    <row r="26" ht="15.75" customHeight="1">
      <c r="A26" s="25" t="s">
        <v>3733</v>
      </c>
      <c r="B26" s="25" t="s">
        <v>2396</v>
      </c>
      <c r="C26" s="25" t="s">
        <v>3897</v>
      </c>
      <c r="D26" s="25" t="s">
        <v>2022</v>
      </c>
      <c r="E26" s="25" t="s">
        <v>2109</v>
      </c>
      <c r="F26" s="25" t="s">
        <v>2337</v>
      </c>
      <c r="G26" s="25">
        <v>2.0</v>
      </c>
      <c r="H26" s="25">
        <v>0.0</v>
      </c>
      <c r="I26" s="25" t="s">
        <v>2175</v>
      </c>
      <c r="J26" s="25" t="s">
        <v>98</v>
      </c>
      <c r="K26" s="25" t="s">
        <v>3709</v>
      </c>
      <c r="L26" s="25" t="s">
        <v>2022</v>
      </c>
      <c r="M26" s="25"/>
      <c r="N26" s="25">
        <v>1.0</v>
      </c>
      <c r="O26" s="25" t="s">
        <v>3888</v>
      </c>
      <c r="P26" s="25"/>
      <c r="Q26" s="25" t="s">
        <v>2380</v>
      </c>
    </row>
    <row r="27" ht="15.75" customHeight="1">
      <c r="A27" s="25" t="s">
        <v>3734</v>
      </c>
      <c r="B27" s="25" t="s">
        <v>2397</v>
      </c>
      <c r="C27" s="25" t="s">
        <v>3897</v>
      </c>
      <c r="D27" s="25" t="s">
        <v>2022</v>
      </c>
      <c r="E27" s="25" t="s">
        <v>2109</v>
      </c>
      <c r="F27" s="25" t="s">
        <v>2342</v>
      </c>
      <c r="G27" s="25">
        <v>3.0</v>
      </c>
      <c r="H27" s="25">
        <v>1.0</v>
      </c>
      <c r="I27" s="25" t="s">
        <v>2175</v>
      </c>
      <c r="J27" s="25" t="s">
        <v>98</v>
      </c>
      <c r="K27" s="25" t="s">
        <v>582</v>
      </c>
      <c r="L27" s="25" t="s">
        <v>2022</v>
      </c>
      <c r="M27" s="25"/>
      <c r="N27" s="25">
        <v>1.0</v>
      </c>
      <c r="O27" s="25" t="s">
        <v>3888</v>
      </c>
      <c r="P27" s="25"/>
      <c r="Q27" s="25" t="s">
        <v>2398</v>
      </c>
    </row>
    <row r="28" ht="15.75" customHeight="1">
      <c r="A28" s="25" t="s">
        <v>3736</v>
      </c>
      <c r="B28" s="25" t="s">
        <v>2401</v>
      </c>
      <c r="C28" s="25" t="s">
        <v>3897</v>
      </c>
      <c r="D28" s="25" t="s">
        <v>1862</v>
      </c>
      <c r="E28" s="25" t="s">
        <v>2109</v>
      </c>
      <c r="F28" s="25" t="s">
        <v>2337</v>
      </c>
      <c r="G28" s="25">
        <v>2.0</v>
      </c>
      <c r="H28" s="25">
        <v>0.0</v>
      </c>
      <c r="I28" s="25" t="s">
        <v>573</v>
      </c>
      <c r="J28" s="25" t="s">
        <v>94</v>
      </c>
      <c r="K28" s="25" t="s">
        <v>3709</v>
      </c>
      <c r="L28" s="25" t="s">
        <v>1862</v>
      </c>
      <c r="M28" s="25"/>
      <c r="N28" s="25">
        <v>1.0</v>
      </c>
      <c r="O28" s="25" t="s">
        <v>3888</v>
      </c>
      <c r="P28" s="25"/>
      <c r="Q28" s="25" t="s">
        <v>2402</v>
      </c>
    </row>
    <row r="29" ht="15.75" customHeight="1">
      <c r="A29" s="25" t="s">
        <v>3737</v>
      </c>
      <c r="B29" s="25" t="s">
        <v>2403</v>
      </c>
      <c r="C29" s="25" t="s">
        <v>3897</v>
      </c>
      <c r="D29" s="25" t="s">
        <v>1862</v>
      </c>
      <c r="E29" s="25" t="s">
        <v>2109</v>
      </c>
      <c r="F29" s="25" t="s">
        <v>2342</v>
      </c>
      <c r="G29" s="25">
        <v>3.0</v>
      </c>
      <c r="H29" s="25">
        <v>1.0</v>
      </c>
      <c r="I29" s="25" t="s">
        <v>573</v>
      </c>
      <c r="J29" s="25" t="s">
        <v>94</v>
      </c>
      <c r="K29" s="25" t="s">
        <v>3721</v>
      </c>
      <c r="L29" s="25" t="s">
        <v>1862</v>
      </c>
      <c r="M29" s="25"/>
      <c r="N29" s="25">
        <v>2.0</v>
      </c>
      <c r="O29" s="25" t="s">
        <v>3888</v>
      </c>
      <c r="P29" s="25"/>
      <c r="Q29" s="25" t="s">
        <v>2404</v>
      </c>
    </row>
    <row r="30" ht="15.75" customHeight="1">
      <c r="A30" s="25" t="s">
        <v>3739</v>
      </c>
      <c r="B30" s="25" t="s">
        <v>2407</v>
      </c>
      <c r="C30" s="25" t="s">
        <v>3897</v>
      </c>
      <c r="D30" s="25" t="s">
        <v>1998</v>
      </c>
      <c r="E30" s="25" t="s">
        <v>2109</v>
      </c>
      <c r="F30" s="25" t="s">
        <v>2337</v>
      </c>
      <c r="G30" s="25">
        <v>2.0</v>
      </c>
      <c r="H30" s="25">
        <v>0.0</v>
      </c>
      <c r="I30" s="25" t="s">
        <v>570</v>
      </c>
      <c r="J30" s="25" t="s">
        <v>89</v>
      </c>
      <c r="K30" s="25" t="s">
        <v>3709</v>
      </c>
      <c r="L30" s="25" t="s">
        <v>1998</v>
      </c>
      <c r="M30" s="25"/>
      <c r="N30" s="25">
        <v>1.0</v>
      </c>
      <c r="O30" s="25" t="s">
        <v>3888</v>
      </c>
      <c r="P30" s="25"/>
      <c r="Q30" s="25" t="s">
        <v>2408</v>
      </c>
    </row>
    <row r="31" ht="15.75" customHeight="1">
      <c r="A31" s="25" t="s">
        <v>3740</v>
      </c>
      <c r="B31" s="25" t="s">
        <v>2409</v>
      </c>
      <c r="C31" s="25" t="s">
        <v>3897</v>
      </c>
      <c r="D31" s="25" t="s">
        <v>1998</v>
      </c>
      <c r="E31" s="25" t="s">
        <v>2109</v>
      </c>
      <c r="F31" s="25" t="s">
        <v>2342</v>
      </c>
      <c r="G31" s="25">
        <v>3.0</v>
      </c>
      <c r="H31" s="25">
        <v>1.0</v>
      </c>
      <c r="I31" s="25" t="s">
        <v>570</v>
      </c>
      <c r="J31" s="25" t="s">
        <v>89</v>
      </c>
      <c r="K31" s="25" t="s">
        <v>3712</v>
      </c>
      <c r="L31" s="25" t="s">
        <v>1998</v>
      </c>
      <c r="M31" s="25"/>
      <c r="N31" s="25">
        <v>2.0</v>
      </c>
      <c r="O31" s="25" t="s">
        <v>3888</v>
      </c>
      <c r="P31" s="25"/>
      <c r="Q31" s="25" t="s">
        <v>2410</v>
      </c>
    </row>
    <row r="32" ht="15.75" customHeight="1">
      <c r="A32" s="25" t="s">
        <v>3741</v>
      </c>
      <c r="B32" s="25" t="s">
        <v>2413</v>
      </c>
      <c r="C32" s="25" t="s">
        <v>3897</v>
      </c>
      <c r="D32" s="25" t="s">
        <v>2023</v>
      </c>
      <c r="E32" s="25" t="s">
        <v>2109</v>
      </c>
      <c r="F32" s="25" t="s">
        <v>2337</v>
      </c>
      <c r="G32" s="25">
        <v>2.0</v>
      </c>
      <c r="H32" s="25">
        <v>0.0</v>
      </c>
      <c r="I32" s="25" t="s">
        <v>2175</v>
      </c>
      <c r="J32" s="25" t="s">
        <v>98</v>
      </c>
      <c r="K32" s="25" t="s">
        <v>3709</v>
      </c>
      <c r="L32" s="25" t="s">
        <v>2023</v>
      </c>
      <c r="M32" s="25"/>
      <c r="N32" s="25">
        <v>1.0</v>
      </c>
      <c r="O32" s="25" t="s">
        <v>3888</v>
      </c>
      <c r="P32" s="25"/>
      <c r="Q32" s="25" t="s">
        <v>2380</v>
      </c>
    </row>
    <row r="33" ht="15.75" customHeight="1">
      <c r="A33" s="25" t="s">
        <v>3742</v>
      </c>
      <c r="B33" s="25" t="s">
        <v>2414</v>
      </c>
      <c r="C33" s="25" t="s">
        <v>3897</v>
      </c>
      <c r="D33" s="25" t="s">
        <v>2023</v>
      </c>
      <c r="E33" s="25" t="s">
        <v>2109</v>
      </c>
      <c r="F33" s="25" t="s">
        <v>2342</v>
      </c>
      <c r="G33" s="25">
        <v>3.0</v>
      </c>
      <c r="H33" s="25">
        <v>2.0</v>
      </c>
      <c r="I33" s="25" t="s">
        <v>2175</v>
      </c>
      <c r="J33" s="25" t="s">
        <v>98</v>
      </c>
      <c r="K33" s="25" t="s">
        <v>582</v>
      </c>
      <c r="L33" s="25" t="s">
        <v>2023</v>
      </c>
      <c r="M33" s="25"/>
      <c r="N33" s="25">
        <v>1.0</v>
      </c>
      <c r="O33" s="25" t="s">
        <v>3888</v>
      </c>
      <c r="P33" s="25"/>
      <c r="Q33" s="25" t="s">
        <v>2415</v>
      </c>
    </row>
    <row r="34" ht="15.75" customHeight="1">
      <c r="A34" s="25" t="s">
        <v>3743</v>
      </c>
      <c r="B34" s="25" t="s">
        <v>2417</v>
      </c>
      <c r="C34" s="25" t="s">
        <v>3897</v>
      </c>
      <c r="D34" s="25" t="s">
        <v>2002</v>
      </c>
      <c r="E34" s="25" t="s">
        <v>2109</v>
      </c>
      <c r="F34" s="25" t="s">
        <v>2337</v>
      </c>
      <c r="G34" s="25">
        <v>2.0</v>
      </c>
      <c r="H34" s="25">
        <v>0.0</v>
      </c>
      <c r="I34" s="25" t="s">
        <v>570</v>
      </c>
      <c r="J34" s="25" t="s">
        <v>89</v>
      </c>
      <c r="K34" s="25" t="s">
        <v>3709</v>
      </c>
      <c r="L34" s="25" t="s">
        <v>2002</v>
      </c>
      <c r="M34" s="25"/>
      <c r="N34" s="25">
        <v>1.0</v>
      </c>
      <c r="O34" s="25" t="s">
        <v>3888</v>
      </c>
      <c r="P34" s="25"/>
      <c r="Q34" s="25" t="s">
        <v>2408</v>
      </c>
    </row>
    <row r="35" ht="15.75" customHeight="1">
      <c r="A35" s="25" t="s">
        <v>3744</v>
      </c>
      <c r="B35" s="25" t="s">
        <v>2418</v>
      </c>
      <c r="C35" s="25" t="s">
        <v>3897</v>
      </c>
      <c r="D35" s="25" t="s">
        <v>2002</v>
      </c>
      <c r="E35" s="25" t="s">
        <v>2109</v>
      </c>
      <c r="F35" s="25" t="s">
        <v>2342</v>
      </c>
      <c r="G35" s="25">
        <v>3.0</v>
      </c>
      <c r="H35" s="25">
        <v>1.0</v>
      </c>
      <c r="I35" s="25" t="s">
        <v>570</v>
      </c>
      <c r="J35" s="25" t="s">
        <v>89</v>
      </c>
      <c r="K35" s="25" t="s">
        <v>3721</v>
      </c>
      <c r="L35" s="25" t="s">
        <v>2002</v>
      </c>
      <c r="M35" s="25"/>
      <c r="N35" s="25">
        <v>2.0</v>
      </c>
      <c r="O35" s="25" t="s">
        <v>3888</v>
      </c>
      <c r="P35" s="25"/>
      <c r="Q35" s="25" t="s">
        <v>2419</v>
      </c>
    </row>
    <row r="36" ht="15.75" customHeight="1">
      <c r="A36" s="25" t="s">
        <v>3746</v>
      </c>
      <c r="B36" s="25" t="s">
        <v>2422</v>
      </c>
      <c r="C36" s="25" t="s">
        <v>3897</v>
      </c>
      <c r="D36" s="25" t="s">
        <v>1875</v>
      </c>
      <c r="E36" s="25" t="s">
        <v>2109</v>
      </c>
      <c r="F36" s="25" t="s">
        <v>2337</v>
      </c>
      <c r="G36" s="25">
        <v>2.0</v>
      </c>
      <c r="H36" s="25">
        <v>0.0</v>
      </c>
      <c r="I36" s="25" t="s">
        <v>573</v>
      </c>
      <c r="J36" s="25" t="s">
        <v>94</v>
      </c>
      <c r="K36" s="25" t="s">
        <v>3709</v>
      </c>
      <c r="L36" s="25" t="s">
        <v>1875</v>
      </c>
      <c r="M36" s="25"/>
      <c r="N36" s="25">
        <v>1.0</v>
      </c>
      <c r="O36" s="25" t="s">
        <v>3888</v>
      </c>
      <c r="P36" s="25"/>
      <c r="Q36" s="25" t="s">
        <v>2423</v>
      </c>
    </row>
    <row r="37" ht="15.75" customHeight="1">
      <c r="A37" s="25" t="s">
        <v>3747</v>
      </c>
      <c r="B37" s="25" t="s">
        <v>2424</v>
      </c>
      <c r="C37" s="25" t="s">
        <v>3897</v>
      </c>
      <c r="D37" s="25" t="s">
        <v>1875</v>
      </c>
      <c r="E37" s="25" t="s">
        <v>2109</v>
      </c>
      <c r="F37" s="25" t="s">
        <v>2342</v>
      </c>
      <c r="G37" s="25">
        <v>3.0</v>
      </c>
      <c r="H37" s="25">
        <v>1.0</v>
      </c>
      <c r="I37" s="25" t="s">
        <v>573</v>
      </c>
      <c r="J37" s="25" t="s">
        <v>94</v>
      </c>
      <c r="K37" s="25" t="s">
        <v>3709</v>
      </c>
      <c r="L37" s="25" t="s">
        <v>1875</v>
      </c>
      <c r="M37" s="25"/>
      <c r="N37" s="25">
        <v>2.0</v>
      </c>
      <c r="O37" s="25" t="s">
        <v>3888</v>
      </c>
      <c r="P37" s="25"/>
      <c r="Q37" s="25" t="s">
        <v>2425</v>
      </c>
    </row>
    <row r="38" ht="15.75" customHeight="1">
      <c r="A38" s="25" t="s">
        <v>3748</v>
      </c>
      <c r="B38" s="25" t="s">
        <v>2428</v>
      </c>
      <c r="C38" s="25" t="s">
        <v>3897</v>
      </c>
      <c r="D38" s="25" t="s">
        <v>2008</v>
      </c>
      <c r="E38" s="25" t="s">
        <v>2109</v>
      </c>
      <c r="F38" s="25" t="s">
        <v>2337</v>
      </c>
      <c r="G38" s="25">
        <v>2.0</v>
      </c>
      <c r="H38" s="25">
        <v>0.0</v>
      </c>
      <c r="I38" s="25" t="s">
        <v>570</v>
      </c>
      <c r="J38" s="25" t="s">
        <v>89</v>
      </c>
      <c r="K38" s="25" t="s">
        <v>3712</v>
      </c>
      <c r="L38" s="25" t="s">
        <v>2008</v>
      </c>
      <c r="M38" s="25"/>
      <c r="N38" s="25">
        <v>2.0</v>
      </c>
      <c r="O38" s="25" t="s">
        <v>3888</v>
      </c>
      <c r="P38" s="25"/>
      <c r="Q38" s="25" t="s">
        <v>2429</v>
      </c>
    </row>
    <row r="39" ht="15.75" customHeight="1">
      <c r="A39" s="25" t="s">
        <v>3749</v>
      </c>
      <c r="B39" s="25" t="s">
        <v>2430</v>
      </c>
      <c r="C39" s="25" t="s">
        <v>3897</v>
      </c>
      <c r="D39" s="25" t="s">
        <v>2008</v>
      </c>
      <c r="E39" s="25" t="s">
        <v>2109</v>
      </c>
      <c r="F39" s="25" t="s">
        <v>2342</v>
      </c>
      <c r="G39" s="25">
        <v>3.0</v>
      </c>
      <c r="H39" s="25">
        <v>1.0</v>
      </c>
      <c r="I39" s="25" t="s">
        <v>570</v>
      </c>
      <c r="J39" s="25" t="s">
        <v>89</v>
      </c>
      <c r="K39" s="25" t="s">
        <v>3709</v>
      </c>
      <c r="L39" s="25" t="s">
        <v>2008</v>
      </c>
      <c r="M39" s="25"/>
      <c r="N39" s="25">
        <v>2.0</v>
      </c>
      <c r="O39" s="25" t="s">
        <v>3888</v>
      </c>
      <c r="P39" s="25"/>
      <c r="Q39" s="25" t="s">
        <v>2431</v>
      </c>
    </row>
    <row r="40" ht="15.75" customHeight="1">
      <c r="A40" s="25" t="s">
        <v>3750</v>
      </c>
      <c r="B40" s="25" t="s">
        <v>2433</v>
      </c>
      <c r="C40" s="25" t="s">
        <v>3897</v>
      </c>
      <c r="D40" s="25" t="s">
        <v>2024</v>
      </c>
      <c r="E40" s="25" t="s">
        <v>2109</v>
      </c>
      <c r="F40" s="25" t="s">
        <v>2337</v>
      </c>
      <c r="G40" s="25">
        <v>2.0</v>
      </c>
      <c r="H40" s="25">
        <v>0.0</v>
      </c>
      <c r="I40" s="25" t="s">
        <v>2175</v>
      </c>
      <c r="J40" s="25" t="s">
        <v>98</v>
      </c>
      <c r="K40" s="25" t="s">
        <v>3709</v>
      </c>
      <c r="L40" s="25" t="s">
        <v>2024</v>
      </c>
      <c r="M40" s="25"/>
      <c r="N40" s="25">
        <v>2.0</v>
      </c>
      <c r="O40" s="25" t="s">
        <v>3898</v>
      </c>
      <c r="P40" s="25" t="s">
        <v>3901</v>
      </c>
      <c r="Q40" s="25" t="s">
        <v>2434</v>
      </c>
    </row>
    <row r="41" ht="15.75" customHeight="1">
      <c r="A41" s="25" t="s">
        <v>3751</v>
      </c>
      <c r="B41" s="25" t="s">
        <v>2435</v>
      </c>
      <c r="C41" s="25" t="s">
        <v>3897</v>
      </c>
      <c r="D41" s="25" t="s">
        <v>2024</v>
      </c>
      <c r="E41" s="25" t="s">
        <v>2109</v>
      </c>
      <c r="F41" s="25" t="s">
        <v>2342</v>
      </c>
      <c r="G41" s="25">
        <v>3.0</v>
      </c>
      <c r="H41" s="25">
        <v>3.0</v>
      </c>
      <c r="I41" s="25" t="s">
        <v>2175</v>
      </c>
      <c r="J41" s="25" t="s">
        <v>98</v>
      </c>
      <c r="K41" s="25" t="s">
        <v>582</v>
      </c>
      <c r="L41" s="25" t="s">
        <v>2024</v>
      </c>
      <c r="M41" s="25"/>
      <c r="N41" s="25">
        <v>2.0</v>
      </c>
      <c r="O41" s="25" t="s">
        <v>3888</v>
      </c>
      <c r="P41" s="25"/>
      <c r="Q41" s="25" t="s">
        <v>2436</v>
      </c>
    </row>
    <row r="42" ht="15.75" customHeight="1">
      <c r="A42" s="25" t="s">
        <v>3753</v>
      </c>
      <c r="B42" s="25" t="s">
        <v>2439</v>
      </c>
      <c r="C42" s="25" t="s">
        <v>3897</v>
      </c>
      <c r="D42" s="25" t="s">
        <v>2025</v>
      </c>
      <c r="E42" s="25" t="s">
        <v>2109</v>
      </c>
      <c r="F42" s="25" t="s">
        <v>2337</v>
      </c>
      <c r="G42" s="25">
        <v>2.0</v>
      </c>
      <c r="H42" s="25">
        <v>0.0</v>
      </c>
      <c r="I42" s="25" t="s">
        <v>2175</v>
      </c>
      <c r="J42" s="25" t="s">
        <v>98</v>
      </c>
      <c r="K42" s="25" t="s">
        <v>3712</v>
      </c>
      <c r="L42" s="25" t="s">
        <v>2025</v>
      </c>
      <c r="M42" s="25"/>
      <c r="N42" s="25">
        <v>2.0</v>
      </c>
      <c r="O42" s="25" t="s">
        <v>3898</v>
      </c>
      <c r="P42" s="25" t="s">
        <v>3902</v>
      </c>
      <c r="Q42" s="25" t="s">
        <v>2440</v>
      </c>
    </row>
    <row r="43" ht="15.75" customHeight="1">
      <c r="A43" s="25" t="s">
        <v>3754</v>
      </c>
      <c r="B43" s="25" t="s">
        <v>2441</v>
      </c>
      <c r="C43" s="25" t="s">
        <v>3897</v>
      </c>
      <c r="D43" s="25" t="s">
        <v>2025</v>
      </c>
      <c r="E43" s="25" t="s">
        <v>2109</v>
      </c>
      <c r="F43" s="25" t="s">
        <v>2342</v>
      </c>
      <c r="G43" s="25">
        <v>3.0</v>
      </c>
      <c r="H43" s="25">
        <v>1.0</v>
      </c>
      <c r="I43" s="25" t="s">
        <v>2175</v>
      </c>
      <c r="J43" s="25" t="s">
        <v>98</v>
      </c>
      <c r="K43" s="25" t="s">
        <v>3712</v>
      </c>
      <c r="L43" s="25" t="s">
        <v>2025</v>
      </c>
      <c r="M43" s="25"/>
      <c r="N43" s="25">
        <v>3.0</v>
      </c>
      <c r="O43" s="25" t="s">
        <v>3888</v>
      </c>
      <c r="P43" s="25"/>
      <c r="Q43" s="25" t="s">
        <v>2442</v>
      </c>
    </row>
    <row r="44" ht="15.75" customHeight="1">
      <c r="A44" s="25" t="s">
        <v>3755</v>
      </c>
      <c r="B44" s="25" t="s">
        <v>2445</v>
      </c>
      <c r="C44" s="25" t="s">
        <v>3897</v>
      </c>
      <c r="D44" s="25" t="s">
        <v>2026</v>
      </c>
      <c r="E44" s="25" t="s">
        <v>2109</v>
      </c>
      <c r="F44" s="25" t="s">
        <v>2337</v>
      </c>
      <c r="G44" s="25">
        <v>2.0</v>
      </c>
      <c r="H44" s="25">
        <v>0.0</v>
      </c>
      <c r="I44" s="25" t="s">
        <v>2175</v>
      </c>
      <c r="J44" s="25" t="s">
        <v>98</v>
      </c>
      <c r="K44" s="25" t="s">
        <v>3712</v>
      </c>
      <c r="L44" s="25" t="s">
        <v>2026</v>
      </c>
      <c r="M44" s="25"/>
      <c r="N44" s="25">
        <v>2.0</v>
      </c>
      <c r="O44" s="25" t="s">
        <v>3888</v>
      </c>
      <c r="P44" s="25"/>
      <c r="Q44" s="25" t="s">
        <v>2446</v>
      </c>
    </row>
    <row r="45" ht="15.75" customHeight="1">
      <c r="A45" s="25" t="s">
        <v>3756</v>
      </c>
      <c r="B45" s="25" t="s">
        <v>2447</v>
      </c>
      <c r="C45" s="25" t="s">
        <v>3897</v>
      </c>
      <c r="D45" s="25" t="s">
        <v>2026</v>
      </c>
      <c r="E45" s="25" t="s">
        <v>2109</v>
      </c>
      <c r="F45" s="25" t="s">
        <v>2342</v>
      </c>
      <c r="G45" s="25">
        <v>3.0</v>
      </c>
      <c r="H45" s="25">
        <v>1.0</v>
      </c>
      <c r="I45" s="25" t="s">
        <v>2175</v>
      </c>
      <c r="J45" s="25" t="s">
        <v>98</v>
      </c>
      <c r="K45" s="25" t="s">
        <v>3712</v>
      </c>
      <c r="L45" s="25" t="s">
        <v>2026</v>
      </c>
      <c r="M45" s="25"/>
      <c r="N45" s="25">
        <v>2.0</v>
      </c>
      <c r="O45" s="25" t="s">
        <v>3888</v>
      </c>
      <c r="P45" s="25"/>
      <c r="Q45" s="25" t="s">
        <v>2448</v>
      </c>
    </row>
    <row r="46" ht="15.75" customHeight="1">
      <c r="A46" s="25" t="s">
        <v>3762</v>
      </c>
      <c r="B46" s="25" t="s">
        <v>2705</v>
      </c>
      <c r="C46" s="25" t="s">
        <v>3763</v>
      </c>
      <c r="D46" s="25" t="s">
        <v>2697</v>
      </c>
      <c r="E46" s="25" t="s">
        <v>2113</v>
      </c>
      <c r="F46" s="25" t="s">
        <v>3764</v>
      </c>
      <c r="G46" s="25">
        <v>2.0</v>
      </c>
      <c r="H46" s="25">
        <v>1.0</v>
      </c>
      <c r="I46" s="25"/>
      <c r="J46" s="25"/>
      <c r="K46" s="25" t="s">
        <v>40</v>
      </c>
      <c r="L46" s="25" t="s">
        <v>2697</v>
      </c>
      <c r="M46" s="25" t="s">
        <v>572</v>
      </c>
      <c r="N46" s="25">
        <v>1.0</v>
      </c>
      <c r="O46" s="25" t="s">
        <v>3888</v>
      </c>
      <c r="P46" s="25"/>
      <c r="Q46" s="25" t="s">
        <v>1262</v>
      </c>
    </row>
    <row r="47" ht="15.75" customHeight="1">
      <c r="A47" s="25" t="s">
        <v>3766</v>
      </c>
      <c r="B47" s="25" t="s">
        <v>2706</v>
      </c>
      <c r="C47" s="25" t="s">
        <v>3763</v>
      </c>
      <c r="D47" s="25" t="s">
        <v>2697</v>
      </c>
      <c r="E47" s="25" t="s">
        <v>2113</v>
      </c>
      <c r="F47" s="25" t="s">
        <v>3767</v>
      </c>
      <c r="G47" s="25">
        <v>3.0</v>
      </c>
      <c r="H47" s="25">
        <v>2.0</v>
      </c>
      <c r="I47" s="25"/>
      <c r="J47" s="25"/>
      <c r="K47" s="25" t="s">
        <v>1191</v>
      </c>
      <c r="L47" s="25" t="s">
        <v>2697</v>
      </c>
      <c r="M47" s="25" t="s">
        <v>578</v>
      </c>
      <c r="N47" s="25">
        <v>1.0</v>
      </c>
      <c r="O47" s="25" t="s">
        <v>3888</v>
      </c>
      <c r="P47" s="25"/>
      <c r="Q47" s="25" t="s">
        <v>2716</v>
      </c>
    </row>
    <row r="48" ht="15.75" customHeight="1">
      <c r="A48" s="25" t="s">
        <v>3769</v>
      </c>
      <c r="B48" s="25" t="s">
        <v>2903</v>
      </c>
      <c r="C48" s="25" t="s">
        <v>3763</v>
      </c>
      <c r="D48" s="25" t="s">
        <v>2697</v>
      </c>
      <c r="E48" s="25" t="s">
        <v>1679</v>
      </c>
      <c r="F48" s="25" t="s">
        <v>3764</v>
      </c>
      <c r="G48" s="25">
        <v>2.0</v>
      </c>
      <c r="H48" s="25">
        <v>0.0</v>
      </c>
      <c r="I48" s="25"/>
      <c r="J48" s="25"/>
      <c r="K48" s="25" t="s">
        <v>3770</v>
      </c>
      <c r="L48" s="25" t="s">
        <v>2697</v>
      </c>
      <c r="M48" s="25" t="s">
        <v>572</v>
      </c>
      <c r="N48" s="25">
        <v>2.0</v>
      </c>
      <c r="O48" s="25" t="s">
        <v>3888</v>
      </c>
      <c r="P48" s="25"/>
      <c r="Q48" s="25" t="s">
        <v>2907</v>
      </c>
    </row>
    <row r="49" ht="15.75" customHeight="1">
      <c r="A49" s="25" t="s">
        <v>3771</v>
      </c>
      <c r="B49" s="25" t="s">
        <v>2904</v>
      </c>
      <c r="C49" s="25" t="s">
        <v>3763</v>
      </c>
      <c r="D49" s="25" t="s">
        <v>2697</v>
      </c>
      <c r="E49" s="25" t="s">
        <v>1679</v>
      </c>
      <c r="F49" s="25" t="s">
        <v>3767</v>
      </c>
      <c r="G49" s="25">
        <v>3.0</v>
      </c>
      <c r="H49" s="25">
        <v>2.0</v>
      </c>
      <c r="I49" s="25"/>
      <c r="J49" s="25"/>
      <c r="K49" s="25" t="s">
        <v>3772</v>
      </c>
      <c r="L49" s="25" t="s">
        <v>2697</v>
      </c>
      <c r="M49" s="25" t="s">
        <v>578</v>
      </c>
      <c r="N49" s="25">
        <v>2.0</v>
      </c>
      <c r="O49" s="25" t="s">
        <v>3888</v>
      </c>
      <c r="P49" s="25"/>
      <c r="Q49" s="25" t="s">
        <v>2912</v>
      </c>
    </row>
    <row r="50" ht="15.75" customHeight="1">
      <c r="A50" s="25" t="s">
        <v>3773</v>
      </c>
      <c r="B50" s="25" t="s">
        <v>3030</v>
      </c>
      <c r="C50" s="25" t="s">
        <v>3763</v>
      </c>
      <c r="D50" s="25" t="s">
        <v>2697</v>
      </c>
      <c r="E50" s="25" t="s">
        <v>1678</v>
      </c>
      <c r="F50" s="25" t="s">
        <v>3764</v>
      </c>
      <c r="G50" s="25">
        <v>2.0</v>
      </c>
      <c r="H50" s="25">
        <v>1.0</v>
      </c>
      <c r="I50" s="25"/>
      <c r="J50" s="25"/>
      <c r="K50" s="25" t="s">
        <v>40</v>
      </c>
      <c r="L50" s="25" t="s">
        <v>2697</v>
      </c>
      <c r="M50" s="25" t="s">
        <v>572</v>
      </c>
      <c r="N50" s="25">
        <v>1.0</v>
      </c>
      <c r="O50" s="25" t="s">
        <v>3888</v>
      </c>
      <c r="P50" s="25"/>
      <c r="Q50" s="25" t="s">
        <v>3034</v>
      </c>
    </row>
    <row r="51" ht="15.75" customHeight="1">
      <c r="A51" s="25" t="s">
        <v>3774</v>
      </c>
      <c r="B51" s="25" t="s">
        <v>3031</v>
      </c>
      <c r="C51" s="25" t="s">
        <v>3763</v>
      </c>
      <c r="D51" s="25" t="s">
        <v>2697</v>
      </c>
      <c r="E51" s="25" t="s">
        <v>1678</v>
      </c>
      <c r="F51" s="25" t="s">
        <v>3767</v>
      </c>
      <c r="G51" s="25">
        <v>3.0</v>
      </c>
      <c r="H51" s="25">
        <v>2.0</v>
      </c>
      <c r="I51" s="25"/>
      <c r="J51" s="25"/>
      <c r="K51" s="25" t="s">
        <v>1191</v>
      </c>
      <c r="L51" s="25" t="s">
        <v>2697</v>
      </c>
      <c r="M51" s="25" t="s">
        <v>578</v>
      </c>
      <c r="N51" s="25">
        <v>1.0</v>
      </c>
      <c r="O51" s="25" t="s">
        <v>3888</v>
      </c>
      <c r="P51" s="25"/>
      <c r="Q51" s="25" t="s">
        <v>3039</v>
      </c>
    </row>
    <row r="52" ht="15.75" customHeight="1">
      <c r="A52" s="25" t="s">
        <v>3775</v>
      </c>
      <c r="B52" s="25" t="s">
        <v>2732</v>
      </c>
      <c r="C52" s="25" t="s">
        <v>3763</v>
      </c>
      <c r="D52" s="25" t="s">
        <v>2727</v>
      </c>
      <c r="E52" s="25" t="s">
        <v>2113</v>
      </c>
      <c r="F52" s="25" t="s">
        <v>3764</v>
      </c>
      <c r="G52" s="25">
        <v>2.0</v>
      </c>
      <c r="H52" s="25">
        <v>1.0</v>
      </c>
      <c r="I52" s="25"/>
      <c r="J52" s="25"/>
      <c r="K52" s="25" t="s">
        <v>40</v>
      </c>
      <c r="L52" s="25" t="s">
        <v>2727</v>
      </c>
      <c r="M52" s="25" t="s">
        <v>572</v>
      </c>
      <c r="N52" s="25">
        <v>1.0</v>
      </c>
      <c r="O52" s="25" t="s">
        <v>3888</v>
      </c>
      <c r="P52" s="25"/>
      <c r="Q52" s="25" t="s">
        <v>2736</v>
      </c>
    </row>
    <row r="53" ht="15.75" customHeight="1">
      <c r="A53" s="25" t="s">
        <v>3776</v>
      </c>
      <c r="B53" s="25" t="s">
        <v>2733</v>
      </c>
      <c r="C53" s="25" t="s">
        <v>3763</v>
      </c>
      <c r="D53" s="25" t="s">
        <v>2727</v>
      </c>
      <c r="E53" s="25" t="s">
        <v>2113</v>
      </c>
      <c r="F53" s="25" t="s">
        <v>3767</v>
      </c>
      <c r="G53" s="25">
        <v>3.0</v>
      </c>
      <c r="H53" s="25">
        <v>2.0</v>
      </c>
      <c r="I53" s="25"/>
      <c r="J53" s="25"/>
      <c r="K53" s="25" t="s">
        <v>1192</v>
      </c>
      <c r="L53" s="25" t="s">
        <v>2727</v>
      </c>
      <c r="M53" s="25" t="s">
        <v>578</v>
      </c>
      <c r="N53" s="25">
        <v>1.0</v>
      </c>
      <c r="O53" s="25" t="s">
        <v>3888</v>
      </c>
      <c r="P53" s="25"/>
      <c r="Q53" s="25" t="s">
        <v>2743</v>
      </c>
    </row>
    <row r="54" ht="15.75" customHeight="1">
      <c r="A54" s="25" t="s">
        <v>3778</v>
      </c>
      <c r="B54" s="25" t="s">
        <v>2919</v>
      </c>
      <c r="C54" s="25" t="s">
        <v>3763</v>
      </c>
      <c r="D54" s="25" t="s">
        <v>2727</v>
      </c>
      <c r="E54" s="25" t="s">
        <v>1679</v>
      </c>
      <c r="F54" s="25" t="s">
        <v>3764</v>
      </c>
      <c r="G54" s="25">
        <v>2.0</v>
      </c>
      <c r="H54" s="25">
        <v>1.0</v>
      </c>
      <c r="I54" s="25"/>
      <c r="J54" s="25"/>
      <c r="K54" s="25" t="s">
        <v>3779</v>
      </c>
      <c r="L54" s="25" t="s">
        <v>2727</v>
      </c>
      <c r="M54" s="25" t="s">
        <v>572</v>
      </c>
      <c r="N54" s="25">
        <v>2.0</v>
      </c>
      <c r="O54" s="25" t="s">
        <v>3888</v>
      </c>
      <c r="P54" s="25"/>
      <c r="Q54" s="25" t="s">
        <v>2923</v>
      </c>
    </row>
    <row r="55" ht="15.75" customHeight="1">
      <c r="A55" s="25" t="s">
        <v>3780</v>
      </c>
      <c r="B55" s="25" t="s">
        <v>2920</v>
      </c>
      <c r="C55" s="25" t="s">
        <v>3763</v>
      </c>
      <c r="D55" s="25" t="s">
        <v>2727</v>
      </c>
      <c r="E55" s="25" t="s">
        <v>1679</v>
      </c>
      <c r="F55" s="25" t="s">
        <v>3767</v>
      </c>
      <c r="G55" s="25">
        <v>3.0</v>
      </c>
      <c r="H55" s="25">
        <v>2.0</v>
      </c>
      <c r="I55" s="25"/>
      <c r="J55" s="25"/>
      <c r="K55" s="25" t="s">
        <v>3781</v>
      </c>
      <c r="L55" s="25" t="s">
        <v>2727</v>
      </c>
      <c r="M55" s="25" t="s">
        <v>578</v>
      </c>
      <c r="N55" s="25">
        <v>2.0</v>
      </c>
      <c r="O55" s="25" t="s">
        <v>3888</v>
      </c>
      <c r="P55" s="25"/>
      <c r="Q55" s="25" t="s">
        <v>2928</v>
      </c>
    </row>
    <row r="56" ht="15.75" customHeight="1">
      <c r="A56" s="25" t="s">
        <v>3782</v>
      </c>
      <c r="B56" s="25" t="s">
        <v>3046</v>
      </c>
      <c r="C56" s="25" t="s">
        <v>3763</v>
      </c>
      <c r="D56" s="25" t="s">
        <v>2727</v>
      </c>
      <c r="E56" s="25" t="s">
        <v>1678</v>
      </c>
      <c r="F56" s="25" t="s">
        <v>3764</v>
      </c>
      <c r="G56" s="25">
        <v>2.0</v>
      </c>
      <c r="H56" s="25">
        <v>1.0</v>
      </c>
      <c r="I56" s="25"/>
      <c r="J56" s="25"/>
      <c r="K56" s="25" t="s">
        <v>40</v>
      </c>
      <c r="L56" s="25" t="s">
        <v>2727</v>
      </c>
      <c r="M56" s="25" t="s">
        <v>572</v>
      </c>
      <c r="N56" s="25">
        <v>1.0</v>
      </c>
      <c r="O56" s="25" t="s">
        <v>3888</v>
      </c>
      <c r="P56" s="25"/>
      <c r="Q56" s="25" t="s">
        <v>3050</v>
      </c>
    </row>
    <row r="57" ht="15.75" customHeight="1">
      <c r="A57" s="25" t="s">
        <v>3783</v>
      </c>
      <c r="B57" s="25" t="s">
        <v>3047</v>
      </c>
      <c r="C57" s="25" t="s">
        <v>3763</v>
      </c>
      <c r="D57" s="25" t="s">
        <v>2727</v>
      </c>
      <c r="E57" s="25" t="s">
        <v>1678</v>
      </c>
      <c r="F57" s="25" t="s">
        <v>3767</v>
      </c>
      <c r="G57" s="25">
        <v>3.0</v>
      </c>
      <c r="H57" s="25">
        <v>2.0</v>
      </c>
      <c r="I57" s="25"/>
      <c r="J57" s="25"/>
      <c r="K57" s="25" t="s">
        <v>1192</v>
      </c>
      <c r="L57" s="25" t="s">
        <v>2727</v>
      </c>
      <c r="M57" s="25" t="s">
        <v>578</v>
      </c>
      <c r="N57" s="25">
        <v>1.0</v>
      </c>
      <c r="O57" s="25" t="s">
        <v>3888</v>
      </c>
      <c r="P57" s="25"/>
      <c r="Q57" s="25" t="s">
        <v>2415</v>
      </c>
    </row>
    <row r="58" ht="15.75" customHeight="1">
      <c r="A58" s="25" t="s">
        <v>3784</v>
      </c>
      <c r="B58" s="25" t="s">
        <v>2759</v>
      </c>
      <c r="C58" s="25" t="s">
        <v>3763</v>
      </c>
      <c r="D58" s="25" t="s">
        <v>2754</v>
      </c>
      <c r="E58" s="25" t="s">
        <v>2113</v>
      </c>
      <c r="F58" s="25" t="s">
        <v>3764</v>
      </c>
      <c r="G58" s="25">
        <v>2.0</v>
      </c>
      <c r="H58" s="25">
        <v>1.0</v>
      </c>
      <c r="I58" s="25"/>
      <c r="J58" s="25"/>
      <c r="K58" s="25" t="s">
        <v>3785</v>
      </c>
      <c r="L58" s="25" t="s">
        <v>2754</v>
      </c>
      <c r="M58" s="25" t="s">
        <v>572</v>
      </c>
      <c r="N58" s="25">
        <v>1.0</v>
      </c>
      <c r="O58" s="25" t="s">
        <v>3888</v>
      </c>
      <c r="P58" s="25"/>
      <c r="Q58" s="25" t="s">
        <v>2763</v>
      </c>
    </row>
    <row r="59" ht="15.75" customHeight="1">
      <c r="A59" s="25" t="s">
        <v>3787</v>
      </c>
      <c r="B59" s="25" t="s">
        <v>2760</v>
      </c>
      <c r="C59" s="25" t="s">
        <v>3763</v>
      </c>
      <c r="D59" s="25" t="s">
        <v>2754</v>
      </c>
      <c r="E59" s="25" t="s">
        <v>2113</v>
      </c>
      <c r="F59" s="25" t="s">
        <v>3767</v>
      </c>
      <c r="G59" s="25">
        <v>3.0</v>
      </c>
      <c r="H59" s="25">
        <v>3.0</v>
      </c>
      <c r="I59" s="25"/>
      <c r="J59" s="25"/>
      <c r="K59" s="25" t="s">
        <v>3788</v>
      </c>
      <c r="L59" s="25" t="s">
        <v>2754</v>
      </c>
      <c r="M59" s="25" t="s">
        <v>578</v>
      </c>
      <c r="N59" s="25">
        <v>2.0</v>
      </c>
      <c r="O59" s="25" t="s">
        <v>3888</v>
      </c>
      <c r="P59" s="25"/>
      <c r="Q59" s="25" t="s">
        <v>2769</v>
      </c>
    </row>
    <row r="60" ht="15.75" customHeight="1">
      <c r="A60" s="25" t="s">
        <v>3789</v>
      </c>
      <c r="B60" s="25" t="s">
        <v>2935</v>
      </c>
      <c r="C60" s="25" t="s">
        <v>3763</v>
      </c>
      <c r="D60" s="25" t="s">
        <v>2754</v>
      </c>
      <c r="E60" s="25" t="s">
        <v>1679</v>
      </c>
      <c r="F60" s="25" t="s">
        <v>3764</v>
      </c>
      <c r="G60" s="25">
        <v>2.0</v>
      </c>
      <c r="H60" s="25">
        <v>1.0</v>
      </c>
      <c r="I60" s="25"/>
      <c r="J60" s="25"/>
      <c r="K60" s="25" t="s">
        <v>40</v>
      </c>
      <c r="L60" s="25" t="s">
        <v>2754</v>
      </c>
      <c r="M60" s="25" t="s">
        <v>572</v>
      </c>
      <c r="N60" s="25">
        <v>1.0</v>
      </c>
      <c r="O60" s="25" t="s">
        <v>3888</v>
      </c>
      <c r="P60" s="25"/>
      <c r="Q60" s="25" t="s">
        <v>2939</v>
      </c>
    </row>
    <row r="61" ht="15.75" customHeight="1">
      <c r="A61" s="25" t="s">
        <v>3790</v>
      </c>
      <c r="B61" s="25" t="s">
        <v>2936</v>
      </c>
      <c r="C61" s="25" t="s">
        <v>3763</v>
      </c>
      <c r="D61" s="25" t="s">
        <v>2754</v>
      </c>
      <c r="E61" s="25" t="s">
        <v>1679</v>
      </c>
      <c r="F61" s="25" t="s">
        <v>3767</v>
      </c>
      <c r="G61" s="25">
        <v>3.0</v>
      </c>
      <c r="H61" s="25">
        <v>3.0</v>
      </c>
      <c r="I61" s="25"/>
      <c r="J61" s="25"/>
      <c r="K61" s="25" t="s">
        <v>3788</v>
      </c>
      <c r="L61" s="25" t="s">
        <v>2754</v>
      </c>
      <c r="M61" s="25" t="s">
        <v>578</v>
      </c>
      <c r="N61" s="25">
        <v>2.0</v>
      </c>
      <c r="O61" s="25" t="s">
        <v>3888</v>
      </c>
      <c r="P61" s="25"/>
      <c r="Q61" s="25" t="s">
        <v>2944</v>
      </c>
    </row>
    <row r="62" ht="15.75" customHeight="1">
      <c r="A62" s="25" t="s">
        <v>3791</v>
      </c>
      <c r="B62" s="25" t="s">
        <v>3061</v>
      </c>
      <c r="C62" s="25" t="s">
        <v>3763</v>
      </c>
      <c r="D62" s="25" t="s">
        <v>2754</v>
      </c>
      <c r="E62" s="25" t="s">
        <v>1678</v>
      </c>
      <c r="F62" s="25" t="s">
        <v>3764</v>
      </c>
      <c r="G62" s="25">
        <v>2.0</v>
      </c>
      <c r="H62" s="25">
        <v>1.0</v>
      </c>
      <c r="I62" s="25"/>
      <c r="J62" s="25"/>
      <c r="K62" s="25" t="s">
        <v>40</v>
      </c>
      <c r="L62" s="25" t="s">
        <v>2754</v>
      </c>
      <c r="M62" s="25" t="s">
        <v>572</v>
      </c>
      <c r="N62" s="25">
        <v>1.0</v>
      </c>
      <c r="O62" s="25" t="s">
        <v>3888</v>
      </c>
      <c r="P62" s="25"/>
      <c r="Q62" s="25" t="s">
        <v>3065</v>
      </c>
    </row>
    <row r="63" ht="15.75" customHeight="1">
      <c r="A63" s="25" t="s">
        <v>3792</v>
      </c>
      <c r="B63" s="25" t="s">
        <v>3062</v>
      </c>
      <c r="C63" s="25" t="s">
        <v>3763</v>
      </c>
      <c r="D63" s="25" t="s">
        <v>2754</v>
      </c>
      <c r="E63" s="25" t="s">
        <v>1678</v>
      </c>
      <c r="F63" s="25" t="s">
        <v>3767</v>
      </c>
      <c r="G63" s="25">
        <v>3.0</v>
      </c>
      <c r="H63" s="25">
        <v>3.0</v>
      </c>
      <c r="I63" s="25"/>
      <c r="J63" s="25"/>
      <c r="K63" s="25" t="s">
        <v>3788</v>
      </c>
      <c r="L63" s="25" t="s">
        <v>2754</v>
      </c>
      <c r="M63" s="25" t="s">
        <v>578</v>
      </c>
      <c r="N63" s="25">
        <v>2.0</v>
      </c>
      <c r="O63" s="25" t="s">
        <v>3888</v>
      </c>
      <c r="P63" s="25"/>
      <c r="Q63" s="25" t="s">
        <v>3070</v>
      </c>
    </row>
    <row r="64" ht="15.75" customHeight="1">
      <c r="A64" s="25" t="s">
        <v>3793</v>
      </c>
      <c r="B64" s="25" t="s">
        <v>2785</v>
      </c>
      <c r="C64" s="25" t="s">
        <v>3763</v>
      </c>
      <c r="D64" s="25" t="s">
        <v>2779</v>
      </c>
      <c r="E64" s="25" t="s">
        <v>2113</v>
      </c>
      <c r="F64" s="25" t="s">
        <v>3764</v>
      </c>
      <c r="G64" s="25">
        <v>2.0</v>
      </c>
      <c r="H64" s="25">
        <v>1.0</v>
      </c>
      <c r="I64" s="25"/>
      <c r="J64" s="25"/>
      <c r="K64" s="25" t="s">
        <v>3794</v>
      </c>
      <c r="L64" s="25" t="s">
        <v>2779</v>
      </c>
      <c r="M64" s="25" t="s">
        <v>572</v>
      </c>
      <c r="N64" s="25">
        <v>2.0</v>
      </c>
      <c r="O64" s="25" t="s">
        <v>3888</v>
      </c>
      <c r="P64" s="25"/>
      <c r="Q64" s="25" t="s">
        <v>2789</v>
      </c>
    </row>
    <row r="65" ht="15.75" customHeight="1">
      <c r="A65" s="25" t="s">
        <v>3795</v>
      </c>
      <c r="B65" s="25" t="s">
        <v>2786</v>
      </c>
      <c r="C65" s="25" t="s">
        <v>3763</v>
      </c>
      <c r="D65" s="25" t="s">
        <v>2779</v>
      </c>
      <c r="E65" s="25" t="s">
        <v>2113</v>
      </c>
      <c r="F65" s="25" t="s">
        <v>3767</v>
      </c>
      <c r="G65" s="25">
        <v>3.0</v>
      </c>
      <c r="H65" s="25">
        <v>2.0</v>
      </c>
      <c r="I65" s="25"/>
      <c r="J65" s="25"/>
      <c r="K65" s="25" t="s">
        <v>3781</v>
      </c>
      <c r="L65" s="25" t="s">
        <v>2779</v>
      </c>
      <c r="M65" s="25" t="s">
        <v>578</v>
      </c>
      <c r="N65" s="25">
        <v>2.0</v>
      </c>
      <c r="O65" s="25" t="s">
        <v>3888</v>
      </c>
      <c r="P65" s="25"/>
      <c r="Q65" s="25" t="s">
        <v>2795</v>
      </c>
    </row>
    <row r="66" ht="15.75" customHeight="1">
      <c r="A66" s="25" t="s">
        <v>3796</v>
      </c>
      <c r="B66" s="25" t="s">
        <v>2951</v>
      </c>
      <c r="C66" s="25" t="s">
        <v>3763</v>
      </c>
      <c r="D66" s="25" t="s">
        <v>2779</v>
      </c>
      <c r="E66" s="25" t="s">
        <v>1679</v>
      </c>
      <c r="F66" s="25" t="s">
        <v>3764</v>
      </c>
      <c r="G66" s="25">
        <v>2.0</v>
      </c>
      <c r="H66" s="25">
        <v>0.0</v>
      </c>
      <c r="I66" s="25"/>
      <c r="J66" s="25"/>
      <c r="K66" s="25" t="s">
        <v>3797</v>
      </c>
      <c r="L66" s="25" t="s">
        <v>2779</v>
      </c>
      <c r="M66" s="25" t="s">
        <v>572</v>
      </c>
      <c r="N66" s="25">
        <v>1.0</v>
      </c>
      <c r="O66" s="25" t="s">
        <v>3888</v>
      </c>
      <c r="P66" s="25"/>
      <c r="Q66" s="25" t="s">
        <v>2955</v>
      </c>
    </row>
    <row r="67" ht="15.75" customHeight="1">
      <c r="A67" s="25" t="s">
        <v>3798</v>
      </c>
      <c r="B67" s="25" t="s">
        <v>2952</v>
      </c>
      <c r="C67" s="25" t="s">
        <v>3763</v>
      </c>
      <c r="D67" s="25" t="s">
        <v>2779</v>
      </c>
      <c r="E67" s="25" t="s">
        <v>1679</v>
      </c>
      <c r="F67" s="25" t="s">
        <v>3767</v>
      </c>
      <c r="G67" s="25">
        <v>3.0</v>
      </c>
      <c r="H67" s="25">
        <v>3.0</v>
      </c>
      <c r="I67" s="25"/>
      <c r="J67" s="25"/>
      <c r="K67" s="25" t="s">
        <v>3799</v>
      </c>
      <c r="L67" s="25" t="s">
        <v>2779</v>
      </c>
      <c r="M67" s="25" t="s">
        <v>578</v>
      </c>
      <c r="N67" s="25">
        <v>3.0</v>
      </c>
      <c r="O67" s="25" t="s">
        <v>3888</v>
      </c>
      <c r="P67" s="25"/>
      <c r="Q67" s="25" t="s">
        <v>2960</v>
      </c>
    </row>
    <row r="68" ht="15.75" customHeight="1">
      <c r="A68" s="25" t="s">
        <v>3800</v>
      </c>
      <c r="B68" s="25" t="s">
        <v>3077</v>
      </c>
      <c r="C68" s="25" t="s">
        <v>3763</v>
      </c>
      <c r="D68" s="25" t="s">
        <v>2779</v>
      </c>
      <c r="E68" s="25" t="s">
        <v>1678</v>
      </c>
      <c r="F68" s="25" t="s">
        <v>3764</v>
      </c>
      <c r="G68" s="25">
        <v>2.0</v>
      </c>
      <c r="H68" s="25">
        <v>1.0</v>
      </c>
      <c r="I68" s="25"/>
      <c r="J68" s="25"/>
      <c r="K68" s="25" t="s">
        <v>3801</v>
      </c>
      <c r="L68" s="25" t="s">
        <v>2779</v>
      </c>
      <c r="M68" s="25" t="s">
        <v>572</v>
      </c>
      <c r="N68" s="25">
        <v>2.0</v>
      </c>
      <c r="O68" s="25" t="s">
        <v>3888</v>
      </c>
      <c r="P68" s="25"/>
      <c r="Q68" s="25" t="s">
        <v>3081</v>
      </c>
    </row>
    <row r="69" ht="15.75" customHeight="1">
      <c r="A69" s="25" t="s">
        <v>3802</v>
      </c>
      <c r="B69" s="25" t="s">
        <v>3078</v>
      </c>
      <c r="C69" s="25" t="s">
        <v>3763</v>
      </c>
      <c r="D69" s="25" t="s">
        <v>2779</v>
      </c>
      <c r="E69" s="25" t="s">
        <v>1678</v>
      </c>
      <c r="F69" s="25" t="s">
        <v>3767</v>
      </c>
      <c r="G69" s="25">
        <v>3.0</v>
      </c>
      <c r="H69" s="25">
        <v>3.0</v>
      </c>
      <c r="I69" s="25"/>
      <c r="J69" s="25"/>
      <c r="K69" s="25" t="s">
        <v>3788</v>
      </c>
      <c r="L69" s="25" t="s">
        <v>2779</v>
      </c>
      <c r="M69" s="25" t="s">
        <v>578</v>
      </c>
      <c r="N69" s="25">
        <v>2.0</v>
      </c>
      <c r="O69" s="25" t="s">
        <v>3888</v>
      </c>
      <c r="P69" s="25"/>
      <c r="Q69" s="25" t="s">
        <v>3086</v>
      </c>
    </row>
    <row r="70" ht="15.75" customHeight="1">
      <c r="A70" s="25" t="s">
        <v>3803</v>
      </c>
      <c r="B70" s="25" t="s">
        <v>2810</v>
      </c>
      <c r="C70" s="25" t="s">
        <v>3763</v>
      </c>
      <c r="D70" s="25" t="s">
        <v>2805</v>
      </c>
      <c r="E70" s="25" t="s">
        <v>2113</v>
      </c>
      <c r="F70" s="25" t="s">
        <v>3764</v>
      </c>
      <c r="G70" s="25">
        <v>2.0</v>
      </c>
      <c r="H70" s="25">
        <v>1.0</v>
      </c>
      <c r="I70" s="25"/>
      <c r="J70" s="25"/>
      <c r="K70" s="25" t="s">
        <v>3801</v>
      </c>
      <c r="L70" s="25" t="s">
        <v>2805</v>
      </c>
      <c r="M70" s="25" t="s">
        <v>572</v>
      </c>
      <c r="N70" s="25">
        <v>3.0</v>
      </c>
      <c r="O70" s="25" t="s">
        <v>3888</v>
      </c>
      <c r="P70" s="25"/>
      <c r="Q70" s="25" t="s">
        <v>2814</v>
      </c>
    </row>
    <row r="71" ht="15.75" customHeight="1">
      <c r="A71" s="25" t="s">
        <v>3804</v>
      </c>
      <c r="B71" s="25" t="s">
        <v>2811</v>
      </c>
      <c r="C71" s="25" t="s">
        <v>3763</v>
      </c>
      <c r="D71" s="25" t="s">
        <v>2805</v>
      </c>
      <c r="E71" s="25" t="s">
        <v>2113</v>
      </c>
      <c r="F71" s="25" t="s">
        <v>3767</v>
      </c>
      <c r="G71" s="25">
        <v>3.0</v>
      </c>
      <c r="H71" s="25">
        <v>2.0</v>
      </c>
      <c r="I71" s="25"/>
      <c r="J71" s="25"/>
      <c r="K71" s="25" t="s">
        <v>3772</v>
      </c>
      <c r="L71" s="25" t="s">
        <v>2805</v>
      </c>
      <c r="M71" s="25" t="s">
        <v>578</v>
      </c>
      <c r="N71" s="25">
        <v>2.0</v>
      </c>
      <c r="O71" s="25" t="s">
        <v>3888</v>
      </c>
      <c r="P71" s="25"/>
      <c r="Q71" s="25" t="s">
        <v>2821</v>
      </c>
    </row>
    <row r="72" ht="15.75" customHeight="1">
      <c r="A72" s="25" t="s">
        <v>3805</v>
      </c>
      <c r="B72" s="25" t="s">
        <v>2967</v>
      </c>
      <c r="C72" s="25" t="s">
        <v>3763</v>
      </c>
      <c r="D72" s="25" t="s">
        <v>2805</v>
      </c>
      <c r="E72" s="25" t="s">
        <v>1679</v>
      </c>
      <c r="F72" s="25" t="s">
        <v>3764</v>
      </c>
      <c r="G72" s="25">
        <v>2.0</v>
      </c>
      <c r="H72" s="25">
        <v>0.0</v>
      </c>
      <c r="I72" s="25"/>
      <c r="J72" s="25"/>
      <c r="K72" s="25" t="s">
        <v>3797</v>
      </c>
      <c r="L72" s="25" t="s">
        <v>2805</v>
      </c>
      <c r="M72" s="25" t="s">
        <v>572</v>
      </c>
      <c r="N72" s="25">
        <v>1.0</v>
      </c>
      <c r="O72" s="25" t="s">
        <v>3888</v>
      </c>
      <c r="P72" s="25"/>
      <c r="Q72" s="25" t="s">
        <v>2971</v>
      </c>
    </row>
    <row r="73" ht="15.75" customHeight="1">
      <c r="A73" s="25" t="s">
        <v>3806</v>
      </c>
      <c r="B73" s="25" t="s">
        <v>2968</v>
      </c>
      <c r="C73" s="25" t="s">
        <v>3763</v>
      </c>
      <c r="D73" s="25" t="s">
        <v>2805</v>
      </c>
      <c r="E73" s="25" t="s">
        <v>1679</v>
      </c>
      <c r="F73" s="25" t="s">
        <v>3767</v>
      </c>
      <c r="G73" s="25">
        <v>3.0</v>
      </c>
      <c r="H73" s="25">
        <v>1.0</v>
      </c>
      <c r="I73" s="25"/>
      <c r="J73" s="25"/>
      <c r="K73" s="25" t="s">
        <v>3807</v>
      </c>
      <c r="L73" s="25" t="s">
        <v>2805</v>
      </c>
      <c r="M73" s="25" t="s">
        <v>578</v>
      </c>
      <c r="N73" s="25">
        <v>3.0</v>
      </c>
      <c r="O73" s="25" t="s">
        <v>3898</v>
      </c>
      <c r="P73" s="25" t="s">
        <v>3900</v>
      </c>
      <c r="Q73" s="25" t="s">
        <v>2976</v>
      </c>
    </row>
    <row r="74" ht="15.75" customHeight="1">
      <c r="A74" s="25" t="s">
        <v>3808</v>
      </c>
      <c r="B74" s="25" t="s">
        <v>3093</v>
      </c>
      <c r="C74" s="25" t="s">
        <v>3763</v>
      </c>
      <c r="D74" s="25" t="s">
        <v>2805</v>
      </c>
      <c r="E74" s="25" t="s">
        <v>1678</v>
      </c>
      <c r="F74" s="25" t="s">
        <v>3764</v>
      </c>
      <c r="G74" s="25">
        <v>2.0</v>
      </c>
      <c r="H74" s="25">
        <v>1.0</v>
      </c>
      <c r="I74" s="25"/>
      <c r="J74" s="25"/>
      <c r="K74" s="25" t="s">
        <v>3809</v>
      </c>
      <c r="L74" s="25" t="s">
        <v>2805</v>
      </c>
      <c r="M74" s="25" t="s">
        <v>572</v>
      </c>
      <c r="N74" s="25">
        <v>3.0</v>
      </c>
      <c r="O74" s="25" t="s">
        <v>3898</v>
      </c>
      <c r="P74" s="25" t="s">
        <v>3900</v>
      </c>
      <c r="Q74" s="25" t="s">
        <v>3097</v>
      </c>
    </row>
    <row r="75" ht="15.75" customHeight="1">
      <c r="A75" s="25" t="s">
        <v>3810</v>
      </c>
      <c r="B75" s="25" t="s">
        <v>3094</v>
      </c>
      <c r="C75" s="25" t="s">
        <v>3763</v>
      </c>
      <c r="D75" s="25" t="s">
        <v>2805</v>
      </c>
      <c r="E75" s="25" t="s">
        <v>1678</v>
      </c>
      <c r="F75" s="25" t="s">
        <v>3767</v>
      </c>
      <c r="G75" s="25">
        <v>3.0</v>
      </c>
      <c r="H75" s="25">
        <v>2.0</v>
      </c>
      <c r="I75" s="25"/>
      <c r="J75" s="25"/>
      <c r="K75" s="25" t="s">
        <v>3811</v>
      </c>
      <c r="L75" s="25" t="s">
        <v>2805</v>
      </c>
      <c r="M75" s="25" t="s">
        <v>578</v>
      </c>
      <c r="N75" s="25">
        <v>3.0</v>
      </c>
      <c r="O75" s="25" t="s">
        <v>3898</v>
      </c>
      <c r="P75" s="25" t="s">
        <v>3900</v>
      </c>
      <c r="Q75" s="25" t="s">
        <v>3102</v>
      </c>
    </row>
    <row r="76" ht="15.75" customHeight="1">
      <c r="A76" s="25" t="s">
        <v>3812</v>
      </c>
      <c r="B76" s="25" t="s">
        <v>2836</v>
      </c>
      <c r="C76" s="25" t="s">
        <v>3763</v>
      </c>
      <c r="D76" s="25" t="s">
        <v>2831</v>
      </c>
      <c r="E76" s="25" t="s">
        <v>2113</v>
      </c>
      <c r="F76" s="25" t="s">
        <v>3764</v>
      </c>
      <c r="G76" s="25">
        <v>2.0</v>
      </c>
      <c r="H76" s="25">
        <v>1.0</v>
      </c>
      <c r="I76" s="25"/>
      <c r="J76" s="25"/>
      <c r="K76" s="25" t="s">
        <v>40</v>
      </c>
      <c r="L76" s="25" t="s">
        <v>2831</v>
      </c>
      <c r="M76" s="25" t="s">
        <v>572</v>
      </c>
      <c r="N76" s="25">
        <v>1.0</v>
      </c>
      <c r="O76" s="25" t="s">
        <v>3888</v>
      </c>
      <c r="P76" s="25"/>
      <c r="Q76" s="25" t="s">
        <v>2840</v>
      </c>
    </row>
    <row r="77" ht="15.75" customHeight="1">
      <c r="A77" s="25" t="s">
        <v>3813</v>
      </c>
      <c r="B77" s="25" t="s">
        <v>2837</v>
      </c>
      <c r="C77" s="25" t="s">
        <v>3763</v>
      </c>
      <c r="D77" s="25" t="s">
        <v>2831</v>
      </c>
      <c r="E77" s="25" t="s">
        <v>2113</v>
      </c>
      <c r="F77" s="25" t="s">
        <v>3767</v>
      </c>
      <c r="G77" s="25">
        <v>3.0</v>
      </c>
      <c r="H77" s="25">
        <v>2.0</v>
      </c>
      <c r="I77" s="25"/>
      <c r="J77" s="25"/>
      <c r="K77" s="25" t="s">
        <v>3781</v>
      </c>
      <c r="L77" s="25" t="s">
        <v>2831</v>
      </c>
      <c r="M77" s="25" t="s">
        <v>578</v>
      </c>
      <c r="N77" s="25">
        <v>2.0</v>
      </c>
      <c r="O77" s="25" t="s">
        <v>3888</v>
      </c>
      <c r="P77" s="25"/>
      <c r="Q77" s="25" t="s">
        <v>2846</v>
      </c>
    </row>
    <row r="78" ht="15.75" customHeight="1">
      <c r="A78" s="25" t="s">
        <v>3814</v>
      </c>
      <c r="B78" s="25" t="s">
        <v>2983</v>
      </c>
      <c r="C78" s="25" t="s">
        <v>3763</v>
      </c>
      <c r="D78" s="25" t="s">
        <v>2831</v>
      </c>
      <c r="E78" s="25" t="s">
        <v>1679</v>
      </c>
      <c r="F78" s="25" t="s">
        <v>3764</v>
      </c>
      <c r="G78" s="25">
        <v>2.0</v>
      </c>
      <c r="H78" s="25">
        <v>0.0</v>
      </c>
      <c r="I78" s="25"/>
      <c r="J78" s="25"/>
      <c r="K78" s="25" t="s">
        <v>3797</v>
      </c>
      <c r="L78" s="25" t="s">
        <v>2831</v>
      </c>
      <c r="M78" s="25" t="s">
        <v>572</v>
      </c>
      <c r="N78" s="25">
        <v>1.0</v>
      </c>
      <c r="O78" s="25" t="s">
        <v>3888</v>
      </c>
      <c r="P78" s="25"/>
      <c r="Q78" s="25" t="s">
        <v>2987</v>
      </c>
    </row>
    <row r="79" ht="15.75" customHeight="1">
      <c r="A79" s="25" t="s">
        <v>3815</v>
      </c>
      <c r="B79" s="25" t="s">
        <v>2984</v>
      </c>
      <c r="C79" s="25" t="s">
        <v>3763</v>
      </c>
      <c r="D79" s="25" t="s">
        <v>2831</v>
      </c>
      <c r="E79" s="25" t="s">
        <v>1679</v>
      </c>
      <c r="F79" s="25" t="s">
        <v>3767</v>
      </c>
      <c r="G79" s="25">
        <v>3.0</v>
      </c>
      <c r="H79" s="25">
        <v>2.0</v>
      </c>
      <c r="I79" s="25"/>
      <c r="J79" s="25"/>
      <c r="K79" s="25" t="s">
        <v>3781</v>
      </c>
      <c r="L79" s="25" t="s">
        <v>2831</v>
      </c>
      <c r="M79" s="25" t="s">
        <v>578</v>
      </c>
      <c r="N79" s="25">
        <v>2.0</v>
      </c>
      <c r="O79" s="25" t="s">
        <v>3888</v>
      </c>
      <c r="P79" s="25"/>
      <c r="Q79" s="25" t="s">
        <v>2928</v>
      </c>
    </row>
    <row r="80" ht="15.75" customHeight="1">
      <c r="A80" s="25" t="s">
        <v>3816</v>
      </c>
      <c r="B80" s="25" t="s">
        <v>3109</v>
      </c>
      <c r="C80" s="25" t="s">
        <v>3763</v>
      </c>
      <c r="D80" s="25" t="s">
        <v>2831</v>
      </c>
      <c r="E80" s="25" t="s">
        <v>1678</v>
      </c>
      <c r="F80" s="25" t="s">
        <v>3764</v>
      </c>
      <c r="G80" s="25">
        <v>2.0</v>
      </c>
      <c r="H80" s="25">
        <v>1.0</v>
      </c>
      <c r="I80" s="25"/>
      <c r="J80" s="25"/>
      <c r="K80" s="25" t="s">
        <v>40</v>
      </c>
      <c r="L80" s="25" t="s">
        <v>2831</v>
      </c>
      <c r="M80" s="25" t="s">
        <v>572</v>
      </c>
      <c r="N80" s="25">
        <v>1.0</v>
      </c>
      <c r="O80" s="25" t="s">
        <v>3888</v>
      </c>
      <c r="P80" s="25"/>
      <c r="Q80" s="25" t="s">
        <v>2887</v>
      </c>
    </row>
    <row r="81" ht="15.75" customHeight="1">
      <c r="A81" s="25" t="s">
        <v>3817</v>
      </c>
      <c r="B81" s="25" t="s">
        <v>3110</v>
      </c>
      <c r="C81" s="25" t="s">
        <v>3763</v>
      </c>
      <c r="D81" s="25" t="s">
        <v>2831</v>
      </c>
      <c r="E81" s="25" t="s">
        <v>1678</v>
      </c>
      <c r="F81" s="25" t="s">
        <v>3767</v>
      </c>
      <c r="G81" s="25">
        <v>3.0</v>
      </c>
      <c r="H81" s="25">
        <v>2.0</v>
      </c>
      <c r="I81" s="25"/>
      <c r="J81" s="25"/>
      <c r="K81" s="25" t="s">
        <v>3818</v>
      </c>
      <c r="L81" s="25" t="s">
        <v>2831</v>
      </c>
      <c r="M81" s="25" t="s">
        <v>578</v>
      </c>
      <c r="N81" s="25">
        <v>3.0</v>
      </c>
      <c r="O81" s="25" t="s">
        <v>3898</v>
      </c>
      <c r="P81" s="25" t="s">
        <v>3900</v>
      </c>
      <c r="Q81" s="25" t="s">
        <v>3117</v>
      </c>
    </row>
    <row r="82" ht="15.75" customHeight="1">
      <c r="A82" s="25" t="s">
        <v>3819</v>
      </c>
      <c r="B82" s="25" t="s">
        <v>2860</v>
      </c>
      <c r="C82" s="25" t="s">
        <v>3763</v>
      </c>
      <c r="D82" s="25" t="s">
        <v>2855</v>
      </c>
      <c r="E82" s="25" t="s">
        <v>2113</v>
      </c>
      <c r="F82" s="25" t="s">
        <v>3764</v>
      </c>
      <c r="G82" s="25">
        <v>2.0</v>
      </c>
      <c r="H82" s="25">
        <v>1.0</v>
      </c>
      <c r="I82" s="25"/>
      <c r="J82" s="25"/>
      <c r="K82" s="25" t="s">
        <v>3785</v>
      </c>
      <c r="L82" s="25" t="s">
        <v>2855</v>
      </c>
      <c r="M82" s="25" t="s">
        <v>572</v>
      </c>
      <c r="N82" s="25">
        <v>1.0</v>
      </c>
      <c r="O82" s="25" t="s">
        <v>3888</v>
      </c>
      <c r="P82" s="25"/>
      <c r="Q82" s="25" t="s">
        <v>2763</v>
      </c>
    </row>
    <row r="83" ht="15.75" customHeight="1">
      <c r="A83" s="25" t="s">
        <v>3820</v>
      </c>
      <c r="B83" s="25" t="s">
        <v>2861</v>
      </c>
      <c r="C83" s="25" t="s">
        <v>3763</v>
      </c>
      <c r="D83" s="25" t="s">
        <v>2855</v>
      </c>
      <c r="E83" s="25" t="s">
        <v>2113</v>
      </c>
      <c r="F83" s="25" t="s">
        <v>3767</v>
      </c>
      <c r="G83" s="25">
        <v>3.0</v>
      </c>
      <c r="H83" s="25">
        <v>3.0</v>
      </c>
      <c r="I83" s="25"/>
      <c r="J83" s="25"/>
      <c r="K83" s="25" t="s">
        <v>3788</v>
      </c>
      <c r="L83" s="25" t="s">
        <v>2855</v>
      </c>
      <c r="M83" s="25" t="s">
        <v>578</v>
      </c>
      <c r="N83" s="25">
        <v>2.0</v>
      </c>
      <c r="O83" s="25" t="s">
        <v>3888</v>
      </c>
      <c r="P83" s="25"/>
      <c r="Q83" s="25" t="s">
        <v>2769</v>
      </c>
    </row>
    <row r="84" ht="15.75" customHeight="1">
      <c r="A84" s="25" t="s">
        <v>3821</v>
      </c>
      <c r="B84" s="25" t="s">
        <v>2998</v>
      </c>
      <c r="C84" s="25" t="s">
        <v>3763</v>
      </c>
      <c r="D84" s="25" t="s">
        <v>2855</v>
      </c>
      <c r="E84" s="25" t="s">
        <v>1679</v>
      </c>
      <c r="F84" s="25" t="s">
        <v>3764</v>
      </c>
      <c r="G84" s="25">
        <v>2.0</v>
      </c>
      <c r="H84" s="25">
        <v>1.0</v>
      </c>
      <c r="I84" s="25"/>
      <c r="J84" s="25"/>
      <c r="K84" s="25" t="s">
        <v>40</v>
      </c>
      <c r="L84" s="25" t="s">
        <v>2855</v>
      </c>
      <c r="M84" s="25" t="s">
        <v>572</v>
      </c>
      <c r="N84" s="25">
        <v>1.0</v>
      </c>
      <c r="O84" s="25" t="s">
        <v>3888</v>
      </c>
      <c r="P84" s="25"/>
      <c r="Q84" s="25" t="s">
        <v>2939</v>
      </c>
    </row>
    <row r="85" ht="15.75" customHeight="1">
      <c r="A85" s="25" t="s">
        <v>3822</v>
      </c>
      <c r="B85" s="25" t="s">
        <v>2999</v>
      </c>
      <c r="C85" s="25" t="s">
        <v>3763</v>
      </c>
      <c r="D85" s="25" t="s">
        <v>2855</v>
      </c>
      <c r="E85" s="25" t="s">
        <v>1679</v>
      </c>
      <c r="F85" s="25" t="s">
        <v>3767</v>
      </c>
      <c r="G85" s="25">
        <v>3.0</v>
      </c>
      <c r="H85" s="25">
        <v>1.0</v>
      </c>
      <c r="I85" s="25"/>
      <c r="J85" s="25"/>
      <c r="K85" s="25" t="s">
        <v>3797</v>
      </c>
      <c r="L85" s="25" t="s">
        <v>2855</v>
      </c>
      <c r="M85" s="25" t="s">
        <v>578</v>
      </c>
      <c r="N85" s="25">
        <v>2.0</v>
      </c>
      <c r="O85" s="25" t="s">
        <v>3888</v>
      </c>
      <c r="P85" s="25"/>
      <c r="Q85" s="25" t="s">
        <v>3006</v>
      </c>
    </row>
    <row r="86" ht="15.75" customHeight="1">
      <c r="A86" s="25" t="s">
        <v>3823</v>
      </c>
      <c r="B86" s="25" t="s">
        <v>3124</v>
      </c>
      <c r="C86" s="25" t="s">
        <v>3763</v>
      </c>
      <c r="D86" s="25" t="s">
        <v>2855</v>
      </c>
      <c r="E86" s="25" t="s">
        <v>1678</v>
      </c>
      <c r="F86" s="25" t="s">
        <v>3764</v>
      </c>
      <c r="G86" s="25">
        <v>2.0</v>
      </c>
      <c r="H86" s="25">
        <v>1.0</v>
      </c>
      <c r="I86" s="25"/>
      <c r="J86" s="25"/>
      <c r="K86" s="25" t="s">
        <v>3785</v>
      </c>
      <c r="L86" s="25" t="s">
        <v>2855</v>
      </c>
      <c r="M86" s="25" t="s">
        <v>572</v>
      </c>
      <c r="N86" s="25">
        <v>1.0</v>
      </c>
      <c r="O86" s="25" t="s">
        <v>3888</v>
      </c>
      <c r="P86" s="25"/>
      <c r="Q86" s="25" t="s">
        <v>2763</v>
      </c>
    </row>
    <row r="87" ht="15.75" customHeight="1">
      <c r="A87" s="25" t="s">
        <v>3824</v>
      </c>
      <c r="B87" s="25" t="s">
        <v>3125</v>
      </c>
      <c r="C87" s="25" t="s">
        <v>3763</v>
      </c>
      <c r="D87" s="25" t="s">
        <v>2855</v>
      </c>
      <c r="E87" s="25" t="s">
        <v>1678</v>
      </c>
      <c r="F87" s="25" t="s">
        <v>3767</v>
      </c>
      <c r="G87" s="25">
        <v>3.0</v>
      </c>
      <c r="H87" s="25">
        <v>3.0</v>
      </c>
      <c r="I87" s="25"/>
      <c r="J87" s="25"/>
      <c r="K87" s="25" t="s">
        <v>3788</v>
      </c>
      <c r="L87" s="25" t="s">
        <v>2855</v>
      </c>
      <c r="M87" s="25" t="s">
        <v>578</v>
      </c>
      <c r="N87" s="25">
        <v>2.0</v>
      </c>
      <c r="O87" s="25" t="s">
        <v>3888</v>
      </c>
      <c r="P87" s="25"/>
      <c r="Q87" s="25" t="s">
        <v>3070</v>
      </c>
    </row>
    <row r="88" ht="15.75" customHeight="1">
      <c r="A88" s="25" t="s">
        <v>3825</v>
      </c>
      <c r="B88" s="25" t="s">
        <v>2883</v>
      </c>
      <c r="C88" s="25" t="s">
        <v>3763</v>
      </c>
      <c r="D88" s="25" t="s">
        <v>2878</v>
      </c>
      <c r="E88" s="25" t="s">
        <v>2113</v>
      </c>
      <c r="F88" s="25" t="s">
        <v>3764</v>
      </c>
      <c r="G88" s="25">
        <v>2.0</v>
      </c>
      <c r="H88" s="25">
        <v>1.0</v>
      </c>
      <c r="I88" s="25"/>
      <c r="J88" s="25"/>
      <c r="K88" s="25" t="s">
        <v>40</v>
      </c>
      <c r="L88" s="25" t="s">
        <v>2878</v>
      </c>
      <c r="M88" s="25" t="s">
        <v>572</v>
      </c>
      <c r="N88" s="25">
        <v>1.0</v>
      </c>
      <c r="O88" s="25" t="s">
        <v>3888</v>
      </c>
      <c r="P88" s="25"/>
      <c r="Q88" s="25" t="s">
        <v>2887</v>
      </c>
    </row>
    <row r="89" ht="15.75" customHeight="1">
      <c r="A89" s="25" t="s">
        <v>3826</v>
      </c>
      <c r="B89" s="25" t="s">
        <v>2884</v>
      </c>
      <c r="C89" s="25" t="s">
        <v>3763</v>
      </c>
      <c r="D89" s="25" t="s">
        <v>2878</v>
      </c>
      <c r="E89" s="25" t="s">
        <v>2113</v>
      </c>
      <c r="F89" s="25" t="s">
        <v>3767</v>
      </c>
      <c r="G89" s="25">
        <v>3.0</v>
      </c>
      <c r="H89" s="25">
        <v>2.0</v>
      </c>
      <c r="I89" s="25"/>
      <c r="J89" s="25"/>
      <c r="K89" s="25" t="s">
        <v>3827</v>
      </c>
      <c r="L89" s="25" t="s">
        <v>2878</v>
      </c>
      <c r="M89" s="25" t="s">
        <v>578</v>
      </c>
      <c r="N89" s="25">
        <v>2.0</v>
      </c>
      <c r="O89" s="25" t="s">
        <v>3888</v>
      </c>
      <c r="P89" s="25"/>
      <c r="Q89" s="25" t="s">
        <v>2893</v>
      </c>
    </row>
    <row r="90" ht="15.75" customHeight="1">
      <c r="A90" s="25" t="s">
        <v>3828</v>
      </c>
      <c r="B90" s="25" t="s">
        <v>3013</v>
      </c>
      <c r="C90" s="25" t="s">
        <v>3763</v>
      </c>
      <c r="D90" s="25" t="s">
        <v>2878</v>
      </c>
      <c r="E90" s="25" t="s">
        <v>1679</v>
      </c>
      <c r="F90" s="25" t="s">
        <v>3764</v>
      </c>
      <c r="G90" s="25">
        <v>2.0</v>
      </c>
      <c r="H90" s="25">
        <v>0.0</v>
      </c>
      <c r="I90" s="25"/>
      <c r="J90" s="25"/>
      <c r="K90" s="25" t="s">
        <v>3797</v>
      </c>
      <c r="L90" s="25" t="s">
        <v>2878</v>
      </c>
      <c r="M90" s="25" t="s">
        <v>572</v>
      </c>
      <c r="N90" s="25">
        <v>1.0</v>
      </c>
      <c r="O90" s="25" t="s">
        <v>3888</v>
      </c>
      <c r="P90" s="25"/>
      <c r="Q90" s="25" t="s">
        <v>3017</v>
      </c>
    </row>
    <row r="91" ht="15.75" customHeight="1">
      <c r="A91" s="25" t="s">
        <v>3829</v>
      </c>
      <c r="B91" s="25" t="s">
        <v>3014</v>
      </c>
      <c r="C91" s="25" t="s">
        <v>3763</v>
      </c>
      <c r="D91" s="25" t="s">
        <v>2878</v>
      </c>
      <c r="E91" s="25" t="s">
        <v>1679</v>
      </c>
      <c r="F91" s="25" t="s">
        <v>3767</v>
      </c>
      <c r="G91" s="25">
        <v>3.0</v>
      </c>
      <c r="H91" s="25">
        <v>2.0</v>
      </c>
      <c r="I91" s="25"/>
      <c r="J91" s="25"/>
      <c r="K91" s="25" t="s">
        <v>3830</v>
      </c>
      <c r="L91" s="25" t="s">
        <v>2878</v>
      </c>
      <c r="M91" s="25" t="s">
        <v>578</v>
      </c>
      <c r="N91" s="25">
        <v>2.0</v>
      </c>
      <c r="O91" s="25" t="s">
        <v>3898</v>
      </c>
      <c r="P91" s="25" t="s">
        <v>3900</v>
      </c>
      <c r="Q91" s="25" t="s">
        <v>3022</v>
      </c>
    </row>
    <row r="92" ht="15.75" customHeight="1">
      <c r="A92" s="25" t="s">
        <v>3831</v>
      </c>
      <c r="B92" s="25" t="s">
        <v>3138</v>
      </c>
      <c r="C92" s="25" t="s">
        <v>3763</v>
      </c>
      <c r="D92" s="25" t="s">
        <v>2878</v>
      </c>
      <c r="E92" s="25" t="s">
        <v>1678</v>
      </c>
      <c r="F92" s="25" t="s">
        <v>3764</v>
      </c>
      <c r="G92" s="25">
        <v>2.0</v>
      </c>
      <c r="H92" s="25">
        <v>1.0</v>
      </c>
      <c r="I92" s="25"/>
      <c r="J92" s="25"/>
      <c r="K92" s="25" t="s">
        <v>40</v>
      </c>
      <c r="L92" s="25" t="s">
        <v>2878</v>
      </c>
      <c r="M92" s="25" t="s">
        <v>572</v>
      </c>
      <c r="N92" s="25">
        <v>1.0</v>
      </c>
      <c r="O92" s="25" t="s">
        <v>3888</v>
      </c>
      <c r="P92" s="25"/>
      <c r="Q92" s="25" t="s">
        <v>2887</v>
      </c>
    </row>
    <row r="93" ht="15.75" customHeight="1">
      <c r="A93" s="25" t="s">
        <v>3832</v>
      </c>
      <c r="B93" s="25" t="s">
        <v>3139</v>
      </c>
      <c r="C93" s="25" t="s">
        <v>3763</v>
      </c>
      <c r="D93" s="25" t="s">
        <v>2878</v>
      </c>
      <c r="E93" s="25" t="s">
        <v>1678</v>
      </c>
      <c r="F93" s="25" t="s">
        <v>3767</v>
      </c>
      <c r="G93" s="25">
        <v>3.0</v>
      </c>
      <c r="H93" s="25">
        <v>2.0</v>
      </c>
      <c r="I93" s="25"/>
      <c r="J93" s="25"/>
      <c r="K93" s="25" t="s">
        <v>3827</v>
      </c>
      <c r="L93" s="25" t="s">
        <v>2878</v>
      </c>
      <c r="M93" s="25" t="s">
        <v>578</v>
      </c>
      <c r="N93" s="25">
        <v>2.0</v>
      </c>
      <c r="O93" s="25" t="s">
        <v>3888</v>
      </c>
      <c r="P93" s="25"/>
      <c r="Q93" s="25" t="s">
        <v>3146</v>
      </c>
    </row>
    <row r="94" ht="15.75" customHeight="1">
      <c r="A94" s="25" t="s">
        <v>3833</v>
      </c>
      <c r="B94" s="25" t="s">
        <v>3157</v>
      </c>
      <c r="C94" s="25" t="s">
        <v>3834</v>
      </c>
      <c r="D94" s="25" t="s">
        <v>3154</v>
      </c>
      <c r="E94" s="25" t="s">
        <v>1680</v>
      </c>
      <c r="F94" s="25" t="s">
        <v>3764</v>
      </c>
      <c r="G94" s="25">
        <v>2.0</v>
      </c>
      <c r="H94" s="25">
        <v>0.0</v>
      </c>
      <c r="I94" s="25"/>
      <c r="J94" s="25"/>
      <c r="K94" s="25" t="s">
        <v>3797</v>
      </c>
      <c r="L94" s="25" t="s">
        <v>3154</v>
      </c>
      <c r="M94" s="25" t="s">
        <v>572</v>
      </c>
      <c r="N94" s="25">
        <v>1.0</v>
      </c>
      <c r="O94" s="25" t="s">
        <v>3888</v>
      </c>
      <c r="P94" s="25"/>
      <c r="Q94" s="25" t="s">
        <v>3161</v>
      </c>
    </row>
    <row r="95" ht="15.75" customHeight="1">
      <c r="A95" s="25" t="s">
        <v>3835</v>
      </c>
      <c r="B95" s="25" t="s">
        <v>3158</v>
      </c>
      <c r="C95" s="25" t="s">
        <v>3834</v>
      </c>
      <c r="D95" s="25" t="s">
        <v>3154</v>
      </c>
      <c r="E95" s="25" t="s">
        <v>1680</v>
      </c>
      <c r="F95" s="25" t="s">
        <v>3767</v>
      </c>
      <c r="G95" s="25">
        <v>3.0</v>
      </c>
      <c r="H95" s="25">
        <v>1.0</v>
      </c>
      <c r="I95" s="25"/>
      <c r="J95" s="25"/>
      <c r="K95" s="25" t="s">
        <v>3797</v>
      </c>
      <c r="L95" s="25" t="s">
        <v>3154</v>
      </c>
      <c r="M95" s="25" t="s">
        <v>578</v>
      </c>
      <c r="N95" s="25">
        <v>1.0</v>
      </c>
      <c r="O95" s="25" t="s">
        <v>3888</v>
      </c>
      <c r="P95" s="25"/>
      <c r="Q95" s="25" t="s">
        <v>3166</v>
      </c>
    </row>
    <row r="96" ht="15.75" customHeight="1">
      <c r="A96" s="25" t="s">
        <v>3836</v>
      </c>
      <c r="B96" s="25" t="s">
        <v>3174</v>
      </c>
      <c r="C96" s="25" t="s">
        <v>3834</v>
      </c>
      <c r="D96" s="25" t="s">
        <v>3172</v>
      </c>
      <c r="E96" s="25" t="s">
        <v>1680</v>
      </c>
      <c r="F96" s="25" t="s">
        <v>3764</v>
      </c>
      <c r="G96" s="25">
        <v>2.0</v>
      </c>
      <c r="H96" s="25">
        <v>0.0</v>
      </c>
      <c r="I96" s="25"/>
      <c r="J96" s="25"/>
      <c r="K96" s="25" t="s">
        <v>3797</v>
      </c>
      <c r="L96" s="25" t="s">
        <v>3172</v>
      </c>
      <c r="M96" s="25" t="s">
        <v>572</v>
      </c>
      <c r="N96" s="25">
        <v>1.0</v>
      </c>
      <c r="O96" s="25" t="s">
        <v>3888</v>
      </c>
      <c r="P96" s="25"/>
      <c r="Q96" s="25" t="s">
        <v>2971</v>
      </c>
    </row>
    <row r="97" ht="15.75" customHeight="1">
      <c r="A97" s="25" t="s">
        <v>3837</v>
      </c>
      <c r="B97" s="25" t="s">
        <v>3175</v>
      </c>
      <c r="C97" s="25" t="s">
        <v>3834</v>
      </c>
      <c r="D97" s="25" t="s">
        <v>3172</v>
      </c>
      <c r="E97" s="25" t="s">
        <v>1680</v>
      </c>
      <c r="F97" s="25" t="s">
        <v>3767</v>
      </c>
      <c r="G97" s="25">
        <v>3.0</v>
      </c>
      <c r="H97" s="25">
        <v>1.0</v>
      </c>
      <c r="I97" s="25"/>
      <c r="J97" s="25"/>
      <c r="K97" s="25" t="s">
        <v>3797</v>
      </c>
      <c r="L97" s="25" t="s">
        <v>3172</v>
      </c>
      <c r="M97" s="25" t="s">
        <v>578</v>
      </c>
      <c r="N97" s="25">
        <v>2.0</v>
      </c>
      <c r="O97" s="25" t="s">
        <v>3888</v>
      </c>
      <c r="P97" s="25"/>
      <c r="Q97" s="25" t="s">
        <v>3182</v>
      </c>
    </row>
    <row r="98" ht="15.75" customHeight="1">
      <c r="A98" s="25" t="s">
        <v>3838</v>
      </c>
      <c r="B98" s="25" t="s">
        <v>3190</v>
      </c>
      <c r="C98" s="25" t="s">
        <v>3834</v>
      </c>
      <c r="D98" s="25" t="s">
        <v>3188</v>
      </c>
      <c r="E98" s="25" t="s">
        <v>1680</v>
      </c>
      <c r="F98" s="25" t="s">
        <v>3764</v>
      </c>
      <c r="G98" s="25">
        <v>2.0</v>
      </c>
      <c r="H98" s="25">
        <v>1.0</v>
      </c>
      <c r="I98" s="25"/>
      <c r="J98" s="25"/>
      <c r="K98" s="25" t="s">
        <v>40</v>
      </c>
      <c r="L98" s="25" t="s">
        <v>3188</v>
      </c>
      <c r="M98" s="25" t="s">
        <v>572</v>
      </c>
      <c r="N98" s="25">
        <v>1.0</v>
      </c>
      <c r="O98" s="25" t="s">
        <v>3888</v>
      </c>
      <c r="P98" s="25"/>
      <c r="Q98" s="25" t="s">
        <v>2840</v>
      </c>
    </row>
    <row r="99" ht="15.75" customHeight="1">
      <c r="A99" s="25" t="s">
        <v>3839</v>
      </c>
      <c r="B99" s="25" t="s">
        <v>3191</v>
      </c>
      <c r="C99" s="25" t="s">
        <v>3834</v>
      </c>
      <c r="D99" s="25" t="s">
        <v>3188</v>
      </c>
      <c r="E99" s="25" t="s">
        <v>1680</v>
      </c>
      <c r="F99" s="25" t="s">
        <v>3767</v>
      </c>
      <c r="G99" s="25">
        <v>3.0</v>
      </c>
      <c r="H99" s="25">
        <v>2.0</v>
      </c>
      <c r="I99" s="25"/>
      <c r="J99" s="25"/>
      <c r="K99" s="25" t="s">
        <v>3781</v>
      </c>
      <c r="L99" s="25" t="s">
        <v>3188</v>
      </c>
      <c r="M99" s="25" t="s">
        <v>578</v>
      </c>
      <c r="N99" s="25">
        <v>2.0</v>
      </c>
      <c r="O99" s="25" t="s">
        <v>3888</v>
      </c>
      <c r="P99" s="25"/>
      <c r="Q99" s="25" t="s">
        <v>3198</v>
      </c>
    </row>
    <row r="100" ht="15.75" customHeight="1">
      <c r="A100" s="25" t="s">
        <v>3840</v>
      </c>
      <c r="B100" s="25" t="s">
        <v>3206</v>
      </c>
      <c r="C100" s="25" t="s">
        <v>3834</v>
      </c>
      <c r="D100" s="25" t="s">
        <v>3204</v>
      </c>
      <c r="E100" s="25" t="s">
        <v>1680</v>
      </c>
      <c r="F100" s="25" t="s">
        <v>3764</v>
      </c>
      <c r="G100" s="25">
        <v>2.0</v>
      </c>
      <c r="H100" s="25">
        <v>1.0</v>
      </c>
      <c r="I100" s="25"/>
      <c r="J100" s="25"/>
      <c r="K100" s="25" t="s">
        <v>40</v>
      </c>
      <c r="L100" s="25" t="s">
        <v>3204</v>
      </c>
      <c r="M100" s="25" t="s">
        <v>572</v>
      </c>
      <c r="N100" s="25">
        <v>1.0</v>
      </c>
      <c r="O100" s="25" t="s">
        <v>3888</v>
      </c>
      <c r="P100" s="25"/>
      <c r="Q100" s="25" t="s">
        <v>2939</v>
      </c>
    </row>
    <row r="101" ht="15.75" customHeight="1">
      <c r="A101" s="25" t="s">
        <v>3841</v>
      </c>
      <c r="B101" s="25" t="s">
        <v>3207</v>
      </c>
      <c r="C101" s="25" t="s">
        <v>3834</v>
      </c>
      <c r="D101" s="25" t="s">
        <v>3204</v>
      </c>
      <c r="E101" s="25" t="s">
        <v>1680</v>
      </c>
      <c r="F101" s="25" t="s">
        <v>3767</v>
      </c>
      <c r="G101" s="25">
        <v>3.0</v>
      </c>
      <c r="H101" s="25">
        <v>1.0</v>
      </c>
      <c r="I101" s="25"/>
      <c r="J101" s="25"/>
      <c r="K101" s="25" t="s">
        <v>3797</v>
      </c>
      <c r="L101" s="25" t="s">
        <v>3204</v>
      </c>
      <c r="M101" s="25" t="s">
        <v>578</v>
      </c>
      <c r="N101" s="25">
        <v>2.0</v>
      </c>
      <c r="O101" s="25" t="s">
        <v>3888</v>
      </c>
      <c r="P101" s="25"/>
      <c r="Q101" s="25" t="s">
        <v>3006</v>
      </c>
    </row>
    <row r="102" ht="15.75" customHeight="1">
      <c r="A102" s="25" t="s">
        <v>3842</v>
      </c>
      <c r="B102" s="25" t="s">
        <v>3221</v>
      </c>
      <c r="C102" s="25" t="s">
        <v>3834</v>
      </c>
      <c r="D102" s="25" t="s">
        <v>3219</v>
      </c>
      <c r="E102" s="25" t="s">
        <v>1681</v>
      </c>
      <c r="F102" s="25" t="s">
        <v>3764</v>
      </c>
      <c r="G102" s="25">
        <v>2.0</v>
      </c>
      <c r="H102" s="25">
        <v>0.0</v>
      </c>
      <c r="I102" s="25"/>
      <c r="J102" s="25"/>
      <c r="K102" s="25" t="s">
        <v>3797</v>
      </c>
      <c r="L102" s="25" t="s">
        <v>3219</v>
      </c>
      <c r="M102" s="25" t="s">
        <v>572</v>
      </c>
      <c r="N102" s="25">
        <v>1.0</v>
      </c>
      <c r="O102" s="25" t="s">
        <v>3888</v>
      </c>
      <c r="P102" s="25"/>
      <c r="Q102" s="25" t="s">
        <v>2955</v>
      </c>
    </row>
    <row r="103" ht="15.75" customHeight="1">
      <c r="A103" s="25" t="s">
        <v>3843</v>
      </c>
      <c r="B103" s="25" t="s">
        <v>3222</v>
      </c>
      <c r="C103" s="25" t="s">
        <v>3834</v>
      </c>
      <c r="D103" s="25" t="s">
        <v>3219</v>
      </c>
      <c r="E103" s="25" t="s">
        <v>1681</v>
      </c>
      <c r="F103" s="25" t="s">
        <v>3767</v>
      </c>
      <c r="G103" s="25">
        <v>3.0</v>
      </c>
      <c r="H103" s="25">
        <v>1.0</v>
      </c>
      <c r="I103" s="25"/>
      <c r="J103" s="25"/>
      <c r="K103" s="25" t="s">
        <v>3807</v>
      </c>
      <c r="L103" s="25" t="s">
        <v>3219</v>
      </c>
      <c r="M103" s="25" t="s">
        <v>578</v>
      </c>
      <c r="N103" s="25">
        <v>3.0</v>
      </c>
      <c r="O103" s="25" t="s">
        <v>3898</v>
      </c>
      <c r="P103" s="25" t="s">
        <v>3900</v>
      </c>
      <c r="Q103" s="25" t="s">
        <v>3229</v>
      </c>
    </row>
    <row r="104" ht="15.75" customHeight="1">
      <c r="A104" s="25" t="s">
        <v>3844</v>
      </c>
      <c r="B104" s="25" t="s">
        <v>3237</v>
      </c>
      <c r="C104" s="25" t="s">
        <v>3834</v>
      </c>
      <c r="D104" s="25" t="s">
        <v>3235</v>
      </c>
      <c r="E104" s="25" t="s">
        <v>1681</v>
      </c>
      <c r="F104" s="25" t="s">
        <v>3764</v>
      </c>
      <c r="G104" s="25">
        <v>2.0</v>
      </c>
      <c r="H104" s="25">
        <v>0.0</v>
      </c>
      <c r="I104" s="25"/>
      <c r="J104" s="25"/>
      <c r="K104" s="25" t="s">
        <v>3797</v>
      </c>
      <c r="L104" s="25" t="s">
        <v>3235</v>
      </c>
      <c r="M104" s="25" t="s">
        <v>572</v>
      </c>
      <c r="N104" s="25">
        <v>1.0</v>
      </c>
      <c r="O104" s="25" t="s">
        <v>3888</v>
      </c>
      <c r="P104" s="25"/>
      <c r="Q104" s="25" t="s">
        <v>2971</v>
      </c>
    </row>
    <row r="105" ht="15.75" customHeight="1">
      <c r="A105" s="25" t="s">
        <v>3845</v>
      </c>
      <c r="B105" s="25" t="s">
        <v>3238</v>
      </c>
      <c r="C105" s="25" t="s">
        <v>3834</v>
      </c>
      <c r="D105" s="25" t="s">
        <v>3235</v>
      </c>
      <c r="E105" s="25" t="s">
        <v>1681</v>
      </c>
      <c r="F105" s="25" t="s">
        <v>3767</v>
      </c>
      <c r="G105" s="25">
        <v>3.0</v>
      </c>
      <c r="H105" s="25">
        <v>2.0</v>
      </c>
      <c r="I105" s="25"/>
      <c r="J105" s="25"/>
      <c r="K105" s="25" t="s">
        <v>3772</v>
      </c>
      <c r="L105" s="25" t="s">
        <v>3235</v>
      </c>
      <c r="M105" s="25" t="s">
        <v>578</v>
      </c>
      <c r="N105" s="25">
        <v>2.0</v>
      </c>
      <c r="O105" s="25" t="s">
        <v>3888</v>
      </c>
      <c r="P105" s="25"/>
      <c r="Q105" s="25" t="s">
        <v>3245</v>
      </c>
    </row>
    <row r="106" ht="15.75" customHeight="1">
      <c r="A106" s="25" t="s">
        <v>3846</v>
      </c>
      <c r="B106" s="25" t="s">
        <v>3253</v>
      </c>
      <c r="C106" s="25" t="s">
        <v>3834</v>
      </c>
      <c r="D106" s="25" t="s">
        <v>3251</v>
      </c>
      <c r="E106" s="25" t="s">
        <v>1681</v>
      </c>
      <c r="F106" s="25" t="s">
        <v>3764</v>
      </c>
      <c r="G106" s="25">
        <v>2.0</v>
      </c>
      <c r="H106" s="25">
        <v>0.0</v>
      </c>
      <c r="I106" s="25"/>
      <c r="J106" s="25"/>
      <c r="K106" s="25" t="s">
        <v>3797</v>
      </c>
      <c r="L106" s="25" t="s">
        <v>3251</v>
      </c>
      <c r="M106" s="25" t="s">
        <v>572</v>
      </c>
      <c r="N106" s="25">
        <v>1.0</v>
      </c>
      <c r="O106" s="25" t="s">
        <v>3888</v>
      </c>
      <c r="P106" s="25"/>
      <c r="Q106" s="25" t="s">
        <v>2987</v>
      </c>
    </row>
    <row r="107" ht="15.75" customHeight="1">
      <c r="A107" s="25" t="s">
        <v>3847</v>
      </c>
      <c r="B107" s="25" t="s">
        <v>3254</v>
      </c>
      <c r="C107" s="25" t="s">
        <v>3834</v>
      </c>
      <c r="D107" s="25" t="s">
        <v>3251</v>
      </c>
      <c r="E107" s="25" t="s">
        <v>1681</v>
      </c>
      <c r="F107" s="25" t="s">
        <v>3767</v>
      </c>
      <c r="G107" s="25">
        <v>3.0</v>
      </c>
      <c r="H107" s="25">
        <v>2.0</v>
      </c>
      <c r="I107" s="25"/>
      <c r="J107" s="25"/>
      <c r="K107" s="25" t="s">
        <v>3781</v>
      </c>
      <c r="L107" s="25" t="s">
        <v>3251</v>
      </c>
      <c r="M107" s="25" t="s">
        <v>578</v>
      </c>
      <c r="N107" s="25">
        <v>2.0</v>
      </c>
      <c r="O107" s="25" t="s">
        <v>3888</v>
      </c>
      <c r="P107" s="25"/>
      <c r="Q107" s="25" t="s">
        <v>3198</v>
      </c>
    </row>
    <row r="108" ht="15.75" customHeight="1">
      <c r="A108" s="25" t="s">
        <v>3848</v>
      </c>
      <c r="B108" s="25" t="s">
        <v>3268</v>
      </c>
      <c r="C108" s="25" t="s">
        <v>3834</v>
      </c>
      <c r="D108" s="25" t="s">
        <v>3266</v>
      </c>
      <c r="E108" s="25" t="s">
        <v>1681</v>
      </c>
      <c r="F108" s="25" t="s">
        <v>3764</v>
      </c>
      <c r="G108" s="25">
        <v>2.0</v>
      </c>
      <c r="H108" s="25">
        <v>1.0</v>
      </c>
      <c r="I108" s="25"/>
      <c r="J108" s="25"/>
      <c r="K108" s="25" t="s">
        <v>40</v>
      </c>
      <c r="L108" s="25" t="s">
        <v>3266</v>
      </c>
      <c r="M108" s="25" t="s">
        <v>572</v>
      </c>
      <c r="N108" s="25">
        <v>1.0</v>
      </c>
      <c r="O108" s="25" t="s">
        <v>3888</v>
      </c>
      <c r="P108" s="25"/>
      <c r="Q108" s="25" t="s">
        <v>2939</v>
      </c>
    </row>
    <row r="109" ht="15.75" customHeight="1">
      <c r="A109" s="25" t="s">
        <v>3849</v>
      </c>
      <c r="B109" s="25" t="s">
        <v>3269</v>
      </c>
      <c r="C109" s="25" t="s">
        <v>3834</v>
      </c>
      <c r="D109" s="25" t="s">
        <v>3266</v>
      </c>
      <c r="E109" s="25" t="s">
        <v>1681</v>
      </c>
      <c r="F109" s="25" t="s">
        <v>3767</v>
      </c>
      <c r="G109" s="25">
        <v>3.0</v>
      </c>
      <c r="H109" s="25">
        <v>3.0</v>
      </c>
      <c r="I109" s="25"/>
      <c r="J109" s="25"/>
      <c r="K109" s="25" t="s">
        <v>3788</v>
      </c>
      <c r="L109" s="25" t="s">
        <v>3266</v>
      </c>
      <c r="M109" s="25" t="s">
        <v>578</v>
      </c>
      <c r="N109" s="25">
        <v>2.0</v>
      </c>
      <c r="O109" s="25" t="s">
        <v>3888</v>
      </c>
      <c r="P109" s="25"/>
      <c r="Q109" s="25" t="s">
        <v>2769</v>
      </c>
    </row>
  </sheetData>
  <mergeCells count="2">
    <mergeCell ref="A1:Q1"/>
    <mergeCell ref="A2:Q2"/>
  </mergeCells>
  <conditionalFormatting sqref="O5:O109">
    <cfRule type="expression" dxfId="4" priority="1">
      <formula>O5="Structured"</formula>
    </cfRule>
  </conditionalFormatting>
  <conditionalFormatting sqref="O5:O109">
    <cfRule type="expression" dxfId="5" priority="2">
      <formula>O5="Structured - Review"</formula>
    </cfRule>
  </conditionalFormatting>
  <dataValidations>
    <dataValidation type="list" allowBlank="1" sqref="O5:O109">
      <formula1>"Structured,Structured - Review,Legacy Exception"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3.0"/>
    <col customWidth="1" min="2" max="2" width="12.0"/>
    <col customWidth="1" min="3" max="3" width="24.0"/>
    <col customWidth="1" min="4" max="4" width="18.0"/>
    <col customWidth="1" min="5" max="5" width="12.0"/>
    <col customWidth="1" min="6" max="6" width="14.0"/>
    <col customWidth="1" min="7" max="7" width="10.0"/>
    <col customWidth="1" min="8" max="8" width="14.0"/>
    <col customWidth="1" min="9" max="9" width="10.0"/>
    <col customWidth="1" min="10" max="10" width="16.0"/>
    <col customWidth="1" min="11" max="11" width="9.0"/>
    <col customWidth="1" min="12" max="12" width="10.0"/>
    <col customWidth="1" min="13" max="13" width="18.0"/>
    <col customWidth="1" min="14" max="14" width="10.0"/>
    <col customWidth="1" min="15" max="15" width="13.0"/>
    <col customWidth="1" min="16" max="16" width="15.0"/>
    <col customWidth="1" min="17" max="18" width="14.0"/>
    <col customWidth="1" min="19" max="19" width="19.0"/>
    <col customWidth="1" min="20" max="20" width="22.0"/>
    <col customWidth="1" min="21" max="21" width="15.0"/>
    <col customWidth="1" min="22" max="22" width="16.0"/>
    <col customWidth="1" min="23" max="23" width="18.0"/>
    <col customWidth="1" min="24" max="24" width="30.0"/>
    <col customWidth="1" min="25" max="25" width="44.0"/>
  </cols>
  <sheetData>
    <row r="1" ht="27.75" customHeight="1">
      <c r="A1" s="26" t="s">
        <v>3903</v>
      </c>
    </row>
    <row r="2" ht="27.75" customHeight="1">
      <c r="A2" s="27" t="s">
        <v>3904</v>
      </c>
    </row>
    <row r="4" ht="37.5" customHeight="1">
      <c r="A4" s="28" t="s">
        <v>1804</v>
      </c>
      <c r="B4" s="28" t="s">
        <v>3905</v>
      </c>
      <c r="C4" s="28" t="s">
        <v>3906</v>
      </c>
      <c r="D4" s="28" t="s">
        <v>3907</v>
      </c>
      <c r="E4" s="28" t="s">
        <v>1181</v>
      </c>
      <c r="F4" s="28" t="s">
        <v>564</v>
      </c>
      <c r="G4" s="28" t="s">
        <v>3908</v>
      </c>
      <c r="H4" s="28" t="s">
        <v>565</v>
      </c>
      <c r="I4" s="28" t="s">
        <v>3909</v>
      </c>
      <c r="J4" s="28" t="s">
        <v>3910</v>
      </c>
      <c r="K4" s="28" t="s">
        <v>3911</v>
      </c>
      <c r="L4" s="28" t="s">
        <v>3912</v>
      </c>
      <c r="M4" s="28" t="s">
        <v>3362</v>
      </c>
      <c r="N4" s="28" t="s">
        <v>3913</v>
      </c>
      <c r="O4" s="28" t="s">
        <v>3914</v>
      </c>
      <c r="P4" s="28" t="s">
        <v>3915</v>
      </c>
      <c r="Q4" s="28" t="s">
        <v>3916</v>
      </c>
      <c r="R4" s="28" t="s">
        <v>3917</v>
      </c>
      <c r="S4" s="28" t="s">
        <v>3918</v>
      </c>
      <c r="T4" s="28" t="s">
        <v>3919</v>
      </c>
      <c r="U4" s="28" t="s">
        <v>3920</v>
      </c>
      <c r="V4" s="28" t="s">
        <v>3921</v>
      </c>
      <c r="W4" s="28" t="s">
        <v>3922</v>
      </c>
      <c r="X4" s="28" t="s">
        <v>3923</v>
      </c>
      <c r="Y4" s="28" t="s">
        <v>6</v>
      </c>
    </row>
    <row r="5">
      <c r="A5" s="25" t="s">
        <v>3885</v>
      </c>
      <c r="B5" s="25">
        <v>10.0</v>
      </c>
      <c r="C5" s="25" t="s">
        <v>3924</v>
      </c>
      <c r="D5" s="25" t="s">
        <v>3925</v>
      </c>
      <c r="E5" s="25" t="s">
        <v>3926</v>
      </c>
      <c r="F5" s="25" t="s">
        <v>3927</v>
      </c>
      <c r="G5" s="25">
        <v>100.0</v>
      </c>
      <c r="H5" s="25" t="s">
        <v>3928</v>
      </c>
      <c r="I5" s="25">
        <v>1.0</v>
      </c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</row>
    <row r="6">
      <c r="A6" s="25" t="s">
        <v>3889</v>
      </c>
      <c r="B6" s="25">
        <v>10.0</v>
      </c>
      <c r="C6" s="25" t="s">
        <v>3924</v>
      </c>
      <c r="D6" s="25" t="s">
        <v>3925</v>
      </c>
      <c r="E6" s="25" t="s">
        <v>3926</v>
      </c>
      <c r="F6" s="25" t="s">
        <v>3929</v>
      </c>
      <c r="G6" s="25">
        <v>100.0</v>
      </c>
      <c r="H6" s="25" t="s">
        <v>3930</v>
      </c>
      <c r="I6" s="25">
        <v>1.0</v>
      </c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</row>
    <row r="7">
      <c r="A7" s="25" t="s">
        <v>3891</v>
      </c>
      <c r="B7" s="25">
        <v>10.0</v>
      </c>
      <c r="C7" s="25" t="s">
        <v>3924</v>
      </c>
      <c r="D7" s="25" t="s">
        <v>3925</v>
      </c>
      <c r="E7" s="25" t="s">
        <v>3926</v>
      </c>
      <c r="F7" s="25" t="s">
        <v>3927</v>
      </c>
      <c r="G7" s="25">
        <v>100.0</v>
      </c>
      <c r="H7" s="25" t="s">
        <v>3928</v>
      </c>
      <c r="I7" s="25">
        <v>1.0</v>
      </c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</row>
    <row r="8">
      <c r="A8" s="25" t="s">
        <v>3893</v>
      </c>
      <c r="B8" s="25">
        <v>10.0</v>
      </c>
      <c r="C8" s="25" t="s">
        <v>3924</v>
      </c>
      <c r="D8" s="25" t="s">
        <v>3925</v>
      </c>
      <c r="E8" s="25" t="s">
        <v>3926</v>
      </c>
      <c r="F8" s="25" t="s">
        <v>3929</v>
      </c>
      <c r="G8" s="25">
        <v>100.0</v>
      </c>
      <c r="H8" s="25" t="s">
        <v>3931</v>
      </c>
      <c r="I8" s="25">
        <v>1.0</v>
      </c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</row>
    <row r="9">
      <c r="A9" s="25" t="s">
        <v>3895</v>
      </c>
      <c r="B9" s="25">
        <v>10.0</v>
      </c>
      <c r="C9" s="25" t="s">
        <v>3924</v>
      </c>
      <c r="D9" s="25" t="s">
        <v>3925</v>
      </c>
      <c r="E9" s="25" t="s">
        <v>3926</v>
      </c>
      <c r="F9" s="25" t="s">
        <v>3927</v>
      </c>
      <c r="G9" s="25">
        <v>100.0</v>
      </c>
      <c r="H9" s="25" t="s">
        <v>3928</v>
      </c>
      <c r="I9" s="25">
        <v>1.0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</row>
    <row r="10">
      <c r="A10" s="25" t="s">
        <v>3708</v>
      </c>
      <c r="B10" s="25">
        <v>10.0</v>
      </c>
      <c r="C10" s="25" t="s">
        <v>3924</v>
      </c>
      <c r="D10" s="25" t="s">
        <v>3925</v>
      </c>
      <c r="E10" s="25" t="s">
        <v>3926</v>
      </c>
      <c r="F10" s="25" t="s">
        <v>3929</v>
      </c>
      <c r="G10" s="25">
        <v>110.0</v>
      </c>
      <c r="H10" s="25" t="s">
        <v>3931</v>
      </c>
      <c r="I10" s="25">
        <v>1.0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</row>
    <row r="11">
      <c r="A11" s="25" t="s">
        <v>3708</v>
      </c>
      <c r="B11" s="25">
        <v>20.0</v>
      </c>
      <c r="C11" s="25" t="s">
        <v>3932</v>
      </c>
      <c r="D11" s="25" t="s">
        <v>3925</v>
      </c>
      <c r="E11" s="25" t="s">
        <v>3933</v>
      </c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 t="s">
        <v>3934</v>
      </c>
      <c r="Q11" s="25"/>
      <c r="R11" s="25">
        <v>10.0</v>
      </c>
      <c r="S11" s="25" t="s">
        <v>3935</v>
      </c>
      <c r="T11" s="25" t="s">
        <v>3936</v>
      </c>
      <c r="U11" s="25" t="b">
        <v>1</v>
      </c>
      <c r="V11" s="25"/>
      <c r="W11" s="25"/>
      <c r="X11" s="25"/>
      <c r="Y11" s="25"/>
    </row>
    <row r="12">
      <c r="A12" s="25" t="s">
        <v>3711</v>
      </c>
      <c r="B12" s="25">
        <v>10.0</v>
      </c>
      <c r="C12" s="25" t="s">
        <v>3924</v>
      </c>
      <c r="D12" s="25" t="s">
        <v>3925</v>
      </c>
      <c r="E12" s="25" t="s">
        <v>3926</v>
      </c>
      <c r="F12" s="25" t="s">
        <v>3929</v>
      </c>
      <c r="G12" s="25">
        <v>60.0</v>
      </c>
      <c r="H12" s="25" t="s">
        <v>3931</v>
      </c>
      <c r="I12" s="25">
        <v>2.0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</row>
    <row r="13">
      <c r="A13" s="25" t="s">
        <v>3711</v>
      </c>
      <c r="B13" s="25">
        <v>20.0</v>
      </c>
      <c r="C13" s="25" t="s">
        <v>3937</v>
      </c>
      <c r="D13" s="25" t="s">
        <v>3938</v>
      </c>
      <c r="E13" s="25" t="s">
        <v>3926</v>
      </c>
      <c r="F13" s="25"/>
      <c r="G13" s="25"/>
      <c r="H13" s="25"/>
      <c r="I13" s="25"/>
      <c r="J13" s="25" t="s">
        <v>3939</v>
      </c>
      <c r="K13" s="25">
        <v>1.0</v>
      </c>
      <c r="L13" s="25">
        <v>50.0</v>
      </c>
      <c r="M13" s="25"/>
      <c r="N13" s="25"/>
      <c r="O13" s="25"/>
      <c r="P13" s="25"/>
      <c r="Q13" s="25"/>
      <c r="R13" s="25"/>
      <c r="S13" s="25"/>
      <c r="T13" s="25" t="s">
        <v>3940</v>
      </c>
      <c r="U13" s="25" t="b">
        <v>1</v>
      </c>
      <c r="V13" s="25"/>
      <c r="W13" s="25"/>
      <c r="X13" s="25"/>
      <c r="Y13" s="25"/>
    </row>
    <row r="14">
      <c r="A14" s="25" t="s">
        <v>3714</v>
      </c>
      <c r="B14" s="25">
        <v>10.0</v>
      </c>
      <c r="C14" s="25" t="s">
        <v>3924</v>
      </c>
      <c r="D14" s="25" t="s">
        <v>3925</v>
      </c>
      <c r="E14" s="25" t="s">
        <v>3926</v>
      </c>
      <c r="F14" s="25" t="s">
        <v>3929</v>
      </c>
      <c r="G14" s="25">
        <v>110.0</v>
      </c>
      <c r="H14" s="25" t="s">
        <v>3931</v>
      </c>
      <c r="I14" s="25">
        <v>1.0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>
      <c r="A15" s="25" t="s">
        <v>3715</v>
      </c>
      <c r="B15" s="25">
        <v>10.0</v>
      </c>
      <c r="C15" s="25" t="s">
        <v>3924</v>
      </c>
      <c r="D15" s="25" t="s">
        <v>3925</v>
      </c>
      <c r="E15" s="25" t="s">
        <v>3926</v>
      </c>
      <c r="F15" s="25" t="s">
        <v>3929</v>
      </c>
      <c r="G15" s="25">
        <v>120.0</v>
      </c>
      <c r="H15" s="25" t="s">
        <v>3931</v>
      </c>
      <c r="I15" s="25">
        <v>1.0</v>
      </c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>
      <c r="A16" s="25" t="s">
        <v>3715</v>
      </c>
      <c r="B16" s="25">
        <v>20.0</v>
      </c>
      <c r="C16" s="25" t="s">
        <v>3937</v>
      </c>
      <c r="D16" s="25" t="s">
        <v>3941</v>
      </c>
      <c r="E16" s="25" t="s">
        <v>3926</v>
      </c>
      <c r="F16" s="25"/>
      <c r="G16" s="25"/>
      <c r="H16" s="25"/>
      <c r="I16" s="25"/>
      <c r="J16" s="25" t="s">
        <v>3939</v>
      </c>
      <c r="K16" s="25">
        <v>1.0</v>
      </c>
      <c r="L16" s="25">
        <v>50.0</v>
      </c>
      <c r="M16" s="25"/>
      <c r="N16" s="25"/>
      <c r="O16" s="25"/>
      <c r="P16" s="25"/>
      <c r="Q16" s="25"/>
      <c r="R16" s="25"/>
      <c r="S16" s="25"/>
      <c r="T16" s="25" t="s">
        <v>3942</v>
      </c>
      <c r="U16" s="25" t="b">
        <v>1</v>
      </c>
      <c r="V16" s="25"/>
      <c r="W16" s="25"/>
      <c r="X16" s="25"/>
      <c r="Y16" s="25"/>
    </row>
    <row r="17">
      <c r="A17" s="25" t="s">
        <v>3716</v>
      </c>
      <c r="B17" s="25">
        <v>10.0</v>
      </c>
      <c r="C17" s="25" t="s">
        <v>3924</v>
      </c>
      <c r="D17" s="25" t="s">
        <v>3925</v>
      </c>
      <c r="E17" s="25" t="s">
        <v>3926</v>
      </c>
      <c r="F17" s="25" t="s">
        <v>3929</v>
      </c>
      <c r="G17" s="25">
        <v>100.0</v>
      </c>
      <c r="H17" s="25" t="s">
        <v>3931</v>
      </c>
      <c r="I17" s="25">
        <v>1.0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>
      <c r="A18" s="25" t="s">
        <v>3716</v>
      </c>
      <c r="B18" s="25">
        <v>20.0</v>
      </c>
      <c r="C18" s="25" t="s">
        <v>3932</v>
      </c>
      <c r="D18" s="25" t="s">
        <v>3925</v>
      </c>
      <c r="E18" s="25" t="s">
        <v>3933</v>
      </c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 t="s">
        <v>3943</v>
      </c>
      <c r="Q18" s="25"/>
      <c r="R18" s="25">
        <v>20.0</v>
      </c>
      <c r="S18" s="25" t="s">
        <v>3935</v>
      </c>
      <c r="T18" s="25" t="s">
        <v>3944</v>
      </c>
      <c r="U18" s="25" t="b">
        <v>1</v>
      </c>
      <c r="V18" s="25"/>
      <c r="W18" s="25"/>
      <c r="X18" s="25"/>
      <c r="Y18" s="25"/>
    </row>
    <row r="19">
      <c r="A19" s="25" t="s">
        <v>3717</v>
      </c>
      <c r="B19" s="25">
        <v>10.0</v>
      </c>
      <c r="C19" s="25" t="s">
        <v>3924</v>
      </c>
      <c r="D19" s="25" t="s">
        <v>3925</v>
      </c>
      <c r="E19" s="25" t="s">
        <v>3926</v>
      </c>
      <c r="F19" s="25" t="s">
        <v>3929</v>
      </c>
      <c r="G19" s="25">
        <v>115.0</v>
      </c>
      <c r="H19" s="25" t="s">
        <v>3931</v>
      </c>
      <c r="I19" s="25">
        <v>1.0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>
      <c r="A20" s="25" t="s">
        <v>3717</v>
      </c>
      <c r="B20" s="25">
        <v>20.0</v>
      </c>
      <c r="C20" s="25" t="s">
        <v>3932</v>
      </c>
      <c r="D20" s="25" t="s">
        <v>3945</v>
      </c>
      <c r="E20" s="25" t="s">
        <v>3933</v>
      </c>
      <c r="F20" s="25"/>
      <c r="G20" s="25"/>
      <c r="H20" s="25"/>
      <c r="I20" s="25"/>
      <c r="J20" s="25"/>
      <c r="K20" s="25"/>
      <c r="L20" s="25"/>
      <c r="M20" s="25"/>
      <c r="N20" s="25"/>
      <c r="O20" s="25">
        <v>2.0</v>
      </c>
      <c r="P20" s="25" t="s">
        <v>3946</v>
      </c>
      <c r="Q20" s="25" t="s">
        <v>539</v>
      </c>
      <c r="R20" s="25">
        <v>6.0</v>
      </c>
      <c r="S20" s="25" t="s">
        <v>3947</v>
      </c>
      <c r="T20" s="25"/>
      <c r="U20" s="25"/>
      <c r="V20" s="25"/>
      <c r="W20" s="25"/>
      <c r="X20" s="25"/>
      <c r="Y20" s="25"/>
    </row>
    <row r="21" ht="15.75" customHeight="1">
      <c r="A21" s="25" t="s">
        <v>3718</v>
      </c>
      <c r="B21" s="25">
        <v>10.0</v>
      </c>
      <c r="C21" s="25" t="s">
        <v>3924</v>
      </c>
      <c r="D21" s="25" t="s">
        <v>3925</v>
      </c>
      <c r="E21" s="25" t="s">
        <v>3926</v>
      </c>
      <c r="F21" s="25" t="s">
        <v>3929</v>
      </c>
      <c r="G21" s="25">
        <v>110.0</v>
      </c>
      <c r="H21" s="25" t="s">
        <v>3931</v>
      </c>
      <c r="I21" s="25">
        <v>1.0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ht="15.75" customHeight="1">
      <c r="A22" s="25" t="s">
        <v>3719</v>
      </c>
      <c r="B22" s="25">
        <v>10.0</v>
      </c>
      <c r="C22" s="25" t="s">
        <v>3924</v>
      </c>
      <c r="D22" s="25" t="s">
        <v>3925</v>
      </c>
      <c r="E22" s="25" t="s">
        <v>3926</v>
      </c>
      <c r="F22" s="25" t="s">
        <v>3929</v>
      </c>
      <c r="G22" s="25">
        <v>115.0</v>
      </c>
      <c r="H22" s="25" t="s">
        <v>3931</v>
      </c>
      <c r="I22" s="25">
        <v>1.0</v>
      </c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ht="15.75" customHeight="1">
      <c r="A23" s="25" t="s">
        <v>3719</v>
      </c>
      <c r="B23" s="25">
        <v>20.0</v>
      </c>
      <c r="C23" s="25" t="s">
        <v>3937</v>
      </c>
      <c r="D23" s="25" t="s">
        <v>3941</v>
      </c>
      <c r="E23" s="25" t="s">
        <v>3926</v>
      </c>
      <c r="F23" s="25"/>
      <c r="G23" s="25"/>
      <c r="H23" s="25"/>
      <c r="I23" s="25"/>
      <c r="J23" s="25" t="s">
        <v>3939</v>
      </c>
      <c r="K23" s="25">
        <v>1.0</v>
      </c>
      <c r="L23" s="25">
        <v>50.0</v>
      </c>
      <c r="M23" s="25"/>
      <c r="N23" s="25"/>
      <c r="O23" s="25"/>
      <c r="P23" s="25"/>
      <c r="Q23" s="25"/>
      <c r="R23" s="25"/>
      <c r="S23" s="25"/>
      <c r="T23" s="25" t="s">
        <v>3942</v>
      </c>
      <c r="U23" s="25" t="b">
        <v>1</v>
      </c>
      <c r="V23" s="25"/>
      <c r="W23" s="25"/>
      <c r="X23" s="25"/>
      <c r="Y23" s="25"/>
    </row>
    <row r="24" ht="15.75" customHeight="1">
      <c r="A24" s="25" t="s">
        <v>3720</v>
      </c>
      <c r="B24" s="25">
        <v>10.0</v>
      </c>
      <c r="C24" s="25" t="s">
        <v>3924</v>
      </c>
      <c r="D24" s="25" t="s">
        <v>3925</v>
      </c>
      <c r="E24" s="25" t="s">
        <v>3926</v>
      </c>
      <c r="F24" s="25" t="s">
        <v>3929</v>
      </c>
      <c r="G24" s="25">
        <v>100.0</v>
      </c>
      <c r="H24" s="25" t="s">
        <v>3930</v>
      </c>
      <c r="I24" s="25">
        <v>1.0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ht="15.75" customHeight="1">
      <c r="A25" s="25" t="s">
        <v>3720</v>
      </c>
      <c r="B25" s="25">
        <v>20.0</v>
      </c>
      <c r="C25" s="25" t="s">
        <v>3937</v>
      </c>
      <c r="D25" s="25" t="s">
        <v>3941</v>
      </c>
      <c r="E25" s="25" t="s">
        <v>3926</v>
      </c>
      <c r="F25" s="25"/>
      <c r="G25" s="25"/>
      <c r="H25" s="25"/>
      <c r="I25" s="25"/>
      <c r="J25" s="25" t="s">
        <v>3948</v>
      </c>
      <c r="K25" s="25">
        <v>1.0</v>
      </c>
      <c r="L25" s="29">
        <v>50.0</v>
      </c>
      <c r="M25" s="25"/>
      <c r="N25" s="25"/>
      <c r="O25" s="25"/>
      <c r="P25" s="25"/>
      <c r="Q25" s="25"/>
      <c r="R25" s="25"/>
      <c r="S25" s="25"/>
      <c r="T25" s="25" t="s">
        <v>3942</v>
      </c>
      <c r="U25" s="25" t="b">
        <v>1</v>
      </c>
      <c r="V25" s="25"/>
      <c r="W25" s="25"/>
      <c r="X25" s="25"/>
      <c r="Y25" s="25"/>
    </row>
    <row r="26" ht="15.75" customHeight="1">
      <c r="A26" s="25" t="s">
        <v>3723</v>
      </c>
      <c r="B26" s="25">
        <v>10.0</v>
      </c>
      <c r="C26" s="25" t="s">
        <v>3924</v>
      </c>
      <c r="D26" s="25" t="s">
        <v>3925</v>
      </c>
      <c r="E26" s="25" t="s">
        <v>3926</v>
      </c>
      <c r="F26" s="25" t="s">
        <v>3929</v>
      </c>
      <c r="G26" s="25">
        <v>85.0</v>
      </c>
      <c r="H26" s="25" t="s">
        <v>3930</v>
      </c>
      <c r="I26" s="25">
        <v>1.0</v>
      </c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ht="15.75" customHeight="1">
      <c r="A27" s="25" t="s">
        <v>3723</v>
      </c>
      <c r="B27" s="25">
        <v>20.0</v>
      </c>
      <c r="C27" s="25" t="s">
        <v>3949</v>
      </c>
      <c r="D27" s="25" t="s">
        <v>3925</v>
      </c>
      <c r="E27" s="25" t="s">
        <v>3933</v>
      </c>
      <c r="F27" s="25"/>
      <c r="G27" s="25"/>
      <c r="H27" s="25"/>
      <c r="I27" s="25"/>
      <c r="J27" s="25"/>
      <c r="K27" s="25"/>
      <c r="L27" s="25"/>
      <c r="M27" s="25" t="s">
        <v>3950</v>
      </c>
      <c r="N27" s="25">
        <v>6.0</v>
      </c>
      <c r="O27" s="25">
        <v>2.0</v>
      </c>
      <c r="P27" s="25"/>
      <c r="Q27" s="25"/>
      <c r="R27" s="25"/>
      <c r="S27" s="25"/>
      <c r="T27" s="25"/>
      <c r="U27" s="25"/>
      <c r="V27" s="25"/>
      <c r="W27" s="25"/>
      <c r="X27" s="25" t="s">
        <v>3951</v>
      </c>
      <c r="Y27" s="25" t="s">
        <v>3952</v>
      </c>
    </row>
    <row r="28" ht="15.75" customHeight="1">
      <c r="A28" s="25" t="s">
        <v>3725</v>
      </c>
      <c r="B28" s="25">
        <v>10.0</v>
      </c>
      <c r="C28" s="25" t="s">
        <v>3924</v>
      </c>
      <c r="D28" s="25" t="s">
        <v>3925</v>
      </c>
      <c r="E28" s="25" t="s">
        <v>3926</v>
      </c>
      <c r="F28" s="25" t="s">
        <v>3927</v>
      </c>
      <c r="G28" s="25">
        <v>110.0</v>
      </c>
      <c r="H28" s="25" t="s">
        <v>3928</v>
      </c>
      <c r="I28" s="25">
        <v>1.0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ht="15.75" customHeight="1">
      <c r="A29" s="25" t="s">
        <v>3726</v>
      </c>
      <c r="B29" s="25">
        <v>10.0</v>
      </c>
      <c r="C29" s="25" t="s">
        <v>3949</v>
      </c>
      <c r="D29" s="25" t="s">
        <v>3925</v>
      </c>
      <c r="E29" s="25" t="s">
        <v>3933</v>
      </c>
      <c r="F29" s="25"/>
      <c r="G29" s="25"/>
      <c r="H29" s="25"/>
      <c r="I29" s="25"/>
      <c r="J29" s="25"/>
      <c r="K29" s="25"/>
      <c r="L29" s="25"/>
      <c r="M29" s="25" t="s">
        <v>3953</v>
      </c>
      <c r="N29" s="25">
        <v>8.0</v>
      </c>
      <c r="O29" s="25">
        <v>2.0</v>
      </c>
      <c r="P29" s="25"/>
      <c r="Q29" s="25"/>
      <c r="R29" s="25"/>
      <c r="S29" s="25"/>
      <c r="T29" s="25"/>
      <c r="U29" s="25"/>
      <c r="V29" s="25"/>
      <c r="W29" s="25"/>
      <c r="X29" s="25" t="s">
        <v>3954</v>
      </c>
      <c r="Y29" s="25" t="s">
        <v>3955</v>
      </c>
    </row>
    <row r="30" ht="15.75" customHeight="1">
      <c r="A30" s="25" t="s">
        <v>3728</v>
      </c>
      <c r="B30" s="25">
        <v>10.0</v>
      </c>
      <c r="C30" s="25" t="s">
        <v>3924</v>
      </c>
      <c r="D30" s="25" t="s">
        <v>3925</v>
      </c>
      <c r="E30" s="25" t="s">
        <v>3926</v>
      </c>
      <c r="F30" s="25" t="s">
        <v>3927</v>
      </c>
      <c r="G30" s="25">
        <v>90.0</v>
      </c>
      <c r="H30" s="25" t="s">
        <v>3928</v>
      </c>
      <c r="I30" s="25">
        <v>1.0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</row>
    <row r="31" ht="15.75" customHeight="1">
      <c r="A31" s="25" t="s">
        <v>3728</v>
      </c>
      <c r="B31" s="25">
        <v>20.0</v>
      </c>
      <c r="C31" s="25" t="s">
        <v>3937</v>
      </c>
      <c r="D31" s="25" t="s">
        <v>3941</v>
      </c>
      <c r="E31" s="25" t="s">
        <v>3926</v>
      </c>
      <c r="F31" s="25"/>
      <c r="G31" s="25"/>
      <c r="H31" s="25"/>
      <c r="I31" s="25"/>
      <c r="J31" s="25" t="s">
        <v>3956</v>
      </c>
      <c r="K31" s="25">
        <v>1.0</v>
      </c>
      <c r="L31" s="25"/>
      <c r="M31" s="25"/>
      <c r="N31" s="25"/>
      <c r="O31" s="25"/>
      <c r="P31" s="25"/>
      <c r="Q31" s="25"/>
      <c r="R31" s="25"/>
      <c r="S31" s="25"/>
      <c r="T31" s="25" t="s">
        <v>3957</v>
      </c>
      <c r="U31" s="25" t="b">
        <v>1</v>
      </c>
      <c r="V31" s="25"/>
      <c r="W31" s="25"/>
      <c r="X31" s="25"/>
      <c r="Y31" s="25" t="s">
        <v>3958</v>
      </c>
    </row>
    <row r="32" ht="15.75" customHeight="1">
      <c r="A32" s="25" t="s">
        <v>3730</v>
      </c>
      <c r="B32" s="25">
        <v>10.0</v>
      </c>
      <c r="C32" s="25" t="s">
        <v>3924</v>
      </c>
      <c r="D32" s="25" t="s">
        <v>3925</v>
      </c>
      <c r="E32" s="25" t="s">
        <v>3926</v>
      </c>
      <c r="F32" s="25" t="s">
        <v>3927</v>
      </c>
      <c r="G32" s="25">
        <v>75.0</v>
      </c>
      <c r="H32" s="25" t="s">
        <v>3928</v>
      </c>
      <c r="I32" s="25">
        <v>1.0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ht="15.75" customHeight="1">
      <c r="A33" s="25" t="s">
        <v>3730</v>
      </c>
      <c r="B33" s="25">
        <v>20.0</v>
      </c>
      <c r="C33" s="25" t="s">
        <v>3932</v>
      </c>
      <c r="D33" s="25" t="s">
        <v>3945</v>
      </c>
      <c r="E33" s="25" t="s">
        <v>3926</v>
      </c>
      <c r="F33" s="25"/>
      <c r="G33" s="25"/>
      <c r="H33" s="25"/>
      <c r="I33" s="25"/>
      <c r="J33" s="25"/>
      <c r="K33" s="25"/>
      <c r="L33" s="25"/>
      <c r="M33" s="25"/>
      <c r="N33" s="25"/>
      <c r="O33" s="25">
        <v>2.0</v>
      </c>
      <c r="P33" s="25" t="s">
        <v>3928</v>
      </c>
      <c r="Q33" s="25" t="s">
        <v>539</v>
      </c>
      <c r="R33" s="25">
        <v>6.0</v>
      </c>
      <c r="S33" s="25" t="s">
        <v>3959</v>
      </c>
      <c r="T33" s="25"/>
      <c r="U33" s="25"/>
      <c r="V33" s="25"/>
      <c r="W33" s="25"/>
      <c r="X33" s="25"/>
      <c r="Y33" s="25"/>
    </row>
    <row r="34" ht="15.75" customHeight="1">
      <c r="A34" s="25" t="s">
        <v>3731</v>
      </c>
      <c r="B34" s="25">
        <v>10.0</v>
      </c>
      <c r="C34" s="25" t="s">
        <v>3924</v>
      </c>
      <c r="D34" s="25" t="s">
        <v>3925</v>
      </c>
      <c r="E34" s="25" t="s">
        <v>3926</v>
      </c>
      <c r="F34" s="25" t="s">
        <v>3927</v>
      </c>
      <c r="G34" s="25">
        <v>80.0</v>
      </c>
      <c r="H34" s="25" t="s">
        <v>3928</v>
      </c>
      <c r="I34" s="25">
        <v>1.0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  <row r="35" ht="15.75" customHeight="1">
      <c r="A35" s="25" t="s">
        <v>3731</v>
      </c>
      <c r="B35" s="25">
        <v>20.0</v>
      </c>
      <c r="C35" s="25" t="s">
        <v>3937</v>
      </c>
      <c r="D35" s="25" t="s">
        <v>3941</v>
      </c>
      <c r="E35" s="25" t="s">
        <v>3926</v>
      </c>
      <c r="F35" s="25"/>
      <c r="G35" s="25"/>
      <c r="H35" s="25"/>
      <c r="I35" s="25"/>
      <c r="J35" s="25" t="s">
        <v>3956</v>
      </c>
      <c r="K35" s="25">
        <v>1.0</v>
      </c>
      <c r="L35" s="25">
        <v>60.0</v>
      </c>
      <c r="M35" s="25"/>
      <c r="N35" s="25"/>
      <c r="O35" s="25"/>
      <c r="P35" s="25"/>
      <c r="Q35" s="25"/>
      <c r="R35" s="25"/>
      <c r="S35" s="25"/>
      <c r="T35" s="25" t="s">
        <v>3957</v>
      </c>
      <c r="U35" s="25" t="b">
        <v>1</v>
      </c>
      <c r="V35" s="25"/>
      <c r="W35" s="25"/>
      <c r="X35" s="25"/>
      <c r="Y35" s="25" t="s">
        <v>3958</v>
      </c>
    </row>
    <row r="36" ht="15.75" customHeight="1">
      <c r="A36" s="25" t="s">
        <v>3732</v>
      </c>
      <c r="B36" s="25">
        <v>10.0</v>
      </c>
      <c r="C36" s="25" t="s">
        <v>3949</v>
      </c>
      <c r="D36" s="25" t="s">
        <v>3925</v>
      </c>
      <c r="E36" s="25" t="s">
        <v>3933</v>
      </c>
      <c r="F36" s="25"/>
      <c r="G36" s="25"/>
      <c r="H36" s="25"/>
      <c r="I36" s="25"/>
      <c r="J36" s="25"/>
      <c r="K36" s="25"/>
      <c r="L36" s="25"/>
      <c r="M36" s="25" t="s">
        <v>3953</v>
      </c>
      <c r="N36" s="25">
        <v>8.0</v>
      </c>
      <c r="O36" s="25">
        <v>2.0</v>
      </c>
      <c r="P36" s="25"/>
      <c r="Q36" s="25"/>
      <c r="R36" s="25"/>
      <c r="S36" s="25"/>
      <c r="T36" s="25"/>
      <c r="U36" s="25"/>
      <c r="V36" s="25"/>
      <c r="W36" s="25"/>
      <c r="X36" s="25" t="s">
        <v>3954</v>
      </c>
      <c r="Y36" s="25" t="s">
        <v>3955</v>
      </c>
    </row>
    <row r="37" ht="15.75" customHeight="1">
      <c r="A37" s="25" t="s">
        <v>3732</v>
      </c>
      <c r="B37" s="25">
        <v>20.0</v>
      </c>
      <c r="C37" s="25" t="s">
        <v>3960</v>
      </c>
      <c r="D37" s="25" t="s">
        <v>3925</v>
      </c>
      <c r="E37" s="25" t="s">
        <v>3933</v>
      </c>
      <c r="F37" s="25"/>
      <c r="G37" s="25"/>
      <c r="H37" s="25"/>
      <c r="I37" s="25"/>
      <c r="J37" s="25"/>
      <c r="K37" s="25"/>
      <c r="L37" s="25"/>
      <c r="M37" s="25"/>
      <c r="N37" s="25"/>
      <c r="O37" s="25">
        <v>2.0</v>
      </c>
      <c r="P37" s="25"/>
      <c r="Q37" s="25"/>
      <c r="R37" s="25">
        <v>-10.0</v>
      </c>
      <c r="S37" s="25" t="s">
        <v>3961</v>
      </c>
      <c r="T37" s="25"/>
      <c r="U37" s="25"/>
      <c r="V37" s="25"/>
      <c r="W37" s="25"/>
      <c r="X37" s="25" t="s">
        <v>3962</v>
      </c>
      <c r="Y37" s="25"/>
    </row>
    <row r="38" ht="15.75" customHeight="1">
      <c r="A38" s="25" t="s">
        <v>3733</v>
      </c>
      <c r="B38" s="25">
        <v>10.0</v>
      </c>
      <c r="C38" s="25" t="s">
        <v>3924</v>
      </c>
      <c r="D38" s="25" t="s">
        <v>3925</v>
      </c>
      <c r="E38" s="25" t="s">
        <v>3926</v>
      </c>
      <c r="F38" s="25" t="s">
        <v>3927</v>
      </c>
      <c r="G38" s="25">
        <v>110.0</v>
      </c>
      <c r="H38" s="25" t="s">
        <v>3928</v>
      </c>
      <c r="I38" s="25">
        <v>1.0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ht="15.75" customHeight="1">
      <c r="A39" s="25" t="s">
        <v>3734</v>
      </c>
      <c r="B39" s="25">
        <v>10.0</v>
      </c>
      <c r="C39" s="25" t="s">
        <v>3963</v>
      </c>
      <c r="D39" s="25" t="s">
        <v>3925</v>
      </c>
      <c r="E39" s="25" t="s">
        <v>3933</v>
      </c>
      <c r="F39" s="25"/>
      <c r="G39" s="25"/>
      <c r="H39" s="25"/>
      <c r="I39" s="25"/>
      <c r="J39" s="25"/>
      <c r="K39" s="25"/>
      <c r="L39" s="25"/>
      <c r="M39" s="25" t="s">
        <v>3950</v>
      </c>
      <c r="N39" s="25">
        <v>5.0</v>
      </c>
      <c r="O39" s="25"/>
      <c r="P39" s="25"/>
      <c r="Q39" s="25"/>
      <c r="R39" s="25"/>
      <c r="S39" s="25"/>
      <c r="T39" s="25"/>
      <c r="U39" s="25"/>
      <c r="V39" s="25"/>
      <c r="W39" s="25"/>
      <c r="X39" s="25" t="s">
        <v>3964</v>
      </c>
      <c r="Y39" s="25"/>
    </row>
    <row r="40" ht="15.75" customHeight="1">
      <c r="A40" s="25" t="s">
        <v>3736</v>
      </c>
      <c r="B40" s="25">
        <v>10.0</v>
      </c>
      <c r="C40" s="25" t="s">
        <v>3924</v>
      </c>
      <c r="D40" s="25" t="s">
        <v>3925</v>
      </c>
      <c r="E40" s="25" t="s">
        <v>3926</v>
      </c>
      <c r="F40" s="25" t="s">
        <v>3929</v>
      </c>
      <c r="G40" s="25">
        <v>115.0</v>
      </c>
      <c r="H40" s="25" t="s">
        <v>3931</v>
      </c>
      <c r="I40" s="25">
        <v>1.0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</row>
    <row r="41" ht="15.75" customHeight="1">
      <c r="A41" s="25" t="s">
        <v>3737</v>
      </c>
      <c r="B41" s="25">
        <v>10.0</v>
      </c>
      <c r="C41" s="25" t="s">
        <v>3924</v>
      </c>
      <c r="D41" s="25" t="s">
        <v>3925</v>
      </c>
      <c r="E41" s="25" t="s">
        <v>3926</v>
      </c>
      <c r="F41" s="25" t="s">
        <v>3929</v>
      </c>
      <c r="G41" s="25">
        <v>95.0</v>
      </c>
      <c r="H41" s="25" t="s">
        <v>3931</v>
      </c>
      <c r="I41" s="25">
        <v>1.0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</row>
    <row r="42" ht="15.75" customHeight="1">
      <c r="A42" s="25" t="s">
        <v>3737</v>
      </c>
      <c r="B42" s="25">
        <v>20.0</v>
      </c>
      <c r="C42" s="25" t="s">
        <v>3937</v>
      </c>
      <c r="D42" s="25" t="s">
        <v>3941</v>
      </c>
      <c r="E42" s="25" t="s">
        <v>3926</v>
      </c>
      <c r="F42" s="25"/>
      <c r="G42" s="25"/>
      <c r="H42" s="25"/>
      <c r="I42" s="25"/>
      <c r="J42" s="25" t="s">
        <v>3965</v>
      </c>
      <c r="K42" s="25">
        <v>2.0</v>
      </c>
      <c r="L42" s="29">
        <v>50.0</v>
      </c>
      <c r="M42" s="25"/>
      <c r="N42" s="25"/>
      <c r="O42" s="25"/>
      <c r="P42" s="25"/>
      <c r="Q42" s="25"/>
      <c r="R42" s="25"/>
      <c r="S42" s="25"/>
      <c r="T42" s="25" t="s">
        <v>3942</v>
      </c>
      <c r="U42" s="25" t="b">
        <v>1</v>
      </c>
      <c r="V42" s="25"/>
      <c r="W42" s="25"/>
      <c r="X42" s="25"/>
      <c r="Y42" s="25"/>
    </row>
    <row r="43" ht="15.75" customHeight="1">
      <c r="A43" s="25" t="s">
        <v>3739</v>
      </c>
      <c r="B43" s="25">
        <v>10.0</v>
      </c>
      <c r="C43" s="25" t="s">
        <v>3924</v>
      </c>
      <c r="D43" s="25" t="s">
        <v>3925</v>
      </c>
      <c r="E43" s="25" t="s">
        <v>3926</v>
      </c>
      <c r="F43" s="25" t="s">
        <v>3929</v>
      </c>
      <c r="G43" s="25">
        <v>120.0</v>
      </c>
      <c r="H43" s="25" t="s">
        <v>3930</v>
      </c>
      <c r="I43" s="25">
        <v>1.0</v>
      </c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</row>
    <row r="44" ht="15.75" customHeight="1">
      <c r="A44" s="25" t="s">
        <v>3740</v>
      </c>
      <c r="B44" s="25">
        <v>10.0</v>
      </c>
      <c r="C44" s="25" t="s">
        <v>3924</v>
      </c>
      <c r="D44" s="25" t="s">
        <v>3925</v>
      </c>
      <c r="E44" s="25" t="s">
        <v>3926</v>
      </c>
      <c r="F44" s="25" t="s">
        <v>3929</v>
      </c>
      <c r="G44" s="25">
        <v>135.0</v>
      </c>
      <c r="H44" s="25" t="s">
        <v>3930</v>
      </c>
      <c r="I44" s="25">
        <v>1.0</v>
      </c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</row>
    <row r="45" ht="15.75" customHeight="1">
      <c r="A45" s="25" t="s">
        <v>3740</v>
      </c>
      <c r="B45" s="25">
        <v>20.0</v>
      </c>
      <c r="C45" s="25" t="s">
        <v>3966</v>
      </c>
      <c r="D45" s="25" t="s">
        <v>3925</v>
      </c>
      <c r="E45" s="25" t="s">
        <v>3926</v>
      </c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 t="s">
        <v>3967</v>
      </c>
      <c r="W45" s="25">
        <v>4.0</v>
      </c>
      <c r="X45" s="25" t="s">
        <v>3968</v>
      </c>
      <c r="Y45" s="25"/>
    </row>
    <row r="46" ht="15.75" customHeight="1">
      <c r="A46" s="25" t="s">
        <v>3741</v>
      </c>
      <c r="B46" s="25">
        <v>10.0</v>
      </c>
      <c r="C46" s="25" t="s">
        <v>3924</v>
      </c>
      <c r="D46" s="25" t="s">
        <v>3925</v>
      </c>
      <c r="E46" s="25" t="s">
        <v>3926</v>
      </c>
      <c r="F46" s="25" t="s">
        <v>3927</v>
      </c>
      <c r="G46" s="25">
        <v>110.0</v>
      </c>
      <c r="H46" s="25" t="s">
        <v>3928</v>
      </c>
      <c r="I46" s="25">
        <v>1.0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</row>
    <row r="47" ht="15.75" customHeight="1">
      <c r="A47" s="25" t="s">
        <v>3742</v>
      </c>
      <c r="B47" s="25">
        <v>10.0</v>
      </c>
      <c r="C47" s="25" t="s">
        <v>3949</v>
      </c>
      <c r="D47" s="25" t="s">
        <v>3925</v>
      </c>
      <c r="E47" s="25" t="s">
        <v>3933</v>
      </c>
      <c r="F47" s="25"/>
      <c r="G47" s="25"/>
      <c r="H47" s="25"/>
      <c r="I47" s="25"/>
      <c r="J47" s="25"/>
      <c r="K47" s="25"/>
      <c r="L47" s="25"/>
      <c r="M47" s="25" t="s">
        <v>3953</v>
      </c>
      <c r="N47" s="25">
        <v>10.0</v>
      </c>
      <c r="O47" s="25">
        <v>2.0</v>
      </c>
      <c r="P47" s="25"/>
      <c r="Q47" s="25"/>
      <c r="R47" s="25"/>
      <c r="S47" s="25"/>
      <c r="T47" s="25"/>
      <c r="U47" s="25"/>
      <c r="V47" s="25"/>
      <c r="W47" s="25"/>
      <c r="X47" s="25" t="s">
        <v>3954</v>
      </c>
      <c r="Y47" s="25" t="s">
        <v>3955</v>
      </c>
    </row>
    <row r="48" ht="15.75" customHeight="1">
      <c r="A48" s="25" t="s">
        <v>3743</v>
      </c>
      <c r="B48" s="25">
        <v>10.0</v>
      </c>
      <c r="C48" s="25" t="s">
        <v>3924</v>
      </c>
      <c r="D48" s="25" t="s">
        <v>3925</v>
      </c>
      <c r="E48" s="25" t="s">
        <v>3926</v>
      </c>
      <c r="F48" s="25" t="s">
        <v>3929</v>
      </c>
      <c r="G48" s="25">
        <v>120.0</v>
      </c>
      <c r="H48" s="25" t="s">
        <v>3930</v>
      </c>
      <c r="I48" s="25">
        <v>1.0</v>
      </c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</row>
    <row r="49" ht="15.75" customHeight="1">
      <c r="A49" s="25" t="s">
        <v>3744</v>
      </c>
      <c r="B49" s="25">
        <v>10.0</v>
      </c>
      <c r="C49" s="25" t="s">
        <v>3924</v>
      </c>
      <c r="D49" s="25" t="s">
        <v>3925</v>
      </c>
      <c r="E49" s="25" t="s">
        <v>3926</v>
      </c>
      <c r="F49" s="25" t="s">
        <v>3929</v>
      </c>
      <c r="G49" s="25">
        <v>125.0</v>
      </c>
      <c r="H49" s="25" t="s">
        <v>3930</v>
      </c>
      <c r="I49" s="25">
        <v>1.0</v>
      </c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</row>
    <row r="50" ht="15.75" customHeight="1">
      <c r="A50" s="25" t="s">
        <v>3744</v>
      </c>
      <c r="B50" s="25">
        <v>20.0</v>
      </c>
      <c r="C50" s="25" t="s">
        <v>3937</v>
      </c>
      <c r="D50" s="25" t="s">
        <v>3941</v>
      </c>
      <c r="E50" s="25" t="s">
        <v>3926</v>
      </c>
      <c r="F50" s="25"/>
      <c r="G50" s="25"/>
      <c r="H50" s="25"/>
      <c r="I50" s="25"/>
      <c r="J50" s="25" t="s">
        <v>3969</v>
      </c>
      <c r="K50" s="25">
        <v>2.0</v>
      </c>
      <c r="L50" s="29">
        <v>50.0</v>
      </c>
      <c r="M50" s="25"/>
      <c r="N50" s="25"/>
      <c r="O50" s="25"/>
      <c r="P50" s="25"/>
      <c r="Q50" s="25"/>
      <c r="R50" s="25"/>
      <c r="S50" s="25"/>
      <c r="T50" s="25" t="s">
        <v>3942</v>
      </c>
      <c r="U50" s="25" t="b">
        <v>1</v>
      </c>
      <c r="V50" s="25"/>
      <c r="W50" s="25"/>
      <c r="X50" s="25"/>
      <c r="Y50" s="25"/>
    </row>
    <row r="51" ht="15.75" customHeight="1">
      <c r="A51" s="25" t="s">
        <v>3746</v>
      </c>
      <c r="B51" s="25">
        <v>10.0</v>
      </c>
      <c r="C51" s="25" t="s">
        <v>3924</v>
      </c>
      <c r="D51" s="25" t="s">
        <v>3925</v>
      </c>
      <c r="E51" s="25" t="s">
        <v>3926</v>
      </c>
      <c r="F51" s="25" t="s">
        <v>3929</v>
      </c>
      <c r="G51" s="25">
        <v>120.0</v>
      </c>
      <c r="H51" s="25" t="s">
        <v>3931</v>
      </c>
      <c r="I51" s="25">
        <v>1.0</v>
      </c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</row>
    <row r="52" ht="15.75" customHeight="1">
      <c r="A52" s="25" t="s">
        <v>3747</v>
      </c>
      <c r="B52" s="25">
        <v>10.0</v>
      </c>
      <c r="C52" s="25" t="s">
        <v>3924</v>
      </c>
      <c r="D52" s="25" t="s">
        <v>3925</v>
      </c>
      <c r="E52" s="25" t="s">
        <v>3926</v>
      </c>
      <c r="F52" s="25" t="s">
        <v>3929</v>
      </c>
      <c r="G52" s="25">
        <v>140.0</v>
      </c>
      <c r="H52" s="25" t="s">
        <v>3931</v>
      </c>
      <c r="I52" s="25">
        <v>1.0</v>
      </c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</row>
    <row r="53" ht="15.75" customHeight="1">
      <c r="A53" s="25" t="s">
        <v>3747</v>
      </c>
      <c r="B53" s="25">
        <v>20.0</v>
      </c>
      <c r="C53" s="25" t="s">
        <v>3932</v>
      </c>
      <c r="D53" s="25" t="s">
        <v>3925</v>
      </c>
      <c r="E53" s="25" t="s">
        <v>3933</v>
      </c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 t="s">
        <v>3934</v>
      </c>
      <c r="Q53" s="25"/>
      <c r="R53" s="25">
        <v>10.0</v>
      </c>
      <c r="S53" s="25" t="s">
        <v>3935</v>
      </c>
      <c r="T53" s="25"/>
      <c r="U53" s="25"/>
      <c r="V53" s="25"/>
      <c r="W53" s="25"/>
      <c r="X53" s="25"/>
      <c r="Y53" s="25"/>
    </row>
    <row r="54" ht="15.75" customHeight="1">
      <c r="A54" s="25" t="s">
        <v>3748</v>
      </c>
      <c r="B54" s="25">
        <v>10.0</v>
      </c>
      <c r="C54" s="25" t="s">
        <v>3924</v>
      </c>
      <c r="D54" s="25" t="s">
        <v>3925</v>
      </c>
      <c r="E54" s="25" t="s">
        <v>3926</v>
      </c>
      <c r="F54" s="25" t="s">
        <v>3929</v>
      </c>
      <c r="G54" s="25">
        <v>100.0</v>
      </c>
      <c r="H54" s="25" t="s">
        <v>3930</v>
      </c>
      <c r="I54" s="25">
        <v>1.0</v>
      </c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ht="15.75" customHeight="1">
      <c r="A55" s="25" t="s">
        <v>3748</v>
      </c>
      <c r="B55" s="25">
        <v>20.0</v>
      </c>
      <c r="C55" s="25" t="s">
        <v>3970</v>
      </c>
      <c r="D55" s="25" t="s">
        <v>3971</v>
      </c>
      <c r="E55" s="25" t="s">
        <v>3933</v>
      </c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>
        <v>20.0</v>
      </c>
      <c r="S55" s="25" t="s">
        <v>3972</v>
      </c>
      <c r="T55" s="25"/>
      <c r="U55" s="25"/>
      <c r="V55" s="25"/>
      <c r="W55" s="25"/>
      <c r="X55" s="25"/>
      <c r="Y55" s="25"/>
    </row>
    <row r="56" ht="15.75" customHeight="1">
      <c r="A56" s="25" t="s">
        <v>3749</v>
      </c>
      <c r="B56" s="25">
        <v>10.0</v>
      </c>
      <c r="C56" s="25" t="s">
        <v>3924</v>
      </c>
      <c r="D56" s="25" t="s">
        <v>3925</v>
      </c>
      <c r="E56" s="25" t="s">
        <v>3926</v>
      </c>
      <c r="F56" s="25" t="s">
        <v>3929</v>
      </c>
      <c r="G56" s="25">
        <v>125.0</v>
      </c>
      <c r="H56" s="25" t="s">
        <v>3930</v>
      </c>
      <c r="I56" s="25">
        <v>1.0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ht="15.75" customHeight="1">
      <c r="A57" s="25" t="s">
        <v>3749</v>
      </c>
      <c r="B57" s="25">
        <v>20.0</v>
      </c>
      <c r="C57" s="25" t="s">
        <v>3932</v>
      </c>
      <c r="D57" s="25" t="s">
        <v>3925</v>
      </c>
      <c r="E57" s="25" t="s">
        <v>3933</v>
      </c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 t="s">
        <v>3943</v>
      </c>
      <c r="Q57" s="25"/>
      <c r="R57" s="25">
        <v>20.0</v>
      </c>
      <c r="S57" s="25" t="s">
        <v>3935</v>
      </c>
      <c r="T57" s="25" t="s">
        <v>3973</v>
      </c>
      <c r="U57" s="25">
        <v>30.0</v>
      </c>
      <c r="V57" s="25"/>
      <c r="W57" s="25"/>
      <c r="X57" s="25"/>
      <c r="Y57" s="25"/>
    </row>
    <row r="58" ht="15.75" customHeight="1">
      <c r="A58" s="25" t="s">
        <v>3750</v>
      </c>
      <c r="B58" s="25">
        <v>10.0</v>
      </c>
      <c r="C58" s="25" t="s">
        <v>3924</v>
      </c>
      <c r="D58" s="25" t="s">
        <v>3925</v>
      </c>
      <c r="E58" s="25" t="s">
        <v>3926</v>
      </c>
      <c r="F58" s="25" t="s">
        <v>3927</v>
      </c>
      <c r="G58" s="25">
        <v>100.0</v>
      </c>
      <c r="H58" s="25" t="s">
        <v>3928</v>
      </c>
      <c r="I58" s="25">
        <v>1.0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</row>
    <row r="59" ht="15.75" customHeight="1">
      <c r="A59" s="25" t="s">
        <v>3750</v>
      </c>
      <c r="B59" s="25">
        <v>20.0</v>
      </c>
      <c r="C59" s="25" t="s">
        <v>3974</v>
      </c>
      <c r="D59" s="25" t="s">
        <v>3925</v>
      </c>
      <c r="E59" s="25" t="s">
        <v>3926</v>
      </c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 t="s">
        <v>3975</v>
      </c>
      <c r="Y59" s="25"/>
    </row>
    <row r="60" ht="15.75" customHeight="1">
      <c r="A60" s="25" t="s">
        <v>3751</v>
      </c>
      <c r="B60" s="25">
        <v>10.0</v>
      </c>
      <c r="C60" s="25" t="s">
        <v>3949</v>
      </c>
      <c r="D60" s="25" t="s">
        <v>3925</v>
      </c>
      <c r="E60" s="25" t="s">
        <v>3933</v>
      </c>
      <c r="F60" s="25"/>
      <c r="G60" s="25"/>
      <c r="H60" s="25"/>
      <c r="I60" s="25"/>
      <c r="J60" s="25"/>
      <c r="K60" s="25"/>
      <c r="L60" s="25"/>
      <c r="M60" s="25" t="s">
        <v>3950</v>
      </c>
      <c r="N60" s="25">
        <v>5.0</v>
      </c>
      <c r="O60" s="25">
        <v>2.0</v>
      </c>
      <c r="P60" s="25"/>
      <c r="Q60" s="25"/>
      <c r="R60" s="25"/>
      <c r="S60" s="25"/>
      <c r="T60" s="25"/>
      <c r="U60" s="25"/>
      <c r="V60" s="25"/>
      <c r="W60" s="25"/>
      <c r="X60" s="25" t="s">
        <v>3951</v>
      </c>
      <c r="Y60" s="25" t="s">
        <v>3952</v>
      </c>
    </row>
    <row r="61" ht="15.75" customHeight="1">
      <c r="A61" s="25" t="s">
        <v>3751</v>
      </c>
      <c r="B61" s="25">
        <v>20.0</v>
      </c>
      <c r="C61" s="25" t="s">
        <v>3949</v>
      </c>
      <c r="D61" s="25" t="s">
        <v>3925</v>
      </c>
      <c r="E61" s="25" t="s">
        <v>3933</v>
      </c>
      <c r="F61" s="25"/>
      <c r="G61" s="25"/>
      <c r="H61" s="25"/>
      <c r="I61" s="25"/>
      <c r="J61" s="25"/>
      <c r="K61" s="25"/>
      <c r="L61" s="25"/>
      <c r="M61" s="25" t="s">
        <v>3953</v>
      </c>
      <c r="N61" s="25">
        <v>7.0</v>
      </c>
      <c r="O61" s="25">
        <v>2.0</v>
      </c>
      <c r="P61" s="25"/>
      <c r="Q61" s="25"/>
      <c r="R61" s="25"/>
      <c r="S61" s="25"/>
      <c r="T61" s="25"/>
      <c r="U61" s="25"/>
      <c r="V61" s="25"/>
      <c r="W61" s="25"/>
      <c r="X61" s="25" t="s">
        <v>3954</v>
      </c>
      <c r="Y61" s="25" t="s">
        <v>3955</v>
      </c>
    </row>
    <row r="62" ht="15.75" customHeight="1">
      <c r="A62" s="25" t="s">
        <v>3753</v>
      </c>
      <c r="B62" s="25">
        <v>10.0</v>
      </c>
      <c r="C62" s="25" t="s">
        <v>3924</v>
      </c>
      <c r="D62" s="25" t="s">
        <v>3925</v>
      </c>
      <c r="E62" s="25" t="s">
        <v>3926</v>
      </c>
      <c r="F62" s="25" t="s">
        <v>3927</v>
      </c>
      <c r="G62" s="25">
        <v>70.0</v>
      </c>
      <c r="H62" s="25" t="s">
        <v>3928</v>
      </c>
      <c r="I62" s="25">
        <v>1.0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</row>
    <row r="63" ht="15.75" customHeight="1">
      <c r="A63" s="25" t="s">
        <v>3753</v>
      </c>
      <c r="B63" s="25">
        <v>20.0</v>
      </c>
      <c r="C63" s="25" t="s">
        <v>3976</v>
      </c>
      <c r="D63" s="25" t="s">
        <v>3925</v>
      </c>
      <c r="E63" s="25" t="s">
        <v>3933</v>
      </c>
      <c r="F63" s="25"/>
      <c r="G63" s="25"/>
      <c r="H63" s="25"/>
      <c r="I63" s="25"/>
      <c r="J63" s="25"/>
      <c r="K63" s="25"/>
      <c r="L63" s="25"/>
      <c r="M63" s="25"/>
      <c r="N63" s="25"/>
      <c r="O63" s="25">
        <v>2.0</v>
      </c>
      <c r="P63" s="25"/>
      <c r="Q63" s="25" t="s">
        <v>539</v>
      </c>
      <c r="R63" s="25">
        <v>6.0</v>
      </c>
      <c r="S63" s="25" t="s">
        <v>3947</v>
      </c>
      <c r="T63" s="25"/>
      <c r="U63" s="25"/>
      <c r="V63" s="25"/>
      <c r="W63" s="25"/>
      <c r="X63" s="25" t="s">
        <v>3977</v>
      </c>
      <c r="Y63" s="25"/>
    </row>
    <row r="64" ht="15.75" customHeight="1">
      <c r="A64" s="25" t="s">
        <v>3754</v>
      </c>
      <c r="B64" s="25">
        <v>10.0</v>
      </c>
      <c r="C64" s="25" t="s">
        <v>3924</v>
      </c>
      <c r="D64" s="25" t="s">
        <v>3925</v>
      </c>
      <c r="E64" s="25" t="s">
        <v>3926</v>
      </c>
      <c r="F64" s="25" t="s">
        <v>3927</v>
      </c>
      <c r="G64" s="25">
        <v>90.0</v>
      </c>
      <c r="H64" s="25" t="s">
        <v>3928</v>
      </c>
      <c r="I64" s="25">
        <v>1.0</v>
      </c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</row>
    <row r="65" ht="15.75" customHeight="1">
      <c r="A65" s="25" t="s">
        <v>3754</v>
      </c>
      <c r="B65" s="25">
        <v>20.0</v>
      </c>
      <c r="C65" s="25" t="s">
        <v>3963</v>
      </c>
      <c r="D65" s="25" t="s">
        <v>3925</v>
      </c>
      <c r="E65" s="25" t="s">
        <v>3933</v>
      </c>
      <c r="F65" s="25"/>
      <c r="G65" s="25"/>
      <c r="H65" s="25"/>
      <c r="I65" s="25"/>
      <c r="J65" s="25"/>
      <c r="K65" s="25"/>
      <c r="L65" s="25"/>
      <c r="M65" s="25" t="s">
        <v>3953</v>
      </c>
      <c r="N65" s="25">
        <v>4.0</v>
      </c>
      <c r="O65" s="25"/>
      <c r="P65" s="25"/>
      <c r="Q65" s="25"/>
      <c r="R65" s="25"/>
      <c r="S65" s="25"/>
      <c r="T65" s="25"/>
      <c r="U65" s="25"/>
      <c r="V65" s="25"/>
      <c r="W65" s="25"/>
      <c r="X65" s="25" t="s">
        <v>3964</v>
      </c>
      <c r="Y65" s="25"/>
    </row>
    <row r="66" ht="15.75" customHeight="1">
      <c r="A66" s="25" t="s">
        <v>3754</v>
      </c>
      <c r="B66" s="25">
        <v>30.0</v>
      </c>
      <c r="C66" s="25" t="s">
        <v>3932</v>
      </c>
      <c r="D66" s="25" t="s">
        <v>3945</v>
      </c>
      <c r="E66" s="25" t="s">
        <v>3933</v>
      </c>
      <c r="F66" s="25"/>
      <c r="G66" s="25"/>
      <c r="H66" s="25"/>
      <c r="I66" s="25"/>
      <c r="J66" s="25"/>
      <c r="K66" s="25"/>
      <c r="L66" s="25"/>
      <c r="M66" s="25"/>
      <c r="N66" s="25"/>
      <c r="O66" s="25">
        <v>2.0</v>
      </c>
      <c r="P66" s="25" t="s">
        <v>3978</v>
      </c>
      <c r="Q66" s="25" t="s">
        <v>539</v>
      </c>
      <c r="R66" s="25">
        <v>6.0</v>
      </c>
      <c r="S66" s="25" t="s">
        <v>3947</v>
      </c>
      <c r="T66" s="25"/>
      <c r="U66" s="25"/>
      <c r="V66" s="25"/>
      <c r="W66" s="25"/>
      <c r="X66" s="25"/>
      <c r="Y66" s="25"/>
    </row>
    <row r="67" ht="15.75" customHeight="1">
      <c r="A67" s="25" t="s">
        <v>3755</v>
      </c>
      <c r="B67" s="25">
        <v>10.0</v>
      </c>
      <c r="C67" s="25" t="s">
        <v>3924</v>
      </c>
      <c r="D67" s="25" t="s">
        <v>3925</v>
      </c>
      <c r="E67" s="25" t="s">
        <v>3926</v>
      </c>
      <c r="F67" s="25" t="s">
        <v>3927</v>
      </c>
      <c r="G67" s="25">
        <v>85.0</v>
      </c>
      <c r="H67" s="25" t="s">
        <v>3928</v>
      </c>
      <c r="I67" s="25">
        <v>1.0</v>
      </c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</row>
    <row r="68" ht="15.75" customHeight="1">
      <c r="A68" s="25" t="s">
        <v>3755</v>
      </c>
      <c r="B68" s="25">
        <v>20.0</v>
      </c>
      <c r="C68" s="25" t="s">
        <v>3932</v>
      </c>
      <c r="D68" s="25" t="s">
        <v>3945</v>
      </c>
      <c r="E68" s="25" t="s">
        <v>3926</v>
      </c>
      <c r="F68" s="25"/>
      <c r="G68" s="25"/>
      <c r="H68" s="25"/>
      <c r="I68" s="25"/>
      <c r="J68" s="25"/>
      <c r="K68" s="25"/>
      <c r="L68" s="25"/>
      <c r="M68" s="25"/>
      <c r="N68" s="25"/>
      <c r="O68" s="25">
        <v>2.0</v>
      </c>
      <c r="P68" s="25" t="s">
        <v>3978</v>
      </c>
      <c r="Q68" s="25" t="s">
        <v>539</v>
      </c>
      <c r="R68" s="25">
        <v>6.0</v>
      </c>
      <c r="S68" s="25" t="s">
        <v>3959</v>
      </c>
      <c r="T68" s="25"/>
      <c r="U68" s="25"/>
      <c r="V68" s="25"/>
      <c r="W68" s="25"/>
      <c r="X68" s="25"/>
      <c r="Y68" s="25"/>
    </row>
    <row r="69" ht="15.75" customHeight="1">
      <c r="A69" s="25" t="s">
        <v>3756</v>
      </c>
      <c r="B69" s="25">
        <v>10.0</v>
      </c>
      <c r="C69" s="25" t="s">
        <v>3924</v>
      </c>
      <c r="D69" s="25" t="s">
        <v>3925</v>
      </c>
      <c r="E69" s="25" t="s">
        <v>3926</v>
      </c>
      <c r="F69" s="25" t="s">
        <v>3927</v>
      </c>
      <c r="G69" s="25">
        <v>100.0</v>
      </c>
      <c r="H69" s="25" t="s">
        <v>3928</v>
      </c>
      <c r="I69" s="25">
        <v>1.0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ht="15.75" customHeight="1">
      <c r="A70" s="25" t="s">
        <v>3756</v>
      </c>
      <c r="B70" s="25">
        <v>20.0</v>
      </c>
      <c r="C70" s="25" t="s">
        <v>3932</v>
      </c>
      <c r="D70" s="25" t="s">
        <v>3945</v>
      </c>
      <c r="E70" s="25" t="s">
        <v>3926</v>
      </c>
      <c r="F70" s="25"/>
      <c r="G70" s="25"/>
      <c r="H70" s="25"/>
      <c r="I70" s="25"/>
      <c r="J70" s="25"/>
      <c r="K70" s="25"/>
      <c r="L70" s="25"/>
      <c r="M70" s="25"/>
      <c r="N70" s="25"/>
      <c r="O70" s="25">
        <v>1.0</v>
      </c>
      <c r="P70" s="25" t="s">
        <v>3978</v>
      </c>
      <c r="Q70" s="25" t="s">
        <v>234</v>
      </c>
      <c r="R70" s="25">
        <v>8.0</v>
      </c>
      <c r="S70" s="25" t="s">
        <v>3959</v>
      </c>
      <c r="T70" s="25"/>
      <c r="U70" s="25"/>
      <c r="V70" s="25"/>
      <c r="W70" s="25"/>
      <c r="X70" s="25"/>
      <c r="Y70" s="25"/>
    </row>
    <row r="71" ht="15.75" customHeight="1">
      <c r="A71" s="25" t="s">
        <v>3762</v>
      </c>
      <c r="B71" s="25">
        <v>10.0</v>
      </c>
      <c r="C71" s="25" t="s">
        <v>3963</v>
      </c>
      <c r="D71" s="25" t="s">
        <v>3925</v>
      </c>
      <c r="E71" s="25" t="s">
        <v>3933</v>
      </c>
      <c r="F71" s="25"/>
      <c r="G71" s="25"/>
      <c r="H71" s="25"/>
      <c r="I71" s="25"/>
      <c r="J71" s="25"/>
      <c r="K71" s="25"/>
      <c r="L71" s="25"/>
      <c r="M71" s="25" t="s">
        <v>3950</v>
      </c>
      <c r="N71" s="25">
        <v>4.0</v>
      </c>
      <c r="O71" s="25"/>
      <c r="P71" s="25"/>
      <c r="Q71" s="25"/>
      <c r="R71" s="25"/>
      <c r="S71" s="25"/>
      <c r="T71" s="25"/>
      <c r="U71" s="25"/>
      <c r="V71" s="25"/>
      <c r="W71" s="25"/>
      <c r="X71" s="25" t="s">
        <v>3964</v>
      </c>
      <c r="Y71" s="25"/>
    </row>
    <row r="72" ht="15.75" customHeight="1">
      <c r="A72" s="25" t="s">
        <v>3766</v>
      </c>
      <c r="B72" s="25">
        <v>10.0</v>
      </c>
      <c r="C72" s="25" t="s">
        <v>3949</v>
      </c>
      <c r="D72" s="25" t="s">
        <v>3925</v>
      </c>
      <c r="E72" s="25" t="s">
        <v>3933</v>
      </c>
      <c r="F72" s="25"/>
      <c r="G72" s="25"/>
      <c r="H72" s="25"/>
      <c r="I72" s="25"/>
      <c r="J72" s="25"/>
      <c r="K72" s="25"/>
      <c r="L72" s="25"/>
      <c r="M72" s="25" t="s">
        <v>3950</v>
      </c>
      <c r="N72" s="25">
        <v>8.0</v>
      </c>
      <c r="O72" s="25">
        <v>2.0</v>
      </c>
      <c r="P72" s="25"/>
      <c r="Q72" s="25"/>
      <c r="R72" s="25"/>
      <c r="S72" s="25"/>
      <c r="T72" s="25"/>
      <c r="U72" s="25"/>
      <c r="V72" s="25"/>
      <c r="W72" s="25"/>
      <c r="X72" s="25" t="s">
        <v>3951</v>
      </c>
      <c r="Y72" s="25" t="s">
        <v>3952</v>
      </c>
    </row>
    <row r="73" ht="15.75" customHeight="1">
      <c r="A73" s="25" t="s">
        <v>3769</v>
      </c>
      <c r="B73" s="25">
        <v>10.0</v>
      </c>
      <c r="C73" s="25" t="s">
        <v>3932</v>
      </c>
      <c r="D73" s="25" t="s">
        <v>3925</v>
      </c>
      <c r="E73" s="25" t="s">
        <v>3933</v>
      </c>
      <c r="F73" s="25"/>
      <c r="G73" s="25"/>
      <c r="H73" s="25"/>
      <c r="I73" s="25"/>
      <c r="J73" s="25"/>
      <c r="K73" s="25"/>
      <c r="L73" s="25"/>
      <c r="M73" s="25"/>
      <c r="N73" s="25"/>
      <c r="O73" s="25">
        <v>2.0</v>
      </c>
      <c r="P73" s="25" t="s">
        <v>3967</v>
      </c>
      <c r="Q73" s="25" t="s">
        <v>539</v>
      </c>
      <c r="R73" s="25">
        <v>6.0</v>
      </c>
      <c r="S73" s="25" t="s">
        <v>3947</v>
      </c>
      <c r="T73" s="25"/>
      <c r="U73" s="25"/>
      <c r="V73" s="25"/>
      <c r="W73" s="25"/>
      <c r="X73" s="25"/>
      <c r="Y73" s="25"/>
    </row>
    <row r="74" ht="15.75" customHeight="1">
      <c r="A74" s="25" t="s">
        <v>3769</v>
      </c>
      <c r="B74" s="25">
        <v>20.0</v>
      </c>
      <c r="C74" s="25" t="s">
        <v>3979</v>
      </c>
      <c r="D74" s="25" t="s">
        <v>3925</v>
      </c>
      <c r="E74" s="25" t="s">
        <v>3933</v>
      </c>
      <c r="F74" s="25"/>
      <c r="G74" s="25"/>
      <c r="H74" s="25"/>
      <c r="I74" s="25"/>
      <c r="J74" s="25" t="s">
        <v>3948</v>
      </c>
      <c r="K74" s="25">
        <v>1.0</v>
      </c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 t="s">
        <v>3980</v>
      </c>
      <c r="Y74" s="25"/>
    </row>
    <row r="75" ht="15.75" customHeight="1">
      <c r="A75" s="25" t="s">
        <v>3771</v>
      </c>
      <c r="B75" s="25">
        <v>10.0</v>
      </c>
      <c r="C75" s="25" t="s">
        <v>3949</v>
      </c>
      <c r="D75" s="25" t="s">
        <v>3925</v>
      </c>
      <c r="E75" s="25" t="s">
        <v>3933</v>
      </c>
      <c r="F75" s="25"/>
      <c r="G75" s="25"/>
      <c r="H75" s="25"/>
      <c r="I75" s="25"/>
      <c r="J75" s="25"/>
      <c r="K75" s="25"/>
      <c r="L75" s="25"/>
      <c r="M75" s="25" t="s">
        <v>3950</v>
      </c>
      <c r="N75" s="25">
        <v>5.0</v>
      </c>
      <c r="O75" s="25">
        <v>2.0</v>
      </c>
      <c r="P75" s="25"/>
      <c r="Q75" s="25"/>
      <c r="R75" s="25"/>
      <c r="S75" s="25"/>
      <c r="T75" s="25"/>
      <c r="U75" s="25"/>
      <c r="V75" s="25"/>
      <c r="W75" s="25"/>
      <c r="X75" s="25" t="s">
        <v>3951</v>
      </c>
      <c r="Y75" s="25" t="s">
        <v>3952</v>
      </c>
    </row>
    <row r="76" ht="15.75" customHeight="1">
      <c r="A76" s="25" t="s">
        <v>3771</v>
      </c>
      <c r="B76" s="25">
        <v>20.0</v>
      </c>
      <c r="C76" s="25" t="s">
        <v>3932</v>
      </c>
      <c r="D76" s="25" t="s">
        <v>3925</v>
      </c>
      <c r="E76" s="25" t="s">
        <v>3933</v>
      </c>
      <c r="F76" s="25"/>
      <c r="G76" s="25"/>
      <c r="H76" s="25"/>
      <c r="I76" s="25"/>
      <c r="J76" s="25"/>
      <c r="K76" s="25"/>
      <c r="L76" s="25"/>
      <c r="M76" s="25"/>
      <c r="N76" s="25"/>
      <c r="O76" s="25">
        <v>2.0</v>
      </c>
      <c r="P76" s="25" t="s">
        <v>3967</v>
      </c>
      <c r="Q76" s="25" t="s">
        <v>539</v>
      </c>
      <c r="R76" s="25">
        <v>6.0</v>
      </c>
      <c r="S76" s="25" t="s">
        <v>3947</v>
      </c>
      <c r="T76" s="25"/>
      <c r="U76" s="25"/>
      <c r="V76" s="25"/>
      <c r="W76" s="25"/>
      <c r="X76" s="25"/>
      <c r="Y76" s="25"/>
    </row>
    <row r="77" ht="15.75" customHeight="1">
      <c r="A77" s="25" t="s">
        <v>3773</v>
      </c>
      <c r="B77" s="25">
        <v>10.0</v>
      </c>
      <c r="C77" s="25" t="s">
        <v>3963</v>
      </c>
      <c r="D77" s="25" t="s">
        <v>3925</v>
      </c>
      <c r="E77" s="25" t="s">
        <v>3933</v>
      </c>
      <c r="F77" s="25"/>
      <c r="G77" s="25"/>
      <c r="H77" s="25"/>
      <c r="I77" s="25"/>
      <c r="J77" s="25"/>
      <c r="K77" s="25"/>
      <c r="L77" s="25"/>
      <c r="M77" s="25" t="s">
        <v>3950</v>
      </c>
      <c r="N77" s="25">
        <v>5.0</v>
      </c>
      <c r="O77" s="25"/>
      <c r="P77" s="25"/>
      <c r="Q77" s="25"/>
      <c r="R77" s="25"/>
      <c r="S77" s="25"/>
      <c r="T77" s="25"/>
      <c r="U77" s="25"/>
      <c r="V77" s="25"/>
      <c r="W77" s="25"/>
      <c r="X77" s="25" t="s">
        <v>3964</v>
      </c>
      <c r="Y77" s="25"/>
    </row>
    <row r="78" ht="15.75" customHeight="1">
      <c r="A78" s="25" t="s">
        <v>3774</v>
      </c>
      <c r="B78" s="25">
        <v>10.0</v>
      </c>
      <c r="C78" s="25" t="s">
        <v>3949</v>
      </c>
      <c r="D78" s="25" t="s">
        <v>3925</v>
      </c>
      <c r="E78" s="25" t="s">
        <v>3933</v>
      </c>
      <c r="F78" s="25"/>
      <c r="G78" s="25"/>
      <c r="H78" s="25"/>
      <c r="I78" s="25"/>
      <c r="J78" s="25"/>
      <c r="K78" s="25"/>
      <c r="L78" s="25"/>
      <c r="M78" s="25" t="s">
        <v>3950</v>
      </c>
      <c r="N78" s="25">
        <v>10.0</v>
      </c>
      <c r="O78" s="25">
        <v>2.0</v>
      </c>
      <c r="P78" s="25"/>
      <c r="Q78" s="25"/>
      <c r="R78" s="25"/>
      <c r="S78" s="25"/>
      <c r="T78" s="25"/>
      <c r="U78" s="25"/>
      <c r="V78" s="25"/>
      <c r="W78" s="25"/>
      <c r="X78" s="25" t="s">
        <v>3951</v>
      </c>
      <c r="Y78" s="25" t="s">
        <v>3952</v>
      </c>
    </row>
    <row r="79" ht="15.75" customHeight="1">
      <c r="A79" s="25" t="s">
        <v>3775</v>
      </c>
      <c r="B79" s="25">
        <v>10.0</v>
      </c>
      <c r="C79" s="25" t="s">
        <v>3963</v>
      </c>
      <c r="D79" s="25" t="s">
        <v>3925</v>
      </c>
      <c r="E79" s="25" t="s">
        <v>3933</v>
      </c>
      <c r="F79" s="25"/>
      <c r="G79" s="25"/>
      <c r="H79" s="25"/>
      <c r="I79" s="25"/>
      <c r="J79" s="25"/>
      <c r="K79" s="25"/>
      <c r="L79" s="25"/>
      <c r="M79" s="25" t="s">
        <v>3953</v>
      </c>
      <c r="N79" s="25">
        <v>4.0</v>
      </c>
      <c r="O79" s="25"/>
      <c r="P79" s="25"/>
      <c r="Q79" s="25"/>
      <c r="R79" s="25"/>
      <c r="S79" s="25"/>
      <c r="T79" s="25"/>
      <c r="U79" s="25"/>
      <c r="V79" s="25"/>
      <c r="W79" s="25"/>
      <c r="X79" s="25" t="s">
        <v>3964</v>
      </c>
      <c r="Y79" s="25"/>
    </row>
    <row r="80" ht="15.75" customHeight="1">
      <c r="A80" s="25" t="s">
        <v>3776</v>
      </c>
      <c r="B80" s="25">
        <v>10.0</v>
      </c>
      <c r="C80" s="25" t="s">
        <v>3949</v>
      </c>
      <c r="D80" s="25" t="s">
        <v>3925</v>
      </c>
      <c r="E80" s="25" t="s">
        <v>3933</v>
      </c>
      <c r="F80" s="25"/>
      <c r="G80" s="25"/>
      <c r="H80" s="25"/>
      <c r="I80" s="25"/>
      <c r="J80" s="25"/>
      <c r="K80" s="25"/>
      <c r="L80" s="25"/>
      <c r="M80" s="25" t="s">
        <v>3953</v>
      </c>
      <c r="N80" s="25">
        <v>8.0</v>
      </c>
      <c r="O80" s="25">
        <v>2.0</v>
      </c>
      <c r="P80" s="25"/>
      <c r="Q80" s="25"/>
      <c r="R80" s="25"/>
      <c r="S80" s="25"/>
      <c r="T80" s="25"/>
      <c r="U80" s="25"/>
      <c r="V80" s="25"/>
      <c r="W80" s="25"/>
      <c r="X80" s="25" t="s">
        <v>3954</v>
      </c>
      <c r="Y80" s="25" t="s">
        <v>3955</v>
      </c>
    </row>
    <row r="81" ht="15.75" customHeight="1">
      <c r="A81" s="25" t="s">
        <v>3778</v>
      </c>
      <c r="B81" s="25">
        <v>10.0</v>
      </c>
      <c r="C81" s="25" t="s">
        <v>3963</v>
      </c>
      <c r="D81" s="25" t="s">
        <v>3925</v>
      </c>
      <c r="E81" s="25" t="s">
        <v>3933</v>
      </c>
      <c r="F81" s="25"/>
      <c r="G81" s="25"/>
      <c r="H81" s="25"/>
      <c r="I81" s="25"/>
      <c r="J81" s="25"/>
      <c r="K81" s="25"/>
      <c r="L81" s="25"/>
      <c r="M81" s="25" t="s">
        <v>3953</v>
      </c>
      <c r="N81" s="25">
        <v>3.0</v>
      </c>
      <c r="O81" s="25"/>
      <c r="P81" s="25"/>
      <c r="Q81" s="25"/>
      <c r="R81" s="25"/>
      <c r="S81" s="25"/>
      <c r="T81" s="25"/>
      <c r="U81" s="25"/>
      <c r="V81" s="25"/>
      <c r="W81" s="25"/>
      <c r="X81" s="25" t="s">
        <v>3964</v>
      </c>
      <c r="Y81" s="25"/>
    </row>
    <row r="82" ht="15.75" customHeight="1">
      <c r="A82" s="25" t="s">
        <v>3778</v>
      </c>
      <c r="B82" s="25">
        <v>20.0</v>
      </c>
      <c r="C82" s="25" t="s">
        <v>3981</v>
      </c>
      <c r="D82" s="25" t="s">
        <v>3925</v>
      </c>
      <c r="E82" s="25" t="s">
        <v>3933</v>
      </c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>
        <v>-1.0</v>
      </c>
      <c r="S82" s="25" t="s">
        <v>3982</v>
      </c>
      <c r="T82" s="25" t="s">
        <v>3983</v>
      </c>
      <c r="U82" s="25" t="b">
        <v>1</v>
      </c>
      <c r="V82" s="25"/>
      <c r="W82" s="25"/>
      <c r="X82" s="25"/>
      <c r="Y82" s="25"/>
    </row>
    <row r="83" ht="15.75" customHeight="1">
      <c r="A83" s="25" t="s">
        <v>3780</v>
      </c>
      <c r="B83" s="25">
        <v>10.0</v>
      </c>
      <c r="C83" s="25" t="s">
        <v>3949</v>
      </c>
      <c r="D83" s="25" t="s">
        <v>3925</v>
      </c>
      <c r="E83" s="25" t="s">
        <v>3933</v>
      </c>
      <c r="F83" s="25"/>
      <c r="G83" s="25"/>
      <c r="H83" s="25"/>
      <c r="I83" s="25"/>
      <c r="J83" s="25"/>
      <c r="K83" s="25"/>
      <c r="L83" s="25"/>
      <c r="M83" s="25" t="s">
        <v>3953</v>
      </c>
      <c r="N83" s="25">
        <v>5.0</v>
      </c>
      <c r="O83" s="25">
        <v>2.0</v>
      </c>
      <c r="P83" s="25"/>
      <c r="Q83" s="25"/>
      <c r="R83" s="25"/>
      <c r="S83" s="25"/>
      <c r="T83" s="25"/>
      <c r="U83" s="25"/>
      <c r="V83" s="25"/>
      <c r="W83" s="25"/>
      <c r="X83" s="25" t="s">
        <v>3954</v>
      </c>
      <c r="Y83" s="25" t="s">
        <v>3955</v>
      </c>
    </row>
    <row r="84" ht="15.75" customHeight="1">
      <c r="A84" s="25" t="s">
        <v>3780</v>
      </c>
      <c r="B84" s="25">
        <v>20.0</v>
      </c>
      <c r="C84" s="25" t="s">
        <v>3932</v>
      </c>
      <c r="D84" s="25" t="s">
        <v>3925</v>
      </c>
      <c r="E84" s="25" t="s">
        <v>3933</v>
      </c>
      <c r="F84" s="25"/>
      <c r="G84" s="25"/>
      <c r="H84" s="25"/>
      <c r="I84" s="25"/>
      <c r="J84" s="25"/>
      <c r="K84" s="25"/>
      <c r="L84" s="25"/>
      <c r="M84" s="25"/>
      <c r="N84" s="25"/>
      <c r="O84" s="25">
        <v>2.0</v>
      </c>
      <c r="P84" s="25" t="s">
        <v>3928</v>
      </c>
      <c r="Q84" s="25" t="s">
        <v>539</v>
      </c>
      <c r="R84" s="25">
        <v>6.0</v>
      </c>
      <c r="S84" s="25" t="s">
        <v>3947</v>
      </c>
      <c r="T84" s="25"/>
      <c r="U84" s="25"/>
      <c r="V84" s="25"/>
      <c r="W84" s="25"/>
      <c r="X84" s="25"/>
      <c r="Y84" s="25"/>
    </row>
    <row r="85" ht="15.75" customHeight="1">
      <c r="A85" s="25" t="s">
        <v>3782</v>
      </c>
      <c r="B85" s="25">
        <v>10.0</v>
      </c>
      <c r="C85" s="25" t="s">
        <v>3963</v>
      </c>
      <c r="D85" s="25" t="s">
        <v>3925</v>
      </c>
      <c r="E85" s="25" t="s">
        <v>3933</v>
      </c>
      <c r="F85" s="25"/>
      <c r="G85" s="25"/>
      <c r="H85" s="25"/>
      <c r="I85" s="25"/>
      <c r="J85" s="25"/>
      <c r="K85" s="25"/>
      <c r="L85" s="25"/>
      <c r="M85" s="25" t="s">
        <v>3953</v>
      </c>
      <c r="N85" s="25">
        <v>5.0</v>
      </c>
      <c r="O85" s="25"/>
      <c r="P85" s="25"/>
      <c r="Q85" s="25"/>
      <c r="R85" s="25"/>
      <c r="S85" s="25"/>
      <c r="T85" s="25"/>
      <c r="U85" s="25"/>
      <c r="V85" s="25"/>
      <c r="W85" s="25"/>
      <c r="X85" s="25" t="s">
        <v>3964</v>
      </c>
      <c r="Y85" s="25"/>
    </row>
    <row r="86" ht="15.75" customHeight="1">
      <c r="A86" s="25" t="s">
        <v>3783</v>
      </c>
      <c r="B86" s="25">
        <v>10.0</v>
      </c>
      <c r="C86" s="25" t="s">
        <v>3949</v>
      </c>
      <c r="D86" s="25" t="s">
        <v>3925</v>
      </c>
      <c r="E86" s="25" t="s">
        <v>3933</v>
      </c>
      <c r="F86" s="25"/>
      <c r="G86" s="25"/>
      <c r="H86" s="25"/>
      <c r="I86" s="25"/>
      <c r="J86" s="25"/>
      <c r="K86" s="25"/>
      <c r="L86" s="25"/>
      <c r="M86" s="25" t="s">
        <v>3953</v>
      </c>
      <c r="N86" s="25">
        <v>10.0</v>
      </c>
      <c r="O86" s="25">
        <v>2.0</v>
      </c>
      <c r="P86" s="25"/>
      <c r="Q86" s="25"/>
      <c r="R86" s="25"/>
      <c r="S86" s="25"/>
      <c r="T86" s="25"/>
      <c r="U86" s="25"/>
      <c r="V86" s="25"/>
      <c r="W86" s="25"/>
      <c r="X86" s="25" t="s">
        <v>3954</v>
      </c>
      <c r="Y86" s="25" t="s">
        <v>3955</v>
      </c>
    </row>
    <row r="87" ht="15.75" customHeight="1">
      <c r="A87" s="25" t="s">
        <v>3784</v>
      </c>
      <c r="B87" s="25">
        <v>10.0</v>
      </c>
      <c r="C87" s="25" t="s">
        <v>3963</v>
      </c>
      <c r="D87" s="25" t="s">
        <v>3925</v>
      </c>
      <c r="E87" s="25" t="s">
        <v>3933</v>
      </c>
      <c r="F87" s="25"/>
      <c r="G87" s="25"/>
      <c r="H87" s="25"/>
      <c r="I87" s="25"/>
      <c r="J87" s="25"/>
      <c r="K87" s="25"/>
      <c r="L87" s="25"/>
      <c r="M87" s="25" t="s">
        <v>3950</v>
      </c>
      <c r="N87" s="25">
        <v>3.0</v>
      </c>
      <c r="O87" s="25"/>
      <c r="P87" s="25"/>
      <c r="Q87" s="25"/>
      <c r="R87" s="25"/>
      <c r="S87" s="25"/>
      <c r="T87" s="25"/>
      <c r="U87" s="25"/>
      <c r="V87" s="25"/>
      <c r="W87" s="25"/>
      <c r="X87" s="25" t="s">
        <v>3964</v>
      </c>
      <c r="Y87" s="25"/>
    </row>
    <row r="88" ht="15.75" customHeight="1">
      <c r="A88" s="25" t="s">
        <v>3787</v>
      </c>
      <c r="B88" s="25">
        <v>10.0</v>
      </c>
      <c r="C88" s="25" t="s">
        <v>3949</v>
      </c>
      <c r="D88" s="25" t="s">
        <v>3925</v>
      </c>
      <c r="E88" s="25" t="s">
        <v>3933</v>
      </c>
      <c r="F88" s="25"/>
      <c r="G88" s="25"/>
      <c r="H88" s="25"/>
      <c r="I88" s="25"/>
      <c r="J88" s="25"/>
      <c r="K88" s="25"/>
      <c r="L88" s="25"/>
      <c r="M88" s="25" t="s">
        <v>3950</v>
      </c>
      <c r="N88" s="25">
        <v>5.0</v>
      </c>
      <c r="O88" s="25">
        <v>2.0</v>
      </c>
      <c r="P88" s="25"/>
      <c r="Q88" s="25"/>
      <c r="R88" s="25"/>
      <c r="S88" s="25"/>
      <c r="T88" s="25"/>
      <c r="U88" s="25"/>
      <c r="V88" s="25"/>
      <c r="W88" s="25"/>
      <c r="X88" s="25" t="s">
        <v>3951</v>
      </c>
      <c r="Y88" s="25" t="s">
        <v>3952</v>
      </c>
    </row>
    <row r="89" ht="15.75" customHeight="1">
      <c r="A89" s="25" t="s">
        <v>3787</v>
      </c>
      <c r="B89" s="25">
        <v>20.0</v>
      </c>
      <c r="C89" s="25" t="s">
        <v>3949</v>
      </c>
      <c r="D89" s="25" t="s">
        <v>3925</v>
      </c>
      <c r="E89" s="25" t="s">
        <v>3933</v>
      </c>
      <c r="F89" s="25"/>
      <c r="G89" s="25"/>
      <c r="H89" s="25"/>
      <c r="I89" s="25"/>
      <c r="J89" s="25"/>
      <c r="K89" s="25"/>
      <c r="L89" s="25"/>
      <c r="M89" s="25" t="s">
        <v>3953</v>
      </c>
      <c r="N89" s="25">
        <v>5.0</v>
      </c>
      <c r="O89" s="25">
        <v>2.0</v>
      </c>
      <c r="P89" s="25"/>
      <c r="Q89" s="25"/>
      <c r="R89" s="25"/>
      <c r="S89" s="25"/>
      <c r="T89" s="25"/>
      <c r="U89" s="25"/>
      <c r="V89" s="25"/>
      <c r="W89" s="25"/>
      <c r="X89" s="25" t="s">
        <v>3954</v>
      </c>
      <c r="Y89" s="25" t="s">
        <v>3955</v>
      </c>
    </row>
    <row r="90" ht="15.75" customHeight="1">
      <c r="A90" s="25" t="s">
        <v>3789</v>
      </c>
      <c r="B90" s="25">
        <v>10.0</v>
      </c>
      <c r="C90" s="25" t="s">
        <v>3963</v>
      </c>
      <c r="D90" s="25" t="s">
        <v>3925</v>
      </c>
      <c r="E90" s="25" t="s">
        <v>3933</v>
      </c>
      <c r="F90" s="25"/>
      <c r="G90" s="25"/>
      <c r="H90" s="25"/>
      <c r="I90" s="25"/>
      <c r="J90" s="25"/>
      <c r="K90" s="25"/>
      <c r="L90" s="25"/>
      <c r="M90" s="25" t="s">
        <v>3984</v>
      </c>
      <c r="N90" s="25">
        <v>4.0</v>
      </c>
      <c r="O90" s="25"/>
      <c r="P90" s="25"/>
      <c r="Q90" s="25"/>
      <c r="R90" s="25"/>
      <c r="S90" s="25"/>
      <c r="T90" s="25"/>
      <c r="U90" s="25"/>
      <c r="V90" s="25"/>
      <c r="W90" s="25"/>
      <c r="X90" s="25" t="s">
        <v>3964</v>
      </c>
      <c r="Y90" s="25"/>
    </row>
    <row r="91" ht="15.75" customHeight="1">
      <c r="A91" s="25" t="s">
        <v>3790</v>
      </c>
      <c r="B91" s="25">
        <v>10.0</v>
      </c>
      <c r="C91" s="25" t="s">
        <v>3949</v>
      </c>
      <c r="D91" s="25" t="s">
        <v>3925</v>
      </c>
      <c r="E91" s="25" t="s">
        <v>3933</v>
      </c>
      <c r="F91" s="25"/>
      <c r="G91" s="25"/>
      <c r="H91" s="25"/>
      <c r="I91" s="25"/>
      <c r="J91" s="25"/>
      <c r="K91" s="25"/>
      <c r="L91" s="25"/>
      <c r="M91" s="25" t="s">
        <v>3950</v>
      </c>
      <c r="N91" s="25">
        <v>4.0</v>
      </c>
      <c r="O91" s="25">
        <v>2.0</v>
      </c>
      <c r="P91" s="25"/>
      <c r="Q91" s="25"/>
      <c r="R91" s="25"/>
      <c r="S91" s="25"/>
      <c r="T91" s="25"/>
      <c r="U91" s="25"/>
      <c r="V91" s="25"/>
      <c r="W91" s="25"/>
      <c r="X91" s="25" t="s">
        <v>3951</v>
      </c>
      <c r="Y91" s="25" t="s">
        <v>3952</v>
      </c>
    </row>
    <row r="92" ht="15.75" customHeight="1">
      <c r="A92" s="25" t="s">
        <v>3790</v>
      </c>
      <c r="B92" s="25">
        <v>20.0</v>
      </c>
      <c r="C92" s="25" t="s">
        <v>3949</v>
      </c>
      <c r="D92" s="25" t="s">
        <v>3925</v>
      </c>
      <c r="E92" s="25" t="s">
        <v>3933</v>
      </c>
      <c r="F92" s="25"/>
      <c r="G92" s="25"/>
      <c r="H92" s="25"/>
      <c r="I92" s="25"/>
      <c r="J92" s="25"/>
      <c r="K92" s="25"/>
      <c r="L92" s="25"/>
      <c r="M92" s="25" t="s">
        <v>3953</v>
      </c>
      <c r="N92" s="25">
        <v>4.0</v>
      </c>
      <c r="O92" s="25">
        <v>2.0</v>
      </c>
      <c r="P92" s="25"/>
      <c r="Q92" s="25"/>
      <c r="R92" s="25"/>
      <c r="S92" s="25"/>
      <c r="T92" s="25"/>
      <c r="U92" s="25"/>
      <c r="V92" s="25"/>
      <c r="W92" s="25"/>
      <c r="X92" s="25" t="s">
        <v>3954</v>
      </c>
      <c r="Y92" s="25" t="s">
        <v>3955</v>
      </c>
    </row>
    <row r="93" ht="15.75" customHeight="1">
      <c r="A93" s="25" t="s">
        <v>3791</v>
      </c>
      <c r="B93" s="25">
        <v>10.0</v>
      </c>
      <c r="C93" s="25" t="s">
        <v>3963</v>
      </c>
      <c r="D93" s="25" t="s">
        <v>3925</v>
      </c>
      <c r="E93" s="25" t="s">
        <v>3933</v>
      </c>
      <c r="F93" s="25"/>
      <c r="G93" s="25"/>
      <c r="H93" s="25"/>
      <c r="I93" s="25"/>
      <c r="J93" s="25"/>
      <c r="K93" s="25"/>
      <c r="L93" s="25"/>
      <c r="M93" s="25" t="s">
        <v>3984</v>
      </c>
      <c r="N93" s="25">
        <v>5.0</v>
      </c>
      <c r="O93" s="25"/>
      <c r="P93" s="25"/>
      <c r="Q93" s="25"/>
      <c r="R93" s="25"/>
      <c r="S93" s="25"/>
      <c r="T93" s="25"/>
      <c r="U93" s="25"/>
      <c r="V93" s="25"/>
      <c r="W93" s="25"/>
      <c r="X93" s="25" t="s">
        <v>3964</v>
      </c>
      <c r="Y93" s="25"/>
    </row>
    <row r="94" ht="15.75" customHeight="1">
      <c r="A94" s="25" t="s">
        <v>3792</v>
      </c>
      <c r="B94" s="25">
        <v>10.0</v>
      </c>
      <c r="C94" s="25" t="s">
        <v>3949</v>
      </c>
      <c r="D94" s="25" t="s">
        <v>3925</v>
      </c>
      <c r="E94" s="25" t="s">
        <v>3933</v>
      </c>
      <c r="F94" s="25"/>
      <c r="G94" s="25"/>
      <c r="H94" s="25"/>
      <c r="I94" s="25"/>
      <c r="J94" s="25"/>
      <c r="K94" s="25"/>
      <c r="L94" s="25"/>
      <c r="M94" s="25" t="s">
        <v>3950</v>
      </c>
      <c r="N94" s="25">
        <v>6.0</v>
      </c>
      <c r="O94" s="25">
        <v>2.0</v>
      </c>
      <c r="P94" s="25"/>
      <c r="Q94" s="25"/>
      <c r="R94" s="25"/>
      <c r="S94" s="25"/>
      <c r="T94" s="25"/>
      <c r="U94" s="25"/>
      <c r="V94" s="25"/>
      <c r="W94" s="25"/>
      <c r="X94" s="25" t="s">
        <v>3951</v>
      </c>
      <c r="Y94" s="25" t="s">
        <v>3952</v>
      </c>
    </row>
    <row r="95" ht="15.75" customHeight="1">
      <c r="A95" s="25" t="s">
        <v>3792</v>
      </c>
      <c r="B95" s="25">
        <v>20.0</v>
      </c>
      <c r="C95" s="25" t="s">
        <v>3949</v>
      </c>
      <c r="D95" s="25" t="s">
        <v>3925</v>
      </c>
      <c r="E95" s="25" t="s">
        <v>3933</v>
      </c>
      <c r="F95" s="25"/>
      <c r="G95" s="25"/>
      <c r="H95" s="25"/>
      <c r="I95" s="25"/>
      <c r="J95" s="25"/>
      <c r="K95" s="25"/>
      <c r="L95" s="25"/>
      <c r="M95" s="25" t="s">
        <v>3953</v>
      </c>
      <c r="N95" s="25">
        <v>6.0</v>
      </c>
      <c r="O95" s="25">
        <v>2.0</v>
      </c>
      <c r="P95" s="25"/>
      <c r="Q95" s="25"/>
      <c r="R95" s="25"/>
      <c r="S95" s="25"/>
      <c r="T95" s="25"/>
      <c r="U95" s="25"/>
      <c r="V95" s="25"/>
      <c r="W95" s="25"/>
      <c r="X95" s="25" t="s">
        <v>3954</v>
      </c>
      <c r="Y95" s="25" t="s">
        <v>3955</v>
      </c>
    </row>
    <row r="96" ht="15.75" customHeight="1">
      <c r="A96" s="25" t="s">
        <v>3793</v>
      </c>
      <c r="B96" s="25">
        <v>10.0</v>
      </c>
      <c r="C96" s="25" t="s">
        <v>3963</v>
      </c>
      <c r="D96" s="25" t="s">
        <v>3925</v>
      </c>
      <c r="E96" s="25" t="s">
        <v>3933</v>
      </c>
      <c r="F96" s="25"/>
      <c r="G96" s="25"/>
      <c r="H96" s="25"/>
      <c r="I96" s="25"/>
      <c r="J96" s="25"/>
      <c r="K96" s="25"/>
      <c r="L96" s="25"/>
      <c r="M96" s="25" t="s">
        <v>3953</v>
      </c>
      <c r="N96" s="25">
        <v>2.0</v>
      </c>
      <c r="O96" s="25"/>
      <c r="P96" s="25"/>
      <c r="Q96" s="25"/>
      <c r="R96" s="25"/>
      <c r="S96" s="25"/>
      <c r="T96" s="25"/>
      <c r="U96" s="25"/>
      <c r="V96" s="25"/>
      <c r="W96" s="25"/>
      <c r="X96" s="25" t="s">
        <v>3964</v>
      </c>
      <c r="Y96" s="25"/>
    </row>
    <row r="97" ht="15.75" customHeight="1">
      <c r="A97" s="25" t="s">
        <v>3793</v>
      </c>
      <c r="B97" s="25">
        <v>20.0</v>
      </c>
      <c r="C97" s="25" t="s">
        <v>3932</v>
      </c>
      <c r="D97" s="25" t="s">
        <v>3925</v>
      </c>
      <c r="E97" s="25" t="s">
        <v>3933</v>
      </c>
      <c r="F97" s="25"/>
      <c r="G97" s="25"/>
      <c r="H97" s="25"/>
      <c r="I97" s="25"/>
      <c r="J97" s="25"/>
      <c r="K97" s="25"/>
      <c r="L97" s="25"/>
      <c r="M97" s="25"/>
      <c r="N97" s="25"/>
      <c r="O97" s="25">
        <v>2.0</v>
      </c>
      <c r="P97" s="25" t="s">
        <v>3946</v>
      </c>
      <c r="Q97" s="25" t="s">
        <v>539</v>
      </c>
      <c r="R97" s="25">
        <v>6.0</v>
      </c>
      <c r="S97" s="25" t="s">
        <v>3947</v>
      </c>
      <c r="T97" s="25"/>
      <c r="U97" s="25"/>
      <c r="V97" s="25"/>
      <c r="W97" s="25"/>
      <c r="X97" s="25"/>
      <c r="Y97" s="25"/>
    </row>
    <row r="98" ht="15.75" customHeight="1">
      <c r="A98" s="25" t="s">
        <v>3795</v>
      </c>
      <c r="B98" s="25">
        <v>10.0</v>
      </c>
      <c r="C98" s="25" t="s">
        <v>3949</v>
      </c>
      <c r="D98" s="25" t="s">
        <v>3925</v>
      </c>
      <c r="E98" s="25" t="s">
        <v>3933</v>
      </c>
      <c r="F98" s="25"/>
      <c r="G98" s="25"/>
      <c r="H98" s="25"/>
      <c r="I98" s="25"/>
      <c r="J98" s="25"/>
      <c r="K98" s="25"/>
      <c r="L98" s="25"/>
      <c r="M98" s="25" t="s">
        <v>3953</v>
      </c>
      <c r="N98" s="25">
        <v>5.0</v>
      </c>
      <c r="O98" s="25">
        <v>2.0</v>
      </c>
      <c r="P98" s="25"/>
      <c r="Q98" s="25"/>
      <c r="R98" s="25"/>
      <c r="S98" s="25"/>
      <c r="T98" s="25"/>
      <c r="U98" s="25"/>
      <c r="V98" s="25"/>
      <c r="W98" s="25"/>
      <c r="X98" s="25" t="s">
        <v>3954</v>
      </c>
      <c r="Y98" s="25" t="s">
        <v>3955</v>
      </c>
    </row>
    <row r="99" ht="15.75" customHeight="1">
      <c r="A99" s="25" t="s">
        <v>3795</v>
      </c>
      <c r="B99" s="25">
        <v>20.0</v>
      </c>
      <c r="C99" s="25" t="s">
        <v>3932</v>
      </c>
      <c r="D99" s="25" t="s">
        <v>3925</v>
      </c>
      <c r="E99" s="25" t="s">
        <v>3933</v>
      </c>
      <c r="F99" s="25"/>
      <c r="G99" s="25"/>
      <c r="H99" s="25"/>
      <c r="I99" s="25"/>
      <c r="J99" s="25"/>
      <c r="K99" s="25"/>
      <c r="L99" s="25"/>
      <c r="M99" s="25"/>
      <c r="N99" s="25"/>
      <c r="O99" s="25">
        <v>2.0</v>
      </c>
      <c r="P99" s="25" t="s">
        <v>3946</v>
      </c>
      <c r="Q99" s="25" t="s">
        <v>539</v>
      </c>
      <c r="R99" s="25">
        <v>6.0</v>
      </c>
      <c r="S99" s="25" t="s">
        <v>3947</v>
      </c>
      <c r="T99" s="25"/>
      <c r="U99" s="25"/>
      <c r="V99" s="25"/>
      <c r="W99" s="25"/>
      <c r="X99" s="25"/>
      <c r="Y99" s="25"/>
    </row>
    <row r="100" ht="15.75" customHeight="1">
      <c r="A100" s="25" t="s">
        <v>3796</v>
      </c>
      <c r="B100" s="25">
        <v>10.0</v>
      </c>
      <c r="C100" s="25" t="s">
        <v>3932</v>
      </c>
      <c r="D100" s="25" t="s">
        <v>3925</v>
      </c>
      <c r="E100" s="25" t="s">
        <v>3933</v>
      </c>
      <c r="F100" s="25"/>
      <c r="G100" s="25"/>
      <c r="H100" s="25"/>
      <c r="I100" s="25"/>
      <c r="J100" s="25"/>
      <c r="K100" s="25"/>
      <c r="L100" s="25"/>
      <c r="M100" s="25"/>
      <c r="N100" s="25"/>
      <c r="O100" s="25">
        <v>2.0</v>
      </c>
      <c r="P100" s="25" t="s">
        <v>3931</v>
      </c>
      <c r="Q100" s="25" t="s">
        <v>539</v>
      </c>
      <c r="R100" s="25">
        <v>6.0</v>
      </c>
      <c r="S100" s="25" t="s">
        <v>3947</v>
      </c>
      <c r="T100" s="25"/>
      <c r="U100" s="25"/>
      <c r="V100" s="25"/>
      <c r="W100" s="25"/>
      <c r="X100" s="25"/>
      <c r="Y100" s="25"/>
    </row>
    <row r="101" ht="15.75" customHeight="1">
      <c r="A101" s="25" t="s">
        <v>3798</v>
      </c>
      <c r="B101" s="25">
        <v>10.0</v>
      </c>
      <c r="C101" s="25" t="s">
        <v>3949</v>
      </c>
      <c r="D101" s="25" t="s">
        <v>3925</v>
      </c>
      <c r="E101" s="25" t="s">
        <v>3933</v>
      </c>
      <c r="F101" s="25"/>
      <c r="G101" s="25"/>
      <c r="H101" s="25"/>
      <c r="I101" s="25"/>
      <c r="J101" s="25"/>
      <c r="K101" s="25"/>
      <c r="L101" s="25"/>
      <c r="M101" s="25" t="s">
        <v>3950</v>
      </c>
      <c r="N101" s="25">
        <v>4.0</v>
      </c>
      <c r="O101" s="25">
        <v>1.0</v>
      </c>
      <c r="P101" s="25"/>
      <c r="Q101" s="25"/>
      <c r="R101" s="25"/>
      <c r="S101" s="25"/>
      <c r="T101" s="25"/>
      <c r="U101" s="25"/>
      <c r="V101" s="25"/>
      <c r="W101" s="25"/>
      <c r="X101" s="25" t="s">
        <v>3951</v>
      </c>
      <c r="Y101" s="25" t="s">
        <v>3952</v>
      </c>
    </row>
    <row r="102" ht="15.75" customHeight="1">
      <c r="A102" s="25" t="s">
        <v>3798</v>
      </c>
      <c r="B102" s="25">
        <v>20.0</v>
      </c>
      <c r="C102" s="25" t="s">
        <v>3949</v>
      </c>
      <c r="D102" s="25" t="s">
        <v>3925</v>
      </c>
      <c r="E102" s="25" t="s">
        <v>3933</v>
      </c>
      <c r="F102" s="25"/>
      <c r="G102" s="25"/>
      <c r="H102" s="25"/>
      <c r="I102" s="25"/>
      <c r="J102" s="25"/>
      <c r="K102" s="25"/>
      <c r="L102" s="25"/>
      <c r="M102" s="25" t="s">
        <v>3953</v>
      </c>
      <c r="N102" s="25">
        <v>4.0</v>
      </c>
      <c r="O102" s="25">
        <v>1.0</v>
      </c>
      <c r="P102" s="25"/>
      <c r="Q102" s="25"/>
      <c r="R102" s="25"/>
      <c r="S102" s="25"/>
      <c r="T102" s="25"/>
      <c r="U102" s="25"/>
      <c r="V102" s="25"/>
      <c r="W102" s="25"/>
      <c r="X102" s="25" t="s">
        <v>3954</v>
      </c>
      <c r="Y102" s="25" t="s">
        <v>3955</v>
      </c>
    </row>
    <row r="103" ht="15.75" customHeight="1">
      <c r="A103" s="25" t="s">
        <v>3798</v>
      </c>
      <c r="B103" s="25">
        <v>30.0</v>
      </c>
      <c r="C103" s="25" t="s">
        <v>3932</v>
      </c>
      <c r="D103" s="25" t="s">
        <v>3925</v>
      </c>
      <c r="E103" s="25" t="s">
        <v>3933</v>
      </c>
      <c r="F103" s="25"/>
      <c r="G103" s="25"/>
      <c r="H103" s="25"/>
      <c r="I103" s="25"/>
      <c r="J103" s="25"/>
      <c r="K103" s="25"/>
      <c r="L103" s="25"/>
      <c r="M103" s="25"/>
      <c r="N103" s="25"/>
      <c r="O103" s="25">
        <v>1.0</v>
      </c>
      <c r="P103" s="25" t="s">
        <v>3946</v>
      </c>
      <c r="Q103" s="25" t="s">
        <v>539</v>
      </c>
      <c r="R103" s="25">
        <v>6.0</v>
      </c>
      <c r="S103" s="25" t="s">
        <v>3947</v>
      </c>
      <c r="T103" s="25"/>
      <c r="U103" s="25"/>
      <c r="V103" s="25"/>
      <c r="W103" s="25"/>
      <c r="X103" s="25"/>
      <c r="Y103" s="25"/>
    </row>
    <row r="104" ht="15.75" customHeight="1">
      <c r="A104" s="25" t="s">
        <v>3800</v>
      </c>
      <c r="B104" s="25">
        <v>10.0</v>
      </c>
      <c r="C104" s="25" t="s">
        <v>3932</v>
      </c>
      <c r="D104" s="25" t="s">
        <v>3925</v>
      </c>
      <c r="E104" s="25" t="s">
        <v>3933</v>
      </c>
      <c r="F104" s="25"/>
      <c r="G104" s="25"/>
      <c r="H104" s="25"/>
      <c r="I104" s="25"/>
      <c r="J104" s="25"/>
      <c r="K104" s="25"/>
      <c r="L104" s="25"/>
      <c r="M104" s="25"/>
      <c r="N104" s="25"/>
      <c r="O104" s="25">
        <v>1.0</v>
      </c>
      <c r="P104" s="25" t="s">
        <v>3946</v>
      </c>
      <c r="Q104" s="25" t="s">
        <v>539</v>
      </c>
      <c r="R104" s="25">
        <v>6.0</v>
      </c>
      <c r="S104" s="25" t="s">
        <v>3947</v>
      </c>
      <c r="T104" s="25"/>
      <c r="U104" s="25"/>
      <c r="V104" s="25"/>
      <c r="W104" s="25"/>
      <c r="X104" s="25"/>
      <c r="Y104" s="25"/>
    </row>
    <row r="105" ht="15.75" customHeight="1">
      <c r="A105" s="25" t="s">
        <v>3800</v>
      </c>
      <c r="B105" s="25">
        <v>20.0</v>
      </c>
      <c r="C105" s="25" t="s">
        <v>3979</v>
      </c>
      <c r="D105" s="25" t="s">
        <v>3925</v>
      </c>
      <c r="E105" s="25" t="s">
        <v>3933</v>
      </c>
      <c r="F105" s="25"/>
      <c r="G105" s="25"/>
      <c r="H105" s="25"/>
      <c r="I105" s="25"/>
      <c r="J105" s="25" t="s">
        <v>3965</v>
      </c>
      <c r="K105" s="25">
        <v>1.0</v>
      </c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 t="s">
        <v>3985</v>
      </c>
      <c r="Y105" s="25"/>
    </row>
    <row r="106" ht="15.75" customHeight="1">
      <c r="A106" s="25" t="s">
        <v>3802</v>
      </c>
      <c r="B106" s="25">
        <v>10.0</v>
      </c>
      <c r="C106" s="25" t="s">
        <v>3949</v>
      </c>
      <c r="D106" s="25" t="s">
        <v>3925</v>
      </c>
      <c r="E106" s="25" t="s">
        <v>3933</v>
      </c>
      <c r="F106" s="25"/>
      <c r="G106" s="25"/>
      <c r="H106" s="25"/>
      <c r="I106" s="25"/>
      <c r="J106" s="25"/>
      <c r="K106" s="25"/>
      <c r="L106" s="25"/>
      <c r="M106" s="25" t="s">
        <v>3950</v>
      </c>
      <c r="N106" s="25">
        <v>5.0</v>
      </c>
      <c r="O106" s="25">
        <v>1.0</v>
      </c>
      <c r="P106" s="25"/>
      <c r="Q106" s="25"/>
      <c r="R106" s="25"/>
      <c r="S106" s="25"/>
      <c r="T106" s="25"/>
      <c r="U106" s="25"/>
      <c r="V106" s="25"/>
      <c r="W106" s="25"/>
      <c r="X106" s="25" t="s">
        <v>3951</v>
      </c>
      <c r="Y106" s="25" t="s">
        <v>3952</v>
      </c>
    </row>
    <row r="107" ht="15.75" customHeight="1">
      <c r="A107" s="25" t="s">
        <v>3802</v>
      </c>
      <c r="B107" s="25">
        <v>20.0</v>
      </c>
      <c r="C107" s="25" t="s">
        <v>3949</v>
      </c>
      <c r="D107" s="25" t="s">
        <v>3925</v>
      </c>
      <c r="E107" s="25" t="s">
        <v>3933</v>
      </c>
      <c r="F107" s="25"/>
      <c r="G107" s="25"/>
      <c r="H107" s="25"/>
      <c r="I107" s="25"/>
      <c r="J107" s="25"/>
      <c r="K107" s="25"/>
      <c r="L107" s="25"/>
      <c r="M107" s="25" t="s">
        <v>3953</v>
      </c>
      <c r="N107" s="25">
        <v>5.0</v>
      </c>
      <c r="O107" s="25">
        <v>1.0</v>
      </c>
      <c r="P107" s="25"/>
      <c r="Q107" s="25"/>
      <c r="R107" s="25"/>
      <c r="S107" s="25"/>
      <c r="T107" s="25"/>
      <c r="U107" s="25"/>
      <c r="V107" s="25"/>
      <c r="W107" s="25"/>
      <c r="X107" s="25" t="s">
        <v>3954</v>
      </c>
      <c r="Y107" s="25" t="s">
        <v>3955</v>
      </c>
    </row>
    <row r="108" ht="15.75" customHeight="1">
      <c r="A108" s="25" t="s">
        <v>3803</v>
      </c>
      <c r="B108" s="25">
        <v>10.0</v>
      </c>
      <c r="C108" s="25" t="s">
        <v>3963</v>
      </c>
      <c r="D108" s="25" t="s">
        <v>3925</v>
      </c>
      <c r="E108" s="25" t="s">
        <v>3933</v>
      </c>
      <c r="F108" s="25"/>
      <c r="G108" s="25"/>
      <c r="H108" s="25"/>
      <c r="I108" s="25"/>
      <c r="J108" s="25"/>
      <c r="K108" s="25"/>
      <c r="L108" s="25"/>
      <c r="M108" s="25" t="s">
        <v>3950</v>
      </c>
      <c r="N108" s="25">
        <v>4.0</v>
      </c>
      <c r="O108" s="25"/>
      <c r="P108" s="25"/>
      <c r="Q108" s="25"/>
      <c r="R108" s="25"/>
      <c r="S108" s="25"/>
      <c r="T108" s="25"/>
      <c r="U108" s="25"/>
      <c r="V108" s="25"/>
      <c r="W108" s="25"/>
      <c r="X108" s="25" t="s">
        <v>3964</v>
      </c>
      <c r="Y108" s="25"/>
    </row>
    <row r="109" ht="15.75" customHeight="1">
      <c r="A109" s="25" t="s">
        <v>3803</v>
      </c>
      <c r="B109" s="25">
        <v>20.0</v>
      </c>
      <c r="C109" s="25" t="s">
        <v>3932</v>
      </c>
      <c r="D109" s="25" t="s">
        <v>3925</v>
      </c>
      <c r="E109" s="25" t="s">
        <v>3933</v>
      </c>
      <c r="F109" s="25"/>
      <c r="G109" s="25"/>
      <c r="H109" s="25"/>
      <c r="I109" s="25"/>
      <c r="J109" s="25"/>
      <c r="K109" s="25"/>
      <c r="L109" s="25"/>
      <c r="M109" s="25"/>
      <c r="N109" s="25"/>
      <c r="O109" s="25">
        <v>1.0</v>
      </c>
      <c r="P109" s="25" t="s">
        <v>3930</v>
      </c>
      <c r="Q109" s="25" t="s">
        <v>539</v>
      </c>
      <c r="R109" s="25">
        <v>6.0</v>
      </c>
      <c r="S109" s="25" t="s">
        <v>3947</v>
      </c>
      <c r="T109" s="25"/>
      <c r="U109" s="25"/>
      <c r="V109" s="25"/>
      <c r="W109" s="25"/>
      <c r="X109" s="25"/>
      <c r="Y109" s="25"/>
    </row>
    <row r="110" ht="15.75" customHeight="1">
      <c r="A110" s="25" t="s">
        <v>3803</v>
      </c>
      <c r="B110" s="25">
        <v>30.0</v>
      </c>
      <c r="C110" s="25" t="s">
        <v>3979</v>
      </c>
      <c r="D110" s="25" t="s">
        <v>3925</v>
      </c>
      <c r="E110" s="25" t="s">
        <v>3933</v>
      </c>
      <c r="F110" s="25"/>
      <c r="G110" s="25"/>
      <c r="H110" s="25"/>
      <c r="I110" s="25"/>
      <c r="J110" s="25" t="s">
        <v>3969</v>
      </c>
      <c r="K110" s="25">
        <v>1.0</v>
      </c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 t="s">
        <v>3986</v>
      </c>
      <c r="Y110" s="25"/>
    </row>
    <row r="111" ht="15.75" customHeight="1">
      <c r="A111" s="25" t="s">
        <v>3804</v>
      </c>
      <c r="B111" s="25">
        <v>10.0</v>
      </c>
      <c r="C111" s="25" t="s">
        <v>3949</v>
      </c>
      <c r="D111" s="25" t="s">
        <v>3925</v>
      </c>
      <c r="E111" s="25" t="s">
        <v>3933</v>
      </c>
      <c r="F111" s="25"/>
      <c r="G111" s="25"/>
      <c r="H111" s="25"/>
      <c r="I111" s="25"/>
      <c r="J111" s="25"/>
      <c r="K111" s="25"/>
      <c r="L111" s="25"/>
      <c r="M111" s="25" t="s">
        <v>3950</v>
      </c>
      <c r="N111" s="25">
        <v>6.0</v>
      </c>
      <c r="O111" s="25">
        <v>2.0</v>
      </c>
      <c r="P111" s="25"/>
      <c r="Q111" s="25"/>
      <c r="R111" s="25"/>
      <c r="S111" s="25"/>
      <c r="T111" s="25"/>
      <c r="U111" s="25"/>
      <c r="V111" s="25"/>
      <c r="W111" s="25"/>
      <c r="X111" s="25" t="s">
        <v>3951</v>
      </c>
      <c r="Y111" s="25" t="s">
        <v>3952</v>
      </c>
    </row>
    <row r="112" ht="15.75" customHeight="1">
      <c r="A112" s="25" t="s">
        <v>3804</v>
      </c>
      <c r="B112" s="25">
        <v>20.0</v>
      </c>
      <c r="C112" s="25" t="s">
        <v>3932</v>
      </c>
      <c r="D112" s="25" t="s">
        <v>3925</v>
      </c>
      <c r="E112" s="25" t="s">
        <v>3933</v>
      </c>
      <c r="F112" s="25"/>
      <c r="G112" s="25"/>
      <c r="H112" s="25"/>
      <c r="I112" s="25"/>
      <c r="J112" s="25"/>
      <c r="K112" s="25"/>
      <c r="L112" s="25"/>
      <c r="M112" s="25"/>
      <c r="N112" s="25"/>
      <c r="O112" s="25">
        <v>2.0</v>
      </c>
      <c r="P112" s="25" t="s">
        <v>3930</v>
      </c>
      <c r="Q112" s="25" t="s">
        <v>539</v>
      </c>
      <c r="R112" s="25">
        <v>6.0</v>
      </c>
      <c r="S112" s="25" t="s">
        <v>3947</v>
      </c>
      <c r="T112" s="25"/>
      <c r="U112" s="25"/>
      <c r="V112" s="25"/>
      <c r="W112" s="25"/>
      <c r="X112" s="25"/>
      <c r="Y112" s="25"/>
    </row>
    <row r="113" ht="15.75" customHeight="1">
      <c r="A113" s="25" t="s">
        <v>3805</v>
      </c>
      <c r="B113" s="25">
        <v>10.0</v>
      </c>
      <c r="C113" s="25" t="s">
        <v>3932</v>
      </c>
      <c r="D113" s="25" t="s">
        <v>3925</v>
      </c>
      <c r="E113" s="25" t="s">
        <v>3933</v>
      </c>
      <c r="F113" s="25"/>
      <c r="G113" s="25"/>
      <c r="H113" s="25"/>
      <c r="I113" s="25"/>
      <c r="J113" s="25"/>
      <c r="K113" s="25"/>
      <c r="L113" s="25"/>
      <c r="M113" s="25"/>
      <c r="N113" s="25"/>
      <c r="O113" s="25">
        <v>2.0</v>
      </c>
      <c r="P113" s="25" t="s">
        <v>3930</v>
      </c>
      <c r="Q113" s="25" t="s">
        <v>539</v>
      </c>
      <c r="R113" s="25">
        <v>6.0</v>
      </c>
      <c r="S113" s="25" t="s">
        <v>3947</v>
      </c>
      <c r="T113" s="25"/>
      <c r="U113" s="25"/>
      <c r="V113" s="25"/>
      <c r="W113" s="25"/>
      <c r="X113" s="25"/>
      <c r="Y113" s="25"/>
    </row>
    <row r="114" ht="15.75" customHeight="1">
      <c r="A114" s="25" t="s">
        <v>3806</v>
      </c>
      <c r="B114" s="25">
        <v>10.0</v>
      </c>
      <c r="C114" s="25" t="s">
        <v>3932</v>
      </c>
      <c r="D114" s="25" t="s">
        <v>3987</v>
      </c>
      <c r="E114" s="25" t="s">
        <v>3933</v>
      </c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 t="s">
        <v>3943</v>
      </c>
      <c r="Q114" s="25"/>
      <c r="R114" s="25">
        <v>15.0</v>
      </c>
      <c r="S114" s="25" t="s">
        <v>3935</v>
      </c>
      <c r="T114" s="25"/>
      <c r="U114" s="25"/>
      <c r="V114" s="25"/>
      <c r="W114" s="25"/>
      <c r="X114" s="25"/>
      <c r="Y114" s="25"/>
    </row>
    <row r="115" ht="15.75" customHeight="1">
      <c r="A115" s="25" t="s">
        <v>3806</v>
      </c>
      <c r="B115" s="25">
        <v>20.0</v>
      </c>
      <c r="C115" s="25" t="s">
        <v>3966</v>
      </c>
      <c r="D115" s="25" t="s">
        <v>3925</v>
      </c>
      <c r="E115" s="25" t="s">
        <v>3926</v>
      </c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 t="s">
        <v>3967</v>
      </c>
      <c r="W115" s="25">
        <v>4.0</v>
      </c>
      <c r="X115" s="25" t="s">
        <v>3987</v>
      </c>
      <c r="Y115" s="25"/>
    </row>
    <row r="116" ht="15.75" customHeight="1">
      <c r="A116" s="25" t="s">
        <v>3806</v>
      </c>
      <c r="B116" s="25">
        <v>30.0</v>
      </c>
      <c r="C116" s="25" t="s">
        <v>3988</v>
      </c>
      <c r="D116" s="25" t="s">
        <v>3925</v>
      </c>
      <c r="E116" s="25" t="s">
        <v>3933</v>
      </c>
      <c r="F116" s="25"/>
      <c r="G116" s="25"/>
      <c r="H116" s="25"/>
      <c r="I116" s="25"/>
      <c r="J116" s="25"/>
      <c r="K116" s="25"/>
      <c r="L116" s="25"/>
      <c r="M116" s="25"/>
      <c r="N116" s="25"/>
      <c r="O116" s="25">
        <v>2.0</v>
      </c>
      <c r="P116" s="25"/>
      <c r="Q116" s="25"/>
      <c r="R116" s="25"/>
      <c r="S116" s="25"/>
      <c r="T116" s="25"/>
      <c r="U116" s="25"/>
      <c r="V116" s="25"/>
      <c r="W116" s="25"/>
      <c r="X116" s="25" t="s">
        <v>3989</v>
      </c>
      <c r="Y116" s="25" t="s">
        <v>3990</v>
      </c>
    </row>
    <row r="117" ht="15.75" customHeight="1">
      <c r="A117" s="25" t="s">
        <v>3808</v>
      </c>
      <c r="B117" s="25">
        <v>10.0</v>
      </c>
      <c r="C117" s="25" t="s">
        <v>3963</v>
      </c>
      <c r="D117" s="25" t="s">
        <v>3925</v>
      </c>
      <c r="E117" s="25" t="s">
        <v>3933</v>
      </c>
      <c r="F117" s="25"/>
      <c r="G117" s="25"/>
      <c r="H117" s="25"/>
      <c r="I117" s="25"/>
      <c r="J117" s="25"/>
      <c r="K117" s="25"/>
      <c r="L117" s="25"/>
      <c r="M117" s="25" t="s">
        <v>3950</v>
      </c>
      <c r="N117" s="25">
        <v>4.0</v>
      </c>
      <c r="O117" s="25"/>
      <c r="P117" s="25"/>
      <c r="Q117" s="25"/>
      <c r="R117" s="25"/>
      <c r="S117" s="25"/>
      <c r="T117" s="25"/>
      <c r="U117" s="25"/>
      <c r="V117" s="25"/>
      <c r="W117" s="25"/>
      <c r="X117" s="25" t="s">
        <v>3964</v>
      </c>
      <c r="Y117" s="25"/>
    </row>
    <row r="118" ht="15.75" customHeight="1">
      <c r="A118" s="25" t="s">
        <v>3808</v>
      </c>
      <c r="B118" s="25">
        <v>20.0</v>
      </c>
      <c r="C118" s="25" t="s">
        <v>3932</v>
      </c>
      <c r="D118" s="25" t="s">
        <v>3987</v>
      </c>
      <c r="E118" s="25" t="s">
        <v>3933</v>
      </c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 t="s">
        <v>3943</v>
      </c>
      <c r="Q118" s="25"/>
      <c r="R118" s="25">
        <v>10.0</v>
      </c>
      <c r="S118" s="25" t="s">
        <v>3935</v>
      </c>
      <c r="T118" s="25"/>
      <c r="U118" s="25"/>
      <c r="V118" s="25"/>
      <c r="W118" s="25"/>
      <c r="X118" s="25"/>
      <c r="Y118" s="25"/>
    </row>
    <row r="119" ht="15.75" customHeight="1">
      <c r="A119" s="25" t="s">
        <v>3808</v>
      </c>
      <c r="B119" s="25">
        <v>30.0</v>
      </c>
      <c r="C119" s="25" t="s">
        <v>3988</v>
      </c>
      <c r="D119" s="25" t="s">
        <v>3925</v>
      </c>
      <c r="E119" s="25" t="s">
        <v>3933</v>
      </c>
      <c r="F119" s="25"/>
      <c r="G119" s="25"/>
      <c r="H119" s="25"/>
      <c r="I119" s="25"/>
      <c r="J119" s="25"/>
      <c r="K119" s="25"/>
      <c r="L119" s="25"/>
      <c r="M119" s="25"/>
      <c r="N119" s="25"/>
      <c r="O119" s="25">
        <v>1.0</v>
      </c>
      <c r="P119" s="25"/>
      <c r="Q119" s="25"/>
      <c r="R119" s="25"/>
      <c r="S119" s="25"/>
      <c r="T119" s="25"/>
      <c r="U119" s="25"/>
      <c r="V119" s="25"/>
      <c r="W119" s="25"/>
      <c r="X119" s="25" t="s">
        <v>3989</v>
      </c>
      <c r="Y119" s="25" t="s">
        <v>3990</v>
      </c>
    </row>
    <row r="120" ht="15.75" customHeight="1">
      <c r="A120" s="25" t="s">
        <v>3810</v>
      </c>
      <c r="B120" s="25">
        <v>10.0</v>
      </c>
      <c r="C120" s="25" t="s">
        <v>3949</v>
      </c>
      <c r="D120" s="25" t="s">
        <v>3925</v>
      </c>
      <c r="E120" s="25" t="s">
        <v>3933</v>
      </c>
      <c r="F120" s="25"/>
      <c r="G120" s="25"/>
      <c r="H120" s="25"/>
      <c r="I120" s="25"/>
      <c r="J120" s="25"/>
      <c r="K120" s="25"/>
      <c r="L120" s="25"/>
      <c r="M120" s="25" t="s">
        <v>3950</v>
      </c>
      <c r="N120" s="25">
        <v>8.0</v>
      </c>
      <c r="O120" s="25">
        <v>2.0</v>
      </c>
      <c r="P120" s="25"/>
      <c r="Q120" s="25"/>
      <c r="R120" s="25"/>
      <c r="S120" s="25"/>
      <c r="T120" s="25"/>
      <c r="U120" s="25"/>
      <c r="V120" s="25"/>
      <c r="W120" s="25"/>
      <c r="X120" s="25" t="s">
        <v>3951</v>
      </c>
      <c r="Y120" s="25" t="s">
        <v>3952</v>
      </c>
    </row>
    <row r="121" ht="15.75" customHeight="1">
      <c r="A121" s="25" t="s">
        <v>3810</v>
      </c>
      <c r="B121" s="25">
        <v>20.0</v>
      </c>
      <c r="C121" s="25" t="s">
        <v>3932</v>
      </c>
      <c r="D121" s="25" t="s">
        <v>3987</v>
      </c>
      <c r="E121" s="25" t="s">
        <v>3933</v>
      </c>
      <c r="F121" s="25"/>
      <c r="G121" s="25"/>
      <c r="H121" s="25"/>
      <c r="I121" s="25"/>
      <c r="J121" s="25"/>
      <c r="K121" s="25"/>
      <c r="L121" s="25"/>
      <c r="M121" s="25"/>
      <c r="N121" s="25"/>
      <c r="O121" s="25">
        <v>2.0</v>
      </c>
      <c r="P121" s="25" t="s">
        <v>3943</v>
      </c>
      <c r="Q121" s="25"/>
      <c r="R121" s="25">
        <v>10.0</v>
      </c>
      <c r="S121" s="25" t="s">
        <v>3935</v>
      </c>
      <c r="T121" s="25"/>
      <c r="U121" s="25"/>
      <c r="V121" s="25"/>
      <c r="W121" s="25"/>
      <c r="X121" s="25"/>
      <c r="Y121" s="25"/>
    </row>
    <row r="122" ht="15.75" customHeight="1">
      <c r="A122" s="25" t="s">
        <v>3810</v>
      </c>
      <c r="B122" s="25">
        <v>30.0</v>
      </c>
      <c r="C122" s="25" t="s">
        <v>3988</v>
      </c>
      <c r="D122" s="25" t="s">
        <v>3925</v>
      </c>
      <c r="E122" s="25" t="s">
        <v>3933</v>
      </c>
      <c r="F122" s="25"/>
      <c r="G122" s="25"/>
      <c r="H122" s="25"/>
      <c r="I122" s="25"/>
      <c r="J122" s="25"/>
      <c r="K122" s="25"/>
      <c r="L122" s="25"/>
      <c r="M122" s="25"/>
      <c r="N122" s="25"/>
      <c r="O122" s="25">
        <v>2.0</v>
      </c>
      <c r="P122" s="25"/>
      <c r="Q122" s="25"/>
      <c r="R122" s="25"/>
      <c r="S122" s="25"/>
      <c r="T122" s="25"/>
      <c r="U122" s="25"/>
      <c r="V122" s="25"/>
      <c r="W122" s="25"/>
      <c r="X122" s="25" t="s">
        <v>3989</v>
      </c>
      <c r="Y122" s="25" t="s">
        <v>3990</v>
      </c>
    </row>
    <row r="123" ht="15.75" customHeight="1">
      <c r="A123" s="25" t="s">
        <v>3812</v>
      </c>
      <c r="B123" s="25">
        <v>10.0</v>
      </c>
      <c r="C123" s="25" t="s">
        <v>3963</v>
      </c>
      <c r="D123" s="25" t="s">
        <v>3925</v>
      </c>
      <c r="E123" s="25" t="s">
        <v>3933</v>
      </c>
      <c r="F123" s="25"/>
      <c r="G123" s="25"/>
      <c r="H123" s="25"/>
      <c r="I123" s="25"/>
      <c r="J123" s="25"/>
      <c r="K123" s="25"/>
      <c r="L123" s="25"/>
      <c r="M123" s="25" t="s">
        <v>3953</v>
      </c>
      <c r="N123" s="25">
        <v>4.0</v>
      </c>
      <c r="O123" s="25"/>
      <c r="P123" s="25"/>
      <c r="Q123" s="25"/>
      <c r="R123" s="25"/>
      <c r="S123" s="25"/>
      <c r="T123" s="25"/>
      <c r="U123" s="25"/>
      <c r="V123" s="25"/>
      <c r="W123" s="25"/>
      <c r="X123" s="25" t="s">
        <v>3964</v>
      </c>
      <c r="Y123" s="25"/>
    </row>
    <row r="124" ht="15.75" customHeight="1">
      <c r="A124" s="25" t="s">
        <v>3813</v>
      </c>
      <c r="B124" s="25">
        <v>10.0</v>
      </c>
      <c r="C124" s="25" t="s">
        <v>3949</v>
      </c>
      <c r="D124" s="25" t="s">
        <v>3925</v>
      </c>
      <c r="E124" s="25" t="s">
        <v>3933</v>
      </c>
      <c r="F124" s="25"/>
      <c r="G124" s="25"/>
      <c r="H124" s="25"/>
      <c r="I124" s="25"/>
      <c r="J124" s="25"/>
      <c r="K124" s="25"/>
      <c r="L124" s="25"/>
      <c r="M124" s="25" t="s">
        <v>3953</v>
      </c>
      <c r="N124" s="25">
        <v>7.0</v>
      </c>
      <c r="O124" s="25">
        <v>2.0</v>
      </c>
      <c r="P124" s="25"/>
      <c r="Q124" s="25"/>
      <c r="R124" s="25"/>
      <c r="S124" s="25"/>
      <c r="T124" s="25"/>
      <c r="U124" s="25"/>
      <c r="V124" s="25"/>
      <c r="W124" s="25"/>
      <c r="X124" s="25" t="s">
        <v>3954</v>
      </c>
      <c r="Y124" s="25" t="s">
        <v>3955</v>
      </c>
    </row>
    <row r="125" ht="15.75" customHeight="1">
      <c r="A125" s="25" t="s">
        <v>3813</v>
      </c>
      <c r="B125" s="25">
        <v>20.0</v>
      </c>
      <c r="C125" s="25" t="s">
        <v>3932</v>
      </c>
      <c r="D125" s="25" t="s">
        <v>3925</v>
      </c>
      <c r="E125" s="25" t="s">
        <v>3933</v>
      </c>
      <c r="F125" s="25"/>
      <c r="G125" s="25"/>
      <c r="H125" s="25"/>
      <c r="I125" s="25"/>
      <c r="J125" s="25"/>
      <c r="K125" s="25"/>
      <c r="L125" s="25"/>
      <c r="M125" s="25"/>
      <c r="N125" s="25"/>
      <c r="O125" s="25">
        <v>2.0</v>
      </c>
      <c r="P125" s="25" t="s">
        <v>3946</v>
      </c>
      <c r="Q125" s="25" t="s">
        <v>539</v>
      </c>
      <c r="R125" s="25">
        <v>6.0</v>
      </c>
      <c r="S125" s="25" t="s">
        <v>3947</v>
      </c>
      <c r="T125" s="25"/>
      <c r="U125" s="25"/>
      <c r="V125" s="25"/>
      <c r="W125" s="25"/>
      <c r="X125" s="25"/>
      <c r="Y125" s="25"/>
    </row>
    <row r="126" ht="15.75" customHeight="1">
      <c r="A126" s="25" t="s">
        <v>3814</v>
      </c>
      <c r="B126" s="25">
        <v>10.0</v>
      </c>
      <c r="C126" s="25" t="s">
        <v>3932</v>
      </c>
      <c r="D126" s="25" t="s">
        <v>3925</v>
      </c>
      <c r="E126" s="25" t="s">
        <v>3933</v>
      </c>
      <c r="F126" s="25"/>
      <c r="G126" s="25"/>
      <c r="H126" s="25"/>
      <c r="I126" s="25"/>
      <c r="J126" s="25"/>
      <c r="K126" s="25"/>
      <c r="L126" s="25"/>
      <c r="M126" s="25"/>
      <c r="N126" s="25"/>
      <c r="O126" s="25">
        <v>2.0</v>
      </c>
      <c r="P126" s="25" t="s">
        <v>3928</v>
      </c>
      <c r="Q126" s="25" t="s">
        <v>539</v>
      </c>
      <c r="R126" s="25">
        <v>6.0</v>
      </c>
      <c r="S126" s="25" t="s">
        <v>3947</v>
      </c>
      <c r="T126" s="25"/>
      <c r="U126" s="25"/>
      <c r="V126" s="25"/>
      <c r="W126" s="25"/>
      <c r="X126" s="25"/>
      <c r="Y126" s="25"/>
    </row>
    <row r="127" ht="15.75" customHeight="1">
      <c r="A127" s="25" t="s">
        <v>3815</v>
      </c>
      <c r="B127" s="25">
        <v>10.0</v>
      </c>
      <c r="C127" s="25" t="s">
        <v>3949</v>
      </c>
      <c r="D127" s="25" t="s">
        <v>3925</v>
      </c>
      <c r="E127" s="25" t="s">
        <v>3933</v>
      </c>
      <c r="F127" s="25"/>
      <c r="G127" s="25"/>
      <c r="H127" s="25"/>
      <c r="I127" s="25"/>
      <c r="J127" s="25"/>
      <c r="K127" s="25"/>
      <c r="L127" s="25"/>
      <c r="M127" s="25" t="s">
        <v>3953</v>
      </c>
      <c r="N127" s="25">
        <v>5.0</v>
      </c>
      <c r="O127" s="25">
        <v>2.0</v>
      </c>
      <c r="P127" s="25"/>
      <c r="Q127" s="25"/>
      <c r="R127" s="25"/>
      <c r="S127" s="25"/>
      <c r="T127" s="25"/>
      <c r="U127" s="25"/>
      <c r="V127" s="25"/>
      <c r="W127" s="25"/>
      <c r="X127" s="25" t="s">
        <v>3954</v>
      </c>
      <c r="Y127" s="25" t="s">
        <v>3955</v>
      </c>
    </row>
    <row r="128" ht="15.75" customHeight="1">
      <c r="A128" s="25" t="s">
        <v>3815</v>
      </c>
      <c r="B128" s="25">
        <v>20.0</v>
      </c>
      <c r="C128" s="25" t="s">
        <v>3932</v>
      </c>
      <c r="D128" s="25" t="s">
        <v>3925</v>
      </c>
      <c r="E128" s="25" t="s">
        <v>3933</v>
      </c>
      <c r="F128" s="25"/>
      <c r="G128" s="25"/>
      <c r="H128" s="25"/>
      <c r="I128" s="25"/>
      <c r="J128" s="25"/>
      <c r="K128" s="25"/>
      <c r="L128" s="25"/>
      <c r="M128" s="25"/>
      <c r="N128" s="25"/>
      <c r="O128" s="25">
        <v>2.0</v>
      </c>
      <c r="P128" s="25" t="s">
        <v>3928</v>
      </c>
      <c r="Q128" s="25" t="s">
        <v>539</v>
      </c>
      <c r="R128" s="25">
        <v>6.0</v>
      </c>
      <c r="S128" s="25" t="s">
        <v>3947</v>
      </c>
      <c r="T128" s="25"/>
      <c r="U128" s="25"/>
      <c r="V128" s="25"/>
      <c r="W128" s="25"/>
      <c r="X128" s="25"/>
      <c r="Y128" s="25"/>
    </row>
    <row r="129" ht="15.75" customHeight="1">
      <c r="A129" s="25" t="s">
        <v>3816</v>
      </c>
      <c r="B129" s="25">
        <v>10.0</v>
      </c>
      <c r="C129" s="25" t="s">
        <v>3963</v>
      </c>
      <c r="D129" s="25" t="s">
        <v>3925</v>
      </c>
      <c r="E129" s="25" t="s">
        <v>3933</v>
      </c>
      <c r="F129" s="25"/>
      <c r="G129" s="25"/>
      <c r="H129" s="25"/>
      <c r="I129" s="25"/>
      <c r="J129" s="25"/>
      <c r="K129" s="25"/>
      <c r="L129" s="25"/>
      <c r="M129" s="25" t="s">
        <v>3953</v>
      </c>
      <c r="N129" s="25">
        <v>5.0</v>
      </c>
      <c r="O129" s="25"/>
      <c r="P129" s="25"/>
      <c r="Q129" s="25"/>
      <c r="R129" s="25"/>
      <c r="S129" s="25"/>
      <c r="T129" s="25"/>
      <c r="U129" s="25"/>
      <c r="V129" s="25"/>
      <c r="W129" s="25"/>
      <c r="X129" s="25" t="s">
        <v>3964</v>
      </c>
      <c r="Y129" s="25"/>
    </row>
    <row r="130" ht="15.75" customHeight="1">
      <c r="A130" s="25" t="s">
        <v>3817</v>
      </c>
      <c r="B130" s="25">
        <v>10.0</v>
      </c>
      <c r="C130" s="25" t="s">
        <v>3949</v>
      </c>
      <c r="D130" s="25" t="s">
        <v>3925</v>
      </c>
      <c r="E130" s="25" t="s">
        <v>3933</v>
      </c>
      <c r="F130" s="25"/>
      <c r="G130" s="25"/>
      <c r="H130" s="25"/>
      <c r="I130" s="25"/>
      <c r="J130" s="25"/>
      <c r="K130" s="25"/>
      <c r="L130" s="25"/>
      <c r="M130" s="25" t="s">
        <v>3953</v>
      </c>
      <c r="N130" s="25">
        <v>9.0</v>
      </c>
      <c r="O130" s="25">
        <v>2.0</v>
      </c>
      <c r="P130" s="25"/>
      <c r="Q130" s="25"/>
      <c r="R130" s="25"/>
      <c r="S130" s="25"/>
      <c r="T130" s="25"/>
      <c r="U130" s="25"/>
      <c r="V130" s="25"/>
      <c r="W130" s="25"/>
      <c r="X130" s="25" t="s">
        <v>3954</v>
      </c>
      <c r="Y130" s="25" t="s">
        <v>3955</v>
      </c>
    </row>
    <row r="131" ht="15.75" customHeight="1">
      <c r="A131" s="25" t="s">
        <v>3817</v>
      </c>
      <c r="B131" s="25">
        <v>20.0</v>
      </c>
      <c r="C131" s="25" t="s">
        <v>3932</v>
      </c>
      <c r="D131" s="25" t="s">
        <v>3987</v>
      </c>
      <c r="E131" s="25" t="s">
        <v>3933</v>
      </c>
      <c r="F131" s="25"/>
      <c r="G131" s="25"/>
      <c r="H131" s="25"/>
      <c r="I131" s="25"/>
      <c r="J131" s="25"/>
      <c r="K131" s="25"/>
      <c r="L131" s="25"/>
      <c r="M131" s="25"/>
      <c r="N131" s="25"/>
      <c r="O131" s="25">
        <v>2.0</v>
      </c>
      <c r="P131" s="25" t="s">
        <v>3943</v>
      </c>
      <c r="Q131" s="25"/>
      <c r="R131" s="25">
        <v>10.0</v>
      </c>
      <c r="S131" s="25" t="s">
        <v>3935</v>
      </c>
      <c r="T131" s="25"/>
      <c r="U131" s="25"/>
      <c r="V131" s="25"/>
      <c r="W131" s="25"/>
      <c r="X131" s="25"/>
      <c r="Y131" s="25"/>
    </row>
    <row r="132" ht="15.75" customHeight="1">
      <c r="A132" s="25" t="s">
        <v>3817</v>
      </c>
      <c r="B132" s="25">
        <v>30.0</v>
      </c>
      <c r="C132" s="25" t="s">
        <v>3988</v>
      </c>
      <c r="D132" s="25" t="s">
        <v>3925</v>
      </c>
      <c r="E132" s="25" t="s">
        <v>3933</v>
      </c>
      <c r="F132" s="25"/>
      <c r="G132" s="25"/>
      <c r="H132" s="25"/>
      <c r="I132" s="25"/>
      <c r="J132" s="25"/>
      <c r="K132" s="25"/>
      <c r="L132" s="25"/>
      <c r="M132" s="25"/>
      <c r="N132" s="25"/>
      <c r="O132" s="25">
        <v>2.0</v>
      </c>
      <c r="P132" s="25"/>
      <c r="Q132" s="25"/>
      <c r="R132" s="25"/>
      <c r="S132" s="25"/>
      <c r="T132" s="25"/>
      <c r="U132" s="25"/>
      <c r="V132" s="25"/>
      <c r="W132" s="25"/>
      <c r="X132" s="25" t="s">
        <v>3991</v>
      </c>
      <c r="Y132" s="25" t="s">
        <v>3990</v>
      </c>
    </row>
    <row r="133" ht="15.75" customHeight="1">
      <c r="A133" s="25" t="s">
        <v>3819</v>
      </c>
      <c r="B133" s="25">
        <v>10.0</v>
      </c>
      <c r="C133" s="25" t="s">
        <v>3963</v>
      </c>
      <c r="D133" s="25" t="s">
        <v>3925</v>
      </c>
      <c r="E133" s="25" t="s">
        <v>3933</v>
      </c>
      <c r="F133" s="25"/>
      <c r="G133" s="25"/>
      <c r="H133" s="25"/>
      <c r="I133" s="25"/>
      <c r="J133" s="25"/>
      <c r="K133" s="25"/>
      <c r="L133" s="25"/>
      <c r="M133" s="25" t="s">
        <v>3950</v>
      </c>
      <c r="N133" s="25">
        <v>3.0</v>
      </c>
      <c r="O133" s="25"/>
      <c r="P133" s="25"/>
      <c r="Q133" s="25"/>
      <c r="R133" s="25"/>
      <c r="S133" s="25"/>
      <c r="T133" s="25"/>
      <c r="U133" s="25"/>
      <c r="V133" s="25"/>
      <c r="W133" s="25"/>
      <c r="X133" s="25" t="s">
        <v>3964</v>
      </c>
      <c r="Y133" s="25"/>
    </row>
    <row r="134" ht="15.75" customHeight="1">
      <c r="A134" s="25" t="s">
        <v>3820</v>
      </c>
      <c r="B134" s="25">
        <v>10.0</v>
      </c>
      <c r="C134" s="25" t="s">
        <v>3949</v>
      </c>
      <c r="D134" s="25" t="s">
        <v>3925</v>
      </c>
      <c r="E134" s="25" t="s">
        <v>3933</v>
      </c>
      <c r="F134" s="25"/>
      <c r="G134" s="25"/>
      <c r="H134" s="25"/>
      <c r="I134" s="25"/>
      <c r="J134" s="25"/>
      <c r="K134" s="25"/>
      <c r="L134" s="25"/>
      <c r="M134" s="25" t="s">
        <v>3950</v>
      </c>
      <c r="N134" s="25">
        <v>5.0</v>
      </c>
      <c r="O134" s="25">
        <v>2.0</v>
      </c>
      <c r="P134" s="25"/>
      <c r="Q134" s="25"/>
      <c r="R134" s="25"/>
      <c r="S134" s="25"/>
      <c r="T134" s="25"/>
      <c r="U134" s="25"/>
      <c r="V134" s="25"/>
      <c r="W134" s="25"/>
      <c r="X134" s="25" t="s">
        <v>3951</v>
      </c>
      <c r="Y134" s="25" t="s">
        <v>3952</v>
      </c>
    </row>
    <row r="135" ht="15.75" customHeight="1">
      <c r="A135" s="25" t="s">
        <v>3820</v>
      </c>
      <c r="B135" s="25">
        <v>20.0</v>
      </c>
      <c r="C135" s="25" t="s">
        <v>3949</v>
      </c>
      <c r="D135" s="25" t="s">
        <v>3925</v>
      </c>
      <c r="E135" s="25" t="s">
        <v>3933</v>
      </c>
      <c r="F135" s="25"/>
      <c r="G135" s="25"/>
      <c r="H135" s="25"/>
      <c r="I135" s="25"/>
      <c r="J135" s="25"/>
      <c r="K135" s="25"/>
      <c r="L135" s="25"/>
      <c r="M135" s="25" t="s">
        <v>3953</v>
      </c>
      <c r="N135" s="25">
        <v>5.0</v>
      </c>
      <c r="O135" s="25">
        <v>2.0</v>
      </c>
      <c r="P135" s="25"/>
      <c r="Q135" s="25"/>
      <c r="R135" s="25"/>
      <c r="S135" s="25"/>
      <c r="T135" s="25"/>
      <c r="U135" s="25"/>
      <c r="V135" s="25"/>
      <c r="W135" s="25"/>
      <c r="X135" s="25" t="s">
        <v>3954</v>
      </c>
      <c r="Y135" s="25" t="s">
        <v>3955</v>
      </c>
    </row>
    <row r="136" ht="15.75" customHeight="1">
      <c r="A136" s="25" t="s">
        <v>3821</v>
      </c>
      <c r="B136" s="25">
        <v>10.0</v>
      </c>
      <c r="C136" s="25" t="s">
        <v>3963</v>
      </c>
      <c r="D136" s="25" t="s">
        <v>3925</v>
      </c>
      <c r="E136" s="25" t="s">
        <v>3933</v>
      </c>
      <c r="F136" s="25"/>
      <c r="G136" s="25"/>
      <c r="H136" s="25"/>
      <c r="I136" s="25"/>
      <c r="J136" s="25"/>
      <c r="K136" s="25"/>
      <c r="L136" s="25"/>
      <c r="M136" s="25" t="s">
        <v>3984</v>
      </c>
      <c r="N136" s="25">
        <v>4.0</v>
      </c>
      <c r="O136" s="25"/>
      <c r="P136" s="25"/>
      <c r="Q136" s="25"/>
      <c r="R136" s="25"/>
      <c r="S136" s="25"/>
      <c r="T136" s="25"/>
      <c r="U136" s="25"/>
      <c r="V136" s="25"/>
      <c r="W136" s="25"/>
      <c r="X136" s="25" t="s">
        <v>3964</v>
      </c>
      <c r="Y136" s="25"/>
    </row>
    <row r="137" ht="15.75" customHeight="1">
      <c r="A137" s="25" t="s">
        <v>3822</v>
      </c>
      <c r="B137" s="25">
        <v>10.0</v>
      </c>
      <c r="C137" s="25" t="s">
        <v>3932</v>
      </c>
      <c r="D137" s="25" t="s">
        <v>3925</v>
      </c>
      <c r="E137" s="25" t="s">
        <v>3933</v>
      </c>
      <c r="F137" s="25"/>
      <c r="G137" s="25"/>
      <c r="H137" s="25"/>
      <c r="I137" s="25"/>
      <c r="J137" s="25"/>
      <c r="K137" s="25"/>
      <c r="L137" s="25"/>
      <c r="M137" s="25"/>
      <c r="N137" s="25"/>
      <c r="O137" s="25">
        <v>2.0</v>
      </c>
      <c r="P137" s="25" t="s">
        <v>3967</v>
      </c>
      <c r="Q137" s="25" t="s">
        <v>539</v>
      </c>
      <c r="R137" s="25">
        <v>6.0</v>
      </c>
      <c r="S137" s="25" t="s">
        <v>3947</v>
      </c>
      <c r="T137" s="25"/>
      <c r="U137" s="25"/>
      <c r="V137" s="25"/>
      <c r="W137" s="25"/>
      <c r="X137" s="25"/>
      <c r="Y137" s="25"/>
    </row>
    <row r="138" ht="15.75" customHeight="1">
      <c r="A138" s="25" t="s">
        <v>3822</v>
      </c>
      <c r="B138" s="25">
        <v>20.0</v>
      </c>
      <c r="C138" s="25" t="s">
        <v>3932</v>
      </c>
      <c r="D138" s="25" t="s">
        <v>3925</v>
      </c>
      <c r="E138" s="25" t="s">
        <v>3933</v>
      </c>
      <c r="F138" s="25"/>
      <c r="G138" s="25"/>
      <c r="H138" s="25"/>
      <c r="I138" s="25"/>
      <c r="J138" s="25"/>
      <c r="K138" s="25"/>
      <c r="L138" s="25"/>
      <c r="M138" s="25"/>
      <c r="N138" s="25"/>
      <c r="O138" s="25">
        <v>2.0</v>
      </c>
      <c r="P138" s="25" t="s">
        <v>3978</v>
      </c>
      <c r="Q138" s="25" t="s">
        <v>539</v>
      </c>
      <c r="R138" s="25">
        <v>6.0</v>
      </c>
      <c r="S138" s="25" t="s">
        <v>3947</v>
      </c>
      <c r="T138" s="25"/>
      <c r="U138" s="25"/>
      <c r="V138" s="25"/>
      <c r="W138" s="25"/>
      <c r="X138" s="25"/>
      <c r="Y138" s="25"/>
    </row>
    <row r="139" ht="15.75" customHeight="1">
      <c r="A139" s="25" t="s">
        <v>3823</v>
      </c>
      <c r="B139" s="25">
        <v>10.0</v>
      </c>
      <c r="C139" s="25" t="s">
        <v>3963</v>
      </c>
      <c r="D139" s="25" t="s">
        <v>3925</v>
      </c>
      <c r="E139" s="25" t="s">
        <v>3933</v>
      </c>
      <c r="F139" s="25"/>
      <c r="G139" s="25"/>
      <c r="H139" s="25"/>
      <c r="I139" s="25"/>
      <c r="J139" s="25"/>
      <c r="K139" s="25"/>
      <c r="L139" s="25"/>
      <c r="M139" s="25" t="s">
        <v>3950</v>
      </c>
      <c r="N139" s="25">
        <v>3.0</v>
      </c>
      <c r="O139" s="25"/>
      <c r="P139" s="25"/>
      <c r="Q139" s="25"/>
      <c r="R139" s="25"/>
      <c r="S139" s="25"/>
      <c r="T139" s="25"/>
      <c r="U139" s="25"/>
      <c r="V139" s="25"/>
      <c r="W139" s="25"/>
      <c r="X139" s="25" t="s">
        <v>3964</v>
      </c>
      <c r="Y139" s="25"/>
    </row>
    <row r="140" ht="15.75" customHeight="1">
      <c r="A140" s="25" t="s">
        <v>3824</v>
      </c>
      <c r="B140" s="25">
        <v>10.0</v>
      </c>
      <c r="C140" s="25" t="s">
        <v>3949</v>
      </c>
      <c r="D140" s="25" t="s">
        <v>3925</v>
      </c>
      <c r="E140" s="25" t="s">
        <v>3933</v>
      </c>
      <c r="F140" s="25"/>
      <c r="G140" s="25"/>
      <c r="H140" s="25"/>
      <c r="I140" s="25"/>
      <c r="J140" s="25"/>
      <c r="K140" s="25"/>
      <c r="L140" s="25"/>
      <c r="M140" s="25" t="s">
        <v>3950</v>
      </c>
      <c r="N140" s="25">
        <v>6.0</v>
      </c>
      <c r="O140" s="25">
        <v>2.0</v>
      </c>
      <c r="P140" s="25"/>
      <c r="Q140" s="25"/>
      <c r="R140" s="25"/>
      <c r="S140" s="25"/>
      <c r="T140" s="25"/>
      <c r="U140" s="25"/>
      <c r="V140" s="25"/>
      <c r="W140" s="25"/>
      <c r="X140" s="25" t="s">
        <v>3951</v>
      </c>
      <c r="Y140" s="25" t="s">
        <v>3952</v>
      </c>
    </row>
    <row r="141" ht="15.75" customHeight="1">
      <c r="A141" s="25" t="s">
        <v>3824</v>
      </c>
      <c r="B141" s="25">
        <v>20.0</v>
      </c>
      <c r="C141" s="25" t="s">
        <v>3949</v>
      </c>
      <c r="D141" s="25" t="s">
        <v>3925</v>
      </c>
      <c r="E141" s="25" t="s">
        <v>3933</v>
      </c>
      <c r="F141" s="25"/>
      <c r="G141" s="25"/>
      <c r="H141" s="25"/>
      <c r="I141" s="25"/>
      <c r="J141" s="25"/>
      <c r="K141" s="25"/>
      <c r="L141" s="25"/>
      <c r="M141" s="25" t="s">
        <v>3953</v>
      </c>
      <c r="N141" s="25">
        <v>6.0</v>
      </c>
      <c r="O141" s="25">
        <v>2.0</v>
      </c>
      <c r="P141" s="25"/>
      <c r="Q141" s="25"/>
      <c r="R141" s="25"/>
      <c r="S141" s="25"/>
      <c r="T141" s="25"/>
      <c r="U141" s="25"/>
      <c r="V141" s="25"/>
      <c r="W141" s="25"/>
      <c r="X141" s="25" t="s">
        <v>3954</v>
      </c>
      <c r="Y141" s="25" t="s">
        <v>3955</v>
      </c>
    </row>
    <row r="142" ht="15.75" customHeight="1">
      <c r="A142" s="25" t="s">
        <v>3825</v>
      </c>
      <c r="B142" s="25">
        <v>10.0</v>
      </c>
      <c r="C142" s="25" t="s">
        <v>3963</v>
      </c>
      <c r="D142" s="25" t="s">
        <v>3925</v>
      </c>
      <c r="E142" s="25" t="s">
        <v>3933</v>
      </c>
      <c r="F142" s="25"/>
      <c r="G142" s="25"/>
      <c r="H142" s="25"/>
      <c r="I142" s="25"/>
      <c r="J142" s="25"/>
      <c r="K142" s="25"/>
      <c r="L142" s="25"/>
      <c r="M142" s="25" t="s">
        <v>3953</v>
      </c>
      <c r="N142" s="25">
        <v>5.0</v>
      </c>
      <c r="O142" s="25"/>
      <c r="P142" s="25"/>
      <c r="Q142" s="25"/>
      <c r="R142" s="25"/>
      <c r="S142" s="25"/>
      <c r="T142" s="25"/>
      <c r="U142" s="25"/>
      <c r="V142" s="25"/>
      <c r="W142" s="25"/>
      <c r="X142" s="25" t="s">
        <v>3964</v>
      </c>
      <c r="Y142" s="25"/>
    </row>
    <row r="143" ht="15.75" customHeight="1">
      <c r="A143" s="25" t="s">
        <v>3826</v>
      </c>
      <c r="B143" s="25">
        <v>10.0</v>
      </c>
      <c r="C143" s="25" t="s">
        <v>3949</v>
      </c>
      <c r="D143" s="25" t="s">
        <v>3925</v>
      </c>
      <c r="E143" s="25" t="s">
        <v>3933</v>
      </c>
      <c r="F143" s="25"/>
      <c r="G143" s="25"/>
      <c r="H143" s="25"/>
      <c r="I143" s="25"/>
      <c r="J143" s="25"/>
      <c r="K143" s="25"/>
      <c r="L143" s="25"/>
      <c r="M143" s="25" t="s">
        <v>3953</v>
      </c>
      <c r="N143" s="25">
        <v>8.0</v>
      </c>
      <c r="O143" s="25">
        <v>2.0</v>
      </c>
      <c r="P143" s="25"/>
      <c r="Q143" s="25"/>
      <c r="R143" s="25"/>
      <c r="S143" s="25"/>
      <c r="T143" s="25"/>
      <c r="U143" s="25"/>
      <c r="V143" s="25"/>
      <c r="W143" s="25"/>
      <c r="X143" s="25" t="s">
        <v>3954</v>
      </c>
      <c r="Y143" s="25" t="s">
        <v>3955</v>
      </c>
    </row>
    <row r="144" ht="15.75" customHeight="1">
      <c r="A144" s="25" t="s">
        <v>3826</v>
      </c>
      <c r="B144" s="25">
        <v>20.0</v>
      </c>
      <c r="C144" s="25" t="s">
        <v>3960</v>
      </c>
      <c r="D144" s="25" t="s">
        <v>3925</v>
      </c>
      <c r="E144" s="25" t="s">
        <v>3933</v>
      </c>
      <c r="F144" s="25"/>
      <c r="G144" s="25"/>
      <c r="H144" s="25"/>
      <c r="I144" s="25"/>
      <c r="J144" s="25"/>
      <c r="K144" s="25"/>
      <c r="L144" s="25"/>
      <c r="M144" s="25"/>
      <c r="N144" s="25"/>
      <c r="O144" s="25">
        <v>2.0</v>
      </c>
      <c r="P144" s="25"/>
      <c r="Q144" s="25"/>
      <c r="R144" s="25">
        <v>-10.0</v>
      </c>
      <c r="S144" s="25" t="s">
        <v>3961</v>
      </c>
      <c r="T144" s="25"/>
      <c r="U144" s="25"/>
      <c r="V144" s="25"/>
      <c r="W144" s="25"/>
      <c r="X144" s="25" t="s">
        <v>3992</v>
      </c>
      <c r="Y144" s="25"/>
    </row>
    <row r="145" ht="15.75" customHeight="1">
      <c r="A145" s="25" t="s">
        <v>3828</v>
      </c>
      <c r="B145" s="25">
        <v>10.0</v>
      </c>
      <c r="C145" s="25" t="s">
        <v>3932</v>
      </c>
      <c r="D145" s="25" t="s">
        <v>3925</v>
      </c>
      <c r="E145" s="25" t="s">
        <v>3933</v>
      </c>
      <c r="F145" s="25"/>
      <c r="G145" s="25"/>
      <c r="H145" s="25"/>
      <c r="I145" s="25"/>
      <c r="J145" s="25"/>
      <c r="K145" s="25"/>
      <c r="L145" s="25"/>
      <c r="M145" s="25"/>
      <c r="N145" s="25"/>
      <c r="O145" s="25">
        <v>2.0</v>
      </c>
      <c r="P145" s="25" t="s">
        <v>3978</v>
      </c>
      <c r="Q145" s="25" t="s">
        <v>539</v>
      </c>
      <c r="R145" s="25">
        <v>6.0</v>
      </c>
      <c r="S145" s="25" t="s">
        <v>3947</v>
      </c>
      <c r="T145" s="25"/>
      <c r="U145" s="25"/>
      <c r="V145" s="25"/>
      <c r="W145" s="25"/>
      <c r="X145" s="25"/>
      <c r="Y145" s="25"/>
    </row>
    <row r="146" ht="15.75" customHeight="1">
      <c r="A146" s="25" t="s">
        <v>3829</v>
      </c>
      <c r="B146" s="25">
        <v>10.0</v>
      </c>
      <c r="C146" s="25" t="s">
        <v>3949</v>
      </c>
      <c r="D146" s="25" t="s">
        <v>3925</v>
      </c>
      <c r="E146" s="25" t="s">
        <v>3933</v>
      </c>
      <c r="F146" s="25"/>
      <c r="G146" s="25"/>
      <c r="H146" s="25"/>
      <c r="I146" s="25"/>
      <c r="J146" s="25"/>
      <c r="K146" s="25"/>
      <c r="L146" s="25"/>
      <c r="M146" s="25" t="s">
        <v>3953</v>
      </c>
      <c r="N146" s="25">
        <v>5.0</v>
      </c>
      <c r="O146" s="25"/>
      <c r="P146" s="25"/>
      <c r="Q146" s="25"/>
      <c r="R146" s="25"/>
      <c r="S146" s="25"/>
      <c r="T146" s="25"/>
      <c r="U146" s="25"/>
      <c r="V146" s="25"/>
      <c r="W146" s="25"/>
      <c r="X146" s="25" t="s">
        <v>3954</v>
      </c>
      <c r="Y146" s="25" t="s">
        <v>3955</v>
      </c>
    </row>
    <row r="147" ht="15.75" customHeight="1">
      <c r="A147" s="25" t="s">
        <v>3829</v>
      </c>
      <c r="B147" s="25">
        <v>20.0</v>
      </c>
      <c r="C147" s="25" t="s">
        <v>3993</v>
      </c>
      <c r="D147" s="25" t="s">
        <v>3925</v>
      </c>
      <c r="E147" s="25" t="s">
        <v>3933</v>
      </c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>
        <v>-1.0</v>
      </c>
      <c r="S147" s="25" t="s">
        <v>3982</v>
      </c>
      <c r="T147" s="25"/>
      <c r="U147" s="25"/>
      <c r="V147" s="25"/>
      <c r="W147" s="25"/>
      <c r="X147" s="25" t="s">
        <v>3994</v>
      </c>
      <c r="Y147" s="25"/>
    </row>
    <row r="148" ht="15.75" customHeight="1">
      <c r="A148" s="25" t="s">
        <v>3831</v>
      </c>
      <c r="B148" s="25">
        <v>10.0</v>
      </c>
      <c r="C148" s="25" t="s">
        <v>3963</v>
      </c>
      <c r="D148" s="25" t="s">
        <v>3925</v>
      </c>
      <c r="E148" s="25" t="s">
        <v>3933</v>
      </c>
      <c r="F148" s="25"/>
      <c r="G148" s="25"/>
      <c r="H148" s="25"/>
      <c r="I148" s="25"/>
      <c r="J148" s="25"/>
      <c r="K148" s="25"/>
      <c r="L148" s="25"/>
      <c r="M148" s="25" t="s">
        <v>3953</v>
      </c>
      <c r="N148" s="25">
        <v>5.0</v>
      </c>
      <c r="O148" s="25"/>
      <c r="P148" s="25"/>
      <c r="Q148" s="25"/>
      <c r="R148" s="25"/>
      <c r="S148" s="25"/>
      <c r="T148" s="25"/>
      <c r="U148" s="25"/>
      <c r="V148" s="25"/>
      <c r="W148" s="25"/>
      <c r="X148" s="25" t="s">
        <v>3964</v>
      </c>
      <c r="Y148" s="25"/>
    </row>
    <row r="149" ht="15.75" customHeight="1">
      <c r="A149" s="25" t="s">
        <v>3832</v>
      </c>
      <c r="B149" s="25">
        <v>10.0</v>
      </c>
      <c r="C149" s="25" t="s">
        <v>3949</v>
      </c>
      <c r="D149" s="25" t="s">
        <v>3925</v>
      </c>
      <c r="E149" s="25" t="s">
        <v>3933</v>
      </c>
      <c r="F149" s="25"/>
      <c r="G149" s="25"/>
      <c r="H149" s="25"/>
      <c r="I149" s="25"/>
      <c r="J149" s="25"/>
      <c r="K149" s="25"/>
      <c r="L149" s="25"/>
      <c r="M149" s="25" t="s">
        <v>3953</v>
      </c>
      <c r="N149" s="25">
        <v>9.0</v>
      </c>
      <c r="O149" s="25">
        <v>2.0</v>
      </c>
      <c r="P149" s="25"/>
      <c r="Q149" s="25"/>
      <c r="R149" s="25"/>
      <c r="S149" s="25"/>
      <c r="T149" s="25"/>
      <c r="U149" s="25"/>
      <c r="V149" s="25"/>
      <c r="W149" s="25"/>
      <c r="X149" s="25" t="s">
        <v>3954</v>
      </c>
      <c r="Y149" s="25" t="s">
        <v>3955</v>
      </c>
    </row>
    <row r="150" ht="15.75" customHeight="1">
      <c r="A150" s="25" t="s">
        <v>3832</v>
      </c>
      <c r="B150" s="25">
        <v>20.0</v>
      </c>
      <c r="C150" s="25" t="s">
        <v>3960</v>
      </c>
      <c r="D150" s="25" t="s">
        <v>3925</v>
      </c>
      <c r="E150" s="25" t="s">
        <v>3933</v>
      </c>
      <c r="F150" s="25"/>
      <c r="G150" s="25"/>
      <c r="H150" s="25"/>
      <c r="I150" s="25"/>
      <c r="J150" s="25"/>
      <c r="K150" s="25"/>
      <c r="L150" s="25"/>
      <c r="M150" s="25"/>
      <c r="N150" s="25"/>
      <c r="O150" s="25">
        <v>2.0</v>
      </c>
      <c r="P150" s="25"/>
      <c r="Q150" s="25"/>
      <c r="R150" s="25">
        <v>-10.0</v>
      </c>
      <c r="S150" s="25" t="s">
        <v>3961</v>
      </c>
      <c r="T150" s="25"/>
      <c r="U150" s="25"/>
      <c r="V150" s="25"/>
      <c r="W150" s="25"/>
      <c r="X150" s="25" t="s">
        <v>3992</v>
      </c>
      <c r="Y150" s="25"/>
    </row>
    <row r="151" ht="15.75" customHeight="1">
      <c r="A151" s="25" t="s">
        <v>3833</v>
      </c>
      <c r="B151" s="25">
        <v>10.0</v>
      </c>
      <c r="C151" s="25" t="s">
        <v>3932</v>
      </c>
      <c r="D151" s="25" t="s">
        <v>3925</v>
      </c>
      <c r="E151" s="25" t="s">
        <v>3933</v>
      </c>
      <c r="F151" s="25"/>
      <c r="G151" s="25"/>
      <c r="H151" s="25"/>
      <c r="I151" s="25"/>
      <c r="J151" s="25"/>
      <c r="K151" s="25"/>
      <c r="L151" s="25"/>
      <c r="M151" s="25"/>
      <c r="N151" s="25"/>
      <c r="O151" s="25">
        <v>2.0</v>
      </c>
      <c r="P151" s="25" t="s">
        <v>3946</v>
      </c>
      <c r="Q151" s="25" t="s">
        <v>539</v>
      </c>
      <c r="R151" s="25">
        <v>6.0</v>
      </c>
      <c r="S151" s="25" t="s">
        <v>3947</v>
      </c>
      <c r="T151" s="25"/>
      <c r="U151" s="25"/>
      <c r="V151" s="25"/>
      <c r="W151" s="25"/>
      <c r="X151" s="25"/>
      <c r="Y151" s="25"/>
    </row>
    <row r="152" ht="15.75" customHeight="1">
      <c r="A152" s="25" t="s">
        <v>3835</v>
      </c>
      <c r="B152" s="25">
        <v>10.0</v>
      </c>
      <c r="C152" s="25" t="s">
        <v>3932</v>
      </c>
      <c r="D152" s="25" t="s">
        <v>3925</v>
      </c>
      <c r="E152" s="25" t="s">
        <v>3933</v>
      </c>
      <c r="F152" s="25"/>
      <c r="G152" s="25"/>
      <c r="H152" s="25"/>
      <c r="I152" s="25"/>
      <c r="J152" s="25"/>
      <c r="K152" s="25"/>
      <c r="L152" s="25"/>
      <c r="M152" s="25"/>
      <c r="N152" s="25"/>
      <c r="O152" s="25">
        <v>1.0</v>
      </c>
      <c r="P152" s="25" t="s">
        <v>3946</v>
      </c>
      <c r="Q152" s="25" t="s">
        <v>234</v>
      </c>
      <c r="R152" s="25">
        <v>8.0</v>
      </c>
      <c r="S152" s="25" t="s">
        <v>3947</v>
      </c>
      <c r="T152" s="25"/>
      <c r="U152" s="25"/>
      <c r="V152" s="25"/>
      <c r="W152" s="25"/>
      <c r="X152" s="25"/>
      <c r="Y152" s="25"/>
    </row>
    <row r="153" ht="15.75" customHeight="1">
      <c r="A153" s="25" t="s">
        <v>3836</v>
      </c>
      <c r="B153" s="25">
        <v>10.0</v>
      </c>
      <c r="C153" s="25" t="s">
        <v>3932</v>
      </c>
      <c r="D153" s="25" t="s">
        <v>3925</v>
      </c>
      <c r="E153" s="25" t="s">
        <v>3933</v>
      </c>
      <c r="F153" s="25"/>
      <c r="G153" s="25"/>
      <c r="H153" s="25"/>
      <c r="I153" s="25"/>
      <c r="J153" s="25"/>
      <c r="K153" s="25"/>
      <c r="L153" s="25"/>
      <c r="M153" s="25"/>
      <c r="N153" s="25"/>
      <c r="O153" s="25">
        <v>2.0</v>
      </c>
      <c r="P153" s="25" t="s">
        <v>3930</v>
      </c>
      <c r="Q153" s="25" t="s">
        <v>539</v>
      </c>
      <c r="R153" s="25">
        <v>6.0</v>
      </c>
      <c r="S153" s="25" t="s">
        <v>3947</v>
      </c>
      <c r="T153" s="25"/>
      <c r="U153" s="25"/>
      <c r="V153" s="25"/>
      <c r="W153" s="25"/>
      <c r="X153" s="25"/>
      <c r="Y153" s="25"/>
    </row>
    <row r="154" ht="15.75" customHeight="1">
      <c r="A154" s="25" t="s">
        <v>3837</v>
      </c>
      <c r="B154" s="25">
        <v>10.0</v>
      </c>
      <c r="C154" s="25" t="s">
        <v>3932</v>
      </c>
      <c r="D154" s="25" t="s">
        <v>3925</v>
      </c>
      <c r="E154" s="25" t="s">
        <v>3933</v>
      </c>
      <c r="F154" s="25"/>
      <c r="G154" s="25"/>
      <c r="H154" s="25"/>
      <c r="I154" s="25"/>
      <c r="J154" s="25"/>
      <c r="K154" s="25"/>
      <c r="L154" s="25"/>
      <c r="M154" s="25"/>
      <c r="N154" s="25"/>
      <c r="O154" s="25">
        <v>2.0</v>
      </c>
      <c r="P154" s="25" t="s">
        <v>3930</v>
      </c>
      <c r="Q154" s="25" t="s">
        <v>539</v>
      </c>
      <c r="R154" s="25">
        <v>6.0</v>
      </c>
      <c r="S154" s="25" t="s">
        <v>3947</v>
      </c>
      <c r="T154" s="25"/>
      <c r="U154" s="25"/>
      <c r="V154" s="25"/>
      <c r="W154" s="25"/>
      <c r="X154" s="25"/>
      <c r="Y154" s="25"/>
    </row>
    <row r="155" ht="15.75" customHeight="1">
      <c r="A155" s="25" t="s">
        <v>3837</v>
      </c>
      <c r="B155" s="25">
        <v>20.0</v>
      </c>
      <c r="C155" s="25" t="s">
        <v>3932</v>
      </c>
      <c r="D155" s="25" t="s">
        <v>3925</v>
      </c>
      <c r="E155" s="25" t="s">
        <v>3933</v>
      </c>
      <c r="F155" s="25"/>
      <c r="G155" s="25"/>
      <c r="H155" s="25"/>
      <c r="I155" s="25"/>
      <c r="J155" s="25"/>
      <c r="K155" s="25"/>
      <c r="L155" s="25"/>
      <c r="M155" s="25"/>
      <c r="N155" s="25"/>
      <c r="O155" s="25">
        <v>2.0</v>
      </c>
      <c r="P155" s="25" t="s">
        <v>3967</v>
      </c>
      <c r="Q155" s="25" t="s">
        <v>539</v>
      </c>
      <c r="R155" s="25">
        <v>6.0</v>
      </c>
      <c r="S155" s="25" t="s">
        <v>3947</v>
      </c>
      <c r="T155" s="25"/>
      <c r="U155" s="25"/>
      <c r="V155" s="25"/>
      <c r="W155" s="25"/>
      <c r="X155" s="25"/>
      <c r="Y155" s="25"/>
    </row>
    <row r="156" ht="15.75" customHeight="1">
      <c r="A156" s="25" t="s">
        <v>3838</v>
      </c>
      <c r="B156" s="25">
        <v>10.0</v>
      </c>
      <c r="C156" s="25" t="s">
        <v>3963</v>
      </c>
      <c r="D156" s="25" t="s">
        <v>3925</v>
      </c>
      <c r="E156" s="25" t="s">
        <v>3933</v>
      </c>
      <c r="F156" s="25"/>
      <c r="G156" s="25"/>
      <c r="H156" s="25"/>
      <c r="I156" s="25"/>
      <c r="J156" s="25"/>
      <c r="K156" s="25"/>
      <c r="L156" s="25"/>
      <c r="M156" s="25" t="s">
        <v>3953</v>
      </c>
      <c r="N156" s="25">
        <v>4.0</v>
      </c>
      <c r="O156" s="25"/>
      <c r="P156" s="25"/>
      <c r="Q156" s="25"/>
      <c r="R156" s="25"/>
      <c r="S156" s="25"/>
      <c r="T156" s="25"/>
      <c r="U156" s="25"/>
      <c r="V156" s="25"/>
      <c r="W156" s="25"/>
      <c r="X156" s="25" t="s">
        <v>3964</v>
      </c>
      <c r="Y156" s="25"/>
    </row>
    <row r="157" ht="15.75" customHeight="1">
      <c r="A157" s="25" t="s">
        <v>3839</v>
      </c>
      <c r="B157" s="25">
        <v>10.0</v>
      </c>
      <c r="C157" s="25" t="s">
        <v>3949</v>
      </c>
      <c r="D157" s="25" t="s">
        <v>3925</v>
      </c>
      <c r="E157" s="25" t="s">
        <v>3933</v>
      </c>
      <c r="F157" s="25"/>
      <c r="G157" s="25"/>
      <c r="H157" s="25"/>
      <c r="I157" s="25"/>
      <c r="J157" s="25"/>
      <c r="K157" s="25"/>
      <c r="L157" s="25"/>
      <c r="M157" s="25" t="s">
        <v>3953</v>
      </c>
      <c r="N157" s="25">
        <v>6.0</v>
      </c>
      <c r="O157" s="25">
        <v>2.0</v>
      </c>
      <c r="P157" s="25"/>
      <c r="Q157" s="25"/>
      <c r="R157" s="25"/>
      <c r="S157" s="25"/>
      <c r="T157" s="25"/>
      <c r="U157" s="25"/>
      <c r="V157" s="25"/>
      <c r="W157" s="25"/>
      <c r="X157" s="25" t="s">
        <v>3954</v>
      </c>
      <c r="Y157" s="25" t="s">
        <v>3955</v>
      </c>
    </row>
    <row r="158" ht="15.75" customHeight="1">
      <c r="A158" s="25" t="s">
        <v>3839</v>
      </c>
      <c r="B158" s="25">
        <v>20.0</v>
      </c>
      <c r="C158" s="25" t="s">
        <v>3932</v>
      </c>
      <c r="D158" s="25" t="s">
        <v>3925</v>
      </c>
      <c r="E158" s="25" t="s">
        <v>3933</v>
      </c>
      <c r="F158" s="25"/>
      <c r="G158" s="25"/>
      <c r="H158" s="25"/>
      <c r="I158" s="25"/>
      <c r="J158" s="25"/>
      <c r="K158" s="25"/>
      <c r="L158" s="25"/>
      <c r="M158" s="25"/>
      <c r="N158" s="25"/>
      <c r="O158" s="25">
        <v>2.0</v>
      </c>
      <c r="P158" s="25" t="s">
        <v>3928</v>
      </c>
      <c r="Q158" s="25" t="s">
        <v>539</v>
      </c>
      <c r="R158" s="25">
        <v>6.0</v>
      </c>
      <c r="S158" s="25" t="s">
        <v>3947</v>
      </c>
      <c r="T158" s="25"/>
      <c r="U158" s="25"/>
      <c r="V158" s="25"/>
      <c r="W158" s="25"/>
      <c r="X158" s="25"/>
      <c r="Y158" s="25"/>
    </row>
    <row r="159" ht="15.75" customHeight="1">
      <c r="A159" s="25" t="s">
        <v>3840</v>
      </c>
      <c r="B159" s="25">
        <v>10.0</v>
      </c>
      <c r="C159" s="25" t="s">
        <v>3963</v>
      </c>
      <c r="D159" s="25" t="s">
        <v>3925</v>
      </c>
      <c r="E159" s="25" t="s">
        <v>3933</v>
      </c>
      <c r="F159" s="25"/>
      <c r="G159" s="25"/>
      <c r="H159" s="25"/>
      <c r="I159" s="25"/>
      <c r="J159" s="25"/>
      <c r="K159" s="25"/>
      <c r="L159" s="25"/>
      <c r="M159" s="25" t="s">
        <v>3984</v>
      </c>
      <c r="N159" s="25">
        <v>4.0</v>
      </c>
      <c r="O159" s="25"/>
      <c r="P159" s="25"/>
      <c r="Q159" s="25"/>
      <c r="R159" s="25"/>
      <c r="S159" s="25"/>
      <c r="T159" s="25"/>
      <c r="U159" s="25"/>
      <c r="V159" s="25"/>
      <c r="W159" s="25"/>
      <c r="X159" s="25" t="s">
        <v>3964</v>
      </c>
      <c r="Y159" s="25"/>
    </row>
    <row r="160" ht="15.75" customHeight="1">
      <c r="A160" s="25" t="s">
        <v>3841</v>
      </c>
      <c r="B160" s="25">
        <v>10.0</v>
      </c>
      <c r="C160" s="25" t="s">
        <v>3932</v>
      </c>
      <c r="D160" s="25" t="s">
        <v>3925</v>
      </c>
      <c r="E160" s="25" t="s">
        <v>3933</v>
      </c>
      <c r="F160" s="25"/>
      <c r="G160" s="25"/>
      <c r="H160" s="25"/>
      <c r="I160" s="25"/>
      <c r="J160" s="25"/>
      <c r="K160" s="25"/>
      <c r="L160" s="25"/>
      <c r="M160" s="25"/>
      <c r="N160" s="25"/>
      <c r="O160" s="25">
        <v>2.0</v>
      </c>
      <c r="P160" s="25" t="s">
        <v>3967</v>
      </c>
      <c r="Q160" s="25" t="s">
        <v>539</v>
      </c>
      <c r="R160" s="25">
        <v>6.0</v>
      </c>
      <c r="S160" s="25" t="s">
        <v>3947</v>
      </c>
      <c r="T160" s="25"/>
      <c r="U160" s="25"/>
      <c r="V160" s="25"/>
      <c r="W160" s="25"/>
      <c r="X160" s="25"/>
      <c r="Y160" s="25"/>
    </row>
    <row r="161" ht="15.75" customHeight="1">
      <c r="A161" s="25" t="s">
        <v>3841</v>
      </c>
      <c r="B161" s="25">
        <v>20.0</v>
      </c>
      <c r="C161" s="25" t="s">
        <v>3932</v>
      </c>
      <c r="D161" s="25" t="s">
        <v>3925</v>
      </c>
      <c r="E161" s="25" t="s">
        <v>3933</v>
      </c>
      <c r="F161" s="25"/>
      <c r="G161" s="25"/>
      <c r="H161" s="25"/>
      <c r="I161" s="25"/>
      <c r="J161" s="25"/>
      <c r="K161" s="25"/>
      <c r="L161" s="25"/>
      <c r="M161" s="25"/>
      <c r="N161" s="25"/>
      <c r="O161" s="25">
        <v>2.0</v>
      </c>
      <c r="P161" s="25" t="s">
        <v>3978</v>
      </c>
      <c r="Q161" s="25" t="s">
        <v>539</v>
      </c>
      <c r="R161" s="25">
        <v>6.0</v>
      </c>
      <c r="S161" s="25" t="s">
        <v>3947</v>
      </c>
      <c r="T161" s="25"/>
      <c r="U161" s="25"/>
      <c r="V161" s="25"/>
      <c r="W161" s="25"/>
      <c r="X161" s="25"/>
      <c r="Y161" s="25"/>
    </row>
    <row r="162" ht="15.75" customHeight="1">
      <c r="A162" s="25" t="s">
        <v>3842</v>
      </c>
      <c r="B162" s="25">
        <v>10.0</v>
      </c>
      <c r="C162" s="25" t="s">
        <v>3932</v>
      </c>
      <c r="D162" s="25" t="s">
        <v>3925</v>
      </c>
      <c r="E162" s="25" t="s">
        <v>3933</v>
      </c>
      <c r="F162" s="25"/>
      <c r="G162" s="25"/>
      <c r="H162" s="25"/>
      <c r="I162" s="25"/>
      <c r="J162" s="25"/>
      <c r="K162" s="25"/>
      <c r="L162" s="25"/>
      <c r="M162" s="25"/>
      <c r="N162" s="25"/>
      <c r="O162" s="25">
        <v>2.0</v>
      </c>
      <c r="P162" s="25" t="s">
        <v>3931</v>
      </c>
      <c r="Q162" s="25" t="s">
        <v>539</v>
      </c>
      <c r="R162" s="25">
        <v>6.0</v>
      </c>
      <c r="S162" s="25" t="s">
        <v>3947</v>
      </c>
      <c r="T162" s="25"/>
      <c r="U162" s="25"/>
      <c r="V162" s="25"/>
      <c r="W162" s="25"/>
      <c r="X162" s="25"/>
      <c r="Y162" s="25"/>
    </row>
    <row r="163" ht="15.75" customHeight="1">
      <c r="A163" s="25" t="s">
        <v>3843</v>
      </c>
      <c r="B163" s="25">
        <v>10.0</v>
      </c>
      <c r="C163" s="25" t="s">
        <v>3932</v>
      </c>
      <c r="D163" s="25" t="s">
        <v>3987</v>
      </c>
      <c r="E163" s="25" t="s">
        <v>3933</v>
      </c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 t="s">
        <v>3943</v>
      </c>
      <c r="Q163" s="25"/>
      <c r="R163" s="25">
        <v>15.0</v>
      </c>
      <c r="S163" s="25" t="s">
        <v>3935</v>
      </c>
      <c r="T163" s="25"/>
      <c r="U163" s="25"/>
      <c r="V163" s="25"/>
      <c r="W163" s="25"/>
      <c r="X163" s="25"/>
      <c r="Y163" s="25"/>
    </row>
    <row r="164" ht="15.75" customHeight="1">
      <c r="A164" s="25" t="s">
        <v>3843</v>
      </c>
      <c r="B164" s="25">
        <v>20.0</v>
      </c>
      <c r="C164" s="25" t="s">
        <v>3932</v>
      </c>
      <c r="D164" s="25" t="s">
        <v>3987</v>
      </c>
      <c r="E164" s="25" t="s">
        <v>3933</v>
      </c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 t="s">
        <v>3934</v>
      </c>
      <c r="Q164" s="25"/>
      <c r="R164" s="25">
        <v>10.0</v>
      </c>
      <c r="S164" s="25" t="s">
        <v>3935</v>
      </c>
      <c r="T164" s="25"/>
      <c r="U164" s="25"/>
      <c r="V164" s="25"/>
      <c r="W164" s="25"/>
      <c r="X164" s="25"/>
      <c r="Y164" s="25"/>
    </row>
    <row r="165" ht="15.75" customHeight="1">
      <c r="A165" s="25" t="s">
        <v>3843</v>
      </c>
      <c r="B165" s="25">
        <v>30.0</v>
      </c>
      <c r="C165" s="25" t="s">
        <v>3988</v>
      </c>
      <c r="D165" s="25" t="s">
        <v>3925</v>
      </c>
      <c r="E165" s="25" t="s">
        <v>3933</v>
      </c>
      <c r="F165" s="25"/>
      <c r="G165" s="25"/>
      <c r="H165" s="25"/>
      <c r="I165" s="25"/>
      <c r="J165" s="25"/>
      <c r="K165" s="25"/>
      <c r="L165" s="25"/>
      <c r="M165" s="25"/>
      <c r="N165" s="25"/>
      <c r="O165" s="25">
        <v>2.0</v>
      </c>
      <c r="P165" s="25"/>
      <c r="Q165" s="25"/>
      <c r="R165" s="25"/>
      <c r="S165" s="25"/>
      <c r="T165" s="25"/>
      <c r="U165" s="25"/>
      <c r="V165" s="25"/>
      <c r="W165" s="25"/>
      <c r="X165" s="25" t="s">
        <v>3995</v>
      </c>
      <c r="Y165" s="25" t="s">
        <v>3990</v>
      </c>
    </row>
    <row r="166" ht="15.75" customHeight="1">
      <c r="A166" s="25" t="s">
        <v>3844</v>
      </c>
      <c r="B166" s="25">
        <v>10.0</v>
      </c>
      <c r="C166" s="25" t="s">
        <v>3932</v>
      </c>
      <c r="D166" s="25" t="s">
        <v>3925</v>
      </c>
      <c r="E166" s="25" t="s">
        <v>3933</v>
      </c>
      <c r="F166" s="25"/>
      <c r="G166" s="25"/>
      <c r="H166" s="25"/>
      <c r="I166" s="25"/>
      <c r="J166" s="25"/>
      <c r="K166" s="25"/>
      <c r="L166" s="25"/>
      <c r="M166" s="25"/>
      <c r="N166" s="25"/>
      <c r="O166" s="25">
        <v>2.0</v>
      </c>
      <c r="P166" s="25" t="s">
        <v>3930</v>
      </c>
      <c r="Q166" s="25" t="s">
        <v>539</v>
      </c>
      <c r="R166" s="25">
        <v>6.0</v>
      </c>
      <c r="S166" s="25" t="s">
        <v>3947</v>
      </c>
      <c r="T166" s="25"/>
      <c r="U166" s="25"/>
      <c r="V166" s="25"/>
      <c r="W166" s="25"/>
      <c r="X166" s="25"/>
      <c r="Y166" s="25"/>
    </row>
    <row r="167" ht="15.75" customHeight="1">
      <c r="A167" s="25" t="s">
        <v>3845</v>
      </c>
      <c r="B167" s="25">
        <v>10.0</v>
      </c>
      <c r="C167" s="25" t="s">
        <v>3949</v>
      </c>
      <c r="D167" s="25" t="s">
        <v>3925</v>
      </c>
      <c r="E167" s="25" t="s">
        <v>3933</v>
      </c>
      <c r="F167" s="25"/>
      <c r="G167" s="25"/>
      <c r="H167" s="25"/>
      <c r="I167" s="25"/>
      <c r="J167" s="25"/>
      <c r="K167" s="25"/>
      <c r="L167" s="25"/>
      <c r="M167" s="25" t="s">
        <v>3950</v>
      </c>
      <c r="N167" s="25">
        <v>6.0</v>
      </c>
      <c r="O167" s="25">
        <v>2.0</v>
      </c>
      <c r="P167" s="25"/>
      <c r="Q167" s="25"/>
      <c r="R167" s="25"/>
      <c r="S167" s="25"/>
      <c r="T167" s="25"/>
      <c r="U167" s="25"/>
      <c r="V167" s="25"/>
      <c r="W167" s="25"/>
      <c r="X167" s="25" t="s">
        <v>3951</v>
      </c>
      <c r="Y167" s="25" t="s">
        <v>3952</v>
      </c>
    </row>
    <row r="168" ht="15.75" customHeight="1">
      <c r="A168" s="25" t="s">
        <v>3845</v>
      </c>
      <c r="B168" s="25">
        <v>20.0</v>
      </c>
      <c r="C168" s="25" t="s">
        <v>3932</v>
      </c>
      <c r="D168" s="25" t="s">
        <v>3925</v>
      </c>
      <c r="E168" s="25" t="s">
        <v>3933</v>
      </c>
      <c r="F168" s="25"/>
      <c r="G168" s="25"/>
      <c r="H168" s="25"/>
      <c r="I168" s="25"/>
      <c r="J168" s="25"/>
      <c r="K168" s="25"/>
      <c r="L168" s="25"/>
      <c r="M168" s="25"/>
      <c r="N168" s="25"/>
      <c r="O168" s="25">
        <v>2.0</v>
      </c>
      <c r="P168" s="25" t="s">
        <v>3967</v>
      </c>
      <c r="Q168" s="25" t="s">
        <v>539</v>
      </c>
      <c r="R168" s="25">
        <v>6.0</v>
      </c>
      <c r="S168" s="25" t="s">
        <v>3947</v>
      </c>
      <c r="T168" s="25"/>
      <c r="U168" s="25"/>
      <c r="V168" s="25"/>
      <c r="W168" s="25"/>
      <c r="X168" s="25"/>
      <c r="Y168" s="25"/>
    </row>
    <row r="169" ht="15.75" customHeight="1">
      <c r="A169" s="25" t="s">
        <v>3846</v>
      </c>
      <c r="B169" s="25">
        <v>10.0</v>
      </c>
      <c r="C169" s="25" t="s">
        <v>3932</v>
      </c>
      <c r="D169" s="25" t="s">
        <v>3925</v>
      </c>
      <c r="E169" s="25" t="s">
        <v>3933</v>
      </c>
      <c r="F169" s="25"/>
      <c r="G169" s="25"/>
      <c r="H169" s="25"/>
      <c r="I169" s="25"/>
      <c r="J169" s="25"/>
      <c r="K169" s="25"/>
      <c r="L169" s="25"/>
      <c r="M169" s="25"/>
      <c r="N169" s="25"/>
      <c r="O169" s="25">
        <v>2.0</v>
      </c>
      <c r="P169" s="25" t="s">
        <v>3928</v>
      </c>
      <c r="Q169" s="25" t="s">
        <v>539</v>
      </c>
      <c r="R169" s="25">
        <v>6.0</v>
      </c>
      <c r="S169" s="25" t="s">
        <v>3947</v>
      </c>
      <c r="T169" s="25"/>
      <c r="U169" s="25"/>
      <c r="V169" s="25"/>
      <c r="W169" s="25"/>
      <c r="X169" s="25"/>
      <c r="Y169" s="25"/>
    </row>
    <row r="170" ht="15.75" customHeight="1">
      <c r="A170" s="25" t="s">
        <v>3847</v>
      </c>
      <c r="B170" s="25">
        <v>10.0</v>
      </c>
      <c r="C170" s="25" t="s">
        <v>3949</v>
      </c>
      <c r="D170" s="25" t="s">
        <v>3925</v>
      </c>
      <c r="E170" s="25" t="s">
        <v>3933</v>
      </c>
      <c r="F170" s="25"/>
      <c r="G170" s="25"/>
      <c r="H170" s="25"/>
      <c r="I170" s="25"/>
      <c r="J170" s="25"/>
      <c r="K170" s="25"/>
      <c r="L170" s="25"/>
      <c r="M170" s="25" t="s">
        <v>3953</v>
      </c>
      <c r="N170" s="25">
        <v>6.0</v>
      </c>
      <c r="O170" s="25">
        <v>2.0</v>
      </c>
      <c r="P170" s="25"/>
      <c r="Q170" s="25"/>
      <c r="R170" s="25"/>
      <c r="S170" s="25"/>
      <c r="T170" s="25"/>
      <c r="U170" s="25"/>
      <c r="V170" s="25"/>
      <c r="W170" s="25"/>
      <c r="X170" s="25" t="s">
        <v>3954</v>
      </c>
      <c r="Y170" s="25" t="s">
        <v>3955</v>
      </c>
    </row>
    <row r="171" ht="15.75" customHeight="1">
      <c r="A171" s="25" t="s">
        <v>3847</v>
      </c>
      <c r="B171" s="25">
        <v>20.0</v>
      </c>
      <c r="C171" s="25" t="s">
        <v>3932</v>
      </c>
      <c r="D171" s="25" t="s">
        <v>3925</v>
      </c>
      <c r="E171" s="25" t="s">
        <v>3933</v>
      </c>
      <c r="F171" s="25"/>
      <c r="G171" s="25"/>
      <c r="H171" s="25"/>
      <c r="I171" s="25"/>
      <c r="J171" s="25"/>
      <c r="K171" s="25"/>
      <c r="L171" s="25"/>
      <c r="M171" s="25"/>
      <c r="N171" s="25"/>
      <c r="O171" s="25">
        <v>2.0</v>
      </c>
      <c r="P171" s="25" t="s">
        <v>3928</v>
      </c>
      <c r="Q171" s="25" t="s">
        <v>539</v>
      </c>
      <c r="R171" s="25">
        <v>6.0</v>
      </c>
      <c r="S171" s="25" t="s">
        <v>3947</v>
      </c>
      <c r="T171" s="25"/>
      <c r="U171" s="25"/>
      <c r="V171" s="25"/>
      <c r="W171" s="25"/>
      <c r="X171" s="25"/>
      <c r="Y171" s="25"/>
    </row>
    <row r="172" ht="15.75" customHeight="1">
      <c r="A172" s="25" t="s">
        <v>3848</v>
      </c>
      <c r="B172" s="25">
        <v>10.0</v>
      </c>
      <c r="C172" s="25" t="s">
        <v>3963</v>
      </c>
      <c r="D172" s="25" t="s">
        <v>3925</v>
      </c>
      <c r="E172" s="25" t="s">
        <v>3933</v>
      </c>
      <c r="F172" s="25"/>
      <c r="G172" s="25"/>
      <c r="H172" s="25"/>
      <c r="I172" s="25"/>
      <c r="J172" s="25"/>
      <c r="K172" s="25"/>
      <c r="L172" s="25"/>
      <c r="M172" s="25" t="s">
        <v>3984</v>
      </c>
      <c r="N172" s="25">
        <v>4.0</v>
      </c>
      <c r="O172" s="25"/>
      <c r="P172" s="25"/>
      <c r="Q172" s="25"/>
      <c r="R172" s="25"/>
      <c r="S172" s="25"/>
      <c r="T172" s="25"/>
      <c r="U172" s="25"/>
      <c r="V172" s="25"/>
      <c r="W172" s="25"/>
      <c r="X172" s="25" t="s">
        <v>3964</v>
      </c>
      <c r="Y172" s="25"/>
    </row>
    <row r="173" ht="15.75" customHeight="1">
      <c r="A173" s="25" t="s">
        <v>3849</v>
      </c>
      <c r="B173" s="25">
        <v>10.0</v>
      </c>
      <c r="C173" s="25" t="s">
        <v>3949</v>
      </c>
      <c r="D173" s="25" t="s">
        <v>3925</v>
      </c>
      <c r="E173" s="25" t="s">
        <v>3933</v>
      </c>
      <c r="F173" s="25"/>
      <c r="G173" s="25"/>
      <c r="H173" s="25"/>
      <c r="I173" s="25"/>
      <c r="J173" s="25"/>
      <c r="K173" s="25"/>
      <c r="L173" s="25"/>
      <c r="M173" s="25" t="s">
        <v>3950</v>
      </c>
      <c r="N173" s="25">
        <v>5.0</v>
      </c>
      <c r="O173" s="25">
        <v>2.0</v>
      </c>
      <c r="P173" s="25"/>
      <c r="Q173" s="25"/>
      <c r="R173" s="25"/>
      <c r="S173" s="25"/>
      <c r="T173" s="25"/>
      <c r="U173" s="25"/>
      <c r="V173" s="25"/>
      <c r="W173" s="25"/>
      <c r="X173" s="25" t="s">
        <v>3951</v>
      </c>
      <c r="Y173" s="25" t="s">
        <v>3952</v>
      </c>
    </row>
    <row r="174" ht="15.75" customHeight="1">
      <c r="A174" s="25" t="s">
        <v>3849</v>
      </c>
      <c r="B174" s="25">
        <v>20.0</v>
      </c>
      <c r="C174" s="25" t="s">
        <v>3949</v>
      </c>
      <c r="D174" s="25" t="s">
        <v>3925</v>
      </c>
      <c r="E174" s="25" t="s">
        <v>3933</v>
      </c>
      <c r="F174" s="25"/>
      <c r="G174" s="25"/>
      <c r="H174" s="25"/>
      <c r="I174" s="25"/>
      <c r="J174" s="25"/>
      <c r="K174" s="25"/>
      <c r="L174" s="25"/>
      <c r="M174" s="25" t="s">
        <v>3953</v>
      </c>
      <c r="N174" s="25">
        <v>5.0</v>
      </c>
      <c r="O174" s="25">
        <v>2.0</v>
      </c>
      <c r="P174" s="25"/>
      <c r="Q174" s="25"/>
      <c r="R174" s="25"/>
      <c r="S174" s="25"/>
      <c r="T174" s="25"/>
      <c r="U174" s="25"/>
      <c r="V174" s="25"/>
      <c r="W174" s="25"/>
      <c r="X174" s="25" t="s">
        <v>3954</v>
      </c>
      <c r="Y174" s="25" t="s">
        <v>3955</v>
      </c>
    </row>
  </sheetData>
  <mergeCells count="2">
    <mergeCell ref="A1:Y1"/>
    <mergeCell ref="A2:Y2"/>
  </mergeCells>
  <dataValidations>
    <dataValidation type="list" allowBlank="1" sqref="E5:E174">
      <formula1>'Effect Lists'!$C$4:$C$7</formula1>
    </dataValidation>
    <dataValidation type="list" allowBlank="1" sqref="S5:S174">
      <formula1>'Effect Lists'!$H$4:$H$10</formula1>
    </dataValidation>
    <dataValidation type="list" allowBlank="1" sqref="H5:H174">
      <formula1>'Effect Lists'!$E$4:$E$10</formula1>
    </dataValidation>
    <dataValidation type="list" allowBlank="1" sqref="Q5:Q174">
      <formula1>'Effect Lists'!$G$4:$G$6</formula1>
    </dataValidation>
    <dataValidation type="list" allowBlank="1" sqref="C5:C174">
      <formula1>'Effect Lists'!$A$4:$A$18</formula1>
    </dataValidation>
    <dataValidation type="list" allowBlank="1" sqref="D5:D174">
      <formula1>'Effect Lists'!$B$4:$B$10</formula1>
    </dataValidation>
    <dataValidation type="list" allowBlank="1" sqref="J5:J174">
      <formula1>'Effect Lists'!$I$4:$I$19</formula1>
    </dataValidation>
    <dataValidation type="list" allowBlank="1" sqref="T5:T174">
      <formula1>'Effect Lists'!$J$4:$J$10</formula1>
    </dataValidation>
    <dataValidation type="list" allowBlank="1" sqref="F5:F174">
      <formula1>'Effect Lists'!$D$4:$D$7</formula1>
    </dataValidation>
    <dataValidation type="list" allowBlank="1" sqref="M5:M174">
      <formula1>'Effect Lists'!$F$4:$F$7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4.0"/>
    <col customWidth="1" min="2" max="2" width="34.0"/>
    <col customWidth="1" min="3" max="3" width="38.0"/>
    <col customWidth="1" min="4" max="4" width="34.0"/>
    <col customWidth="1" min="5" max="5" width="16.0"/>
    <col customWidth="1" min="6" max="6" width="14.0"/>
    <col customWidth="1" min="7" max="7" width="30.0"/>
    <col customWidth="1" min="8" max="8" width="48.0"/>
    <col customWidth="1" min="9" max="11" width="8.71"/>
  </cols>
  <sheetData>
    <row r="1" ht="27.75" customHeight="1">
      <c r="A1" s="30" t="s">
        <v>3996</v>
      </c>
    </row>
    <row r="3" ht="33.75" customHeight="1">
      <c r="A3" s="28" t="s">
        <v>3906</v>
      </c>
      <c r="B3" s="28" t="s">
        <v>1542</v>
      </c>
      <c r="C3" s="28" t="s">
        <v>3997</v>
      </c>
      <c r="D3" s="28" t="s">
        <v>3998</v>
      </c>
      <c r="E3" s="28" t="s">
        <v>3999</v>
      </c>
      <c r="F3" s="28" t="s">
        <v>4000</v>
      </c>
      <c r="G3" s="28" t="s">
        <v>4001</v>
      </c>
      <c r="H3" s="28" t="s">
        <v>6</v>
      </c>
    </row>
    <row r="4">
      <c r="A4" s="25" t="s">
        <v>3924</v>
      </c>
      <c r="B4" s="25" t="s">
        <v>4002</v>
      </c>
      <c r="C4" s="25" t="s">
        <v>4003</v>
      </c>
      <c r="D4" s="25" t="s">
        <v>4004</v>
      </c>
      <c r="E4" s="25" t="s">
        <v>3925</v>
      </c>
      <c r="F4" s="25" t="s">
        <v>3926</v>
      </c>
      <c r="G4" s="25" t="s">
        <v>4005</v>
      </c>
      <c r="H4" s="25" t="s">
        <v>4006</v>
      </c>
    </row>
    <row r="5">
      <c r="A5" s="25" t="s">
        <v>3937</v>
      </c>
      <c r="B5" s="25" t="s">
        <v>4007</v>
      </c>
      <c r="C5" s="25" t="s">
        <v>4008</v>
      </c>
      <c r="D5" s="25" t="s">
        <v>4009</v>
      </c>
      <c r="E5" s="25" t="s">
        <v>3945</v>
      </c>
      <c r="F5" s="25" t="s">
        <v>3926</v>
      </c>
      <c r="G5" s="25" t="s">
        <v>4010</v>
      </c>
      <c r="H5" s="25" t="s">
        <v>4011</v>
      </c>
    </row>
    <row r="6">
      <c r="A6" s="25" t="s">
        <v>3963</v>
      </c>
      <c r="B6" s="25" t="s">
        <v>4012</v>
      </c>
      <c r="C6" s="25" t="s">
        <v>4013</v>
      </c>
      <c r="D6" s="25" t="s">
        <v>4014</v>
      </c>
      <c r="E6" s="25" t="s">
        <v>3925</v>
      </c>
      <c r="F6" s="25" t="s">
        <v>3933</v>
      </c>
      <c r="G6" s="25" t="s">
        <v>4015</v>
      </c>
      <c r="H6" s="25" t="s">
        <v>4016</v>
      </c>
    </row>
    <row r="7">
      <c r="A7" s="25" t="s">
        <v>3949</v>
      </c>
      <c r="B7" s="25" t="s">
        <v>4017</v>
      </c>
      <c r="C7" s="25" t="s">
        <v>4018</v>
      </c>
      <c r="D7" s="25" t="s">
        <v>4014</v>
      </c>
      <c r="E7" s="25" t="s">
        <v>3925</v>
      </c>
      <c r="F7" s="25" t="s">
        <v>3933</v>
      </c>
      <c r="G7" s="25" t="s">
        <v>4019</v>
      </c>
      <c r="H7" s="25" t="s">
        <v>4020</v>
      </c>
    </row>
    <row r="8">
      <c r="A8" s="25" t="s">
        <v>3932</v>
      </c>
      <c r="B8" s="25" t="s">
        <v>4021</v>
      </c>
      <c r="C8" s="25" t="s">
        <v>4022</v>
      </c>
      <c r="D8" s="25" t="s">
        <v>4023</v>
      </c>
      <c r="E8" s="25" t="s">
        <v>3925</v>
      </c>
      <c r="F8" s="25" t="s">
        <v>4024</v>
      </c>
      <c r="G8" s="25" t="s">
        <v>4025</v>
      </c>
      <c r="H8" s="25" t="s">
        <v>4026</v>
      </c>
    </row>
    <row r="9">
      <c r="A9" s="25" t="s">
        <v>3976</v>
      </c>
      <c r="B9" s="25" t="s">
        <v>4027</v>
      </c>
      <c r="C9" s="25" t="s">
        <v>4028</v>
      </c>
      <c r="D9" s="25" t="s">
        <v>3917</v>
      </c>
      <c r="E9" s="25" t="s">
        <v>3925</v>
      </c>
      <c r="F9" s="25" t="s">
        <v>3933</v>
      </c>
      <c r="G9" s="25" t="s">
        <v>4029</v>
      </c>
      <c r="H9" s="25" t="s">
        <v>4030</v>
      </c>
    </row>
    <row r="10">
      <c r="A10" s="25" t="s">
        <v>3979</v>
      </c>
      <c r="B10" s="25" t="s">
        <v>4031</v>
      </c>
      <c r="C10" s="25" t="s">
        <v>4032</v>
      </c>
      <c r="D10" s="25" t="s">
        <v>4014</v>
      </c>
      <c r="E10" s="25" t="s">
        <v>3925</v>
      </c>
      <c r="F10" s="25" t="s">
        <v>3933</v>
      </c>
      <c r="G10" s="25" t="s">
        <v>4033</v>
      </c>
      <c r="H10" s="25" t="s">
        <v>4034</v>
      </c>
    </row>
    <row r="11">
      <c r="A11" s="25" t="s">
        <v>3966</v>
      </c>
      <c r="B11" s="25" t="s">
        <v>4035</v>
      </c>
      <c r="C11" s="25" t="s">
        <v>4036</v>
      </c>
      <c r="D11" s="25" t="s">
        <v>4037</v>
      </c>
      <c r="E11" s="25" t="s">
        <v>3925</v>
      </c>
      <c r="F11" s="25" t="s">
        <v>3926</v>
      </c>
      <c r="G11" s="25" t="s">
        <v>4038</v>
      </c>
      <c r="H11" s="25" t="s">
        <v>4039</v>
      </c>
    </row>
    <row r="12">
      <c r="A12" s="25" t="s">
        <v>3970</v>
      </c>
      <c r="B12" s="25" t="s">
        <v>4040</v>
      </c>
      <c r="C12" s="25" t="s">
        <v>4041</v>
      </c>
      <c r="D12" s="25" t="s">
        <v>4042</v>
      </c>
      <c r="E12" s="25" t="s">
        <v>3971</v>
      </c>
      <c r="F12" s="25" t="s">
        <v>3933</v>
      </c>
      <c r="G12" s="25" t="s">
        <v>4043</v>
      </c>
      <c r="H12" s="25" t="s">
        <v>4044</v>
      </c>
    </row>
    <row r="13">
      <c r="A13" s="25" t="s">
        <v>3960</v>
      </c>
      <c r="B13" s="25" t="s">
        <v>4045</v>
      </c>
      <c r="C13" s="25" t="s">
        <v>4046</v>
      </c>
      <c r="D13" s="25" t="s">
        <v>3914</v>
      </c>
      <c r="E13" s="25" t="s">
        <v>3925</v>
      </c>
      <c r="F13" s="25" t="s">
        <v>3933</v>
      </c>
      <c r="G13" s="25" t="s">
        <v>4047</v>
      </c>
      <c r="H13" s="25" t="s">
        <v>4048</v>
      </c>
    </row>
    <row r="14">
      <c r="A14" s="25" t="s">
        <v>3981</v>
      </c>
      <c r="B14" s="25" t="s">
        <v>4049</v>
      </c>
      <c r="C14" s="25" t="s">
        <v>4041</v>
      </c>
      <c r="D14" s="25" t="s">
        <v>3919</v>
      </c>
      <c r="E14" s="25" t="s">
        <v>3925</v>
      </c>
      <c r="F14" s="25" t="s">
        <v>3933</v>
      </c>
      <c r="G14" s="25" t="s">
        <v>4050</v>
      </c>
      <c r="H14" s="25" t="s">
        <v>4051</v>
      </c>
    </row>
    <row r="15">
      <c r="A15" s="25" t="s">
        <v>3993</v>
      </c>
      <c r="B15" s="25" t="s">
        <v>4052</v>
      </c>
      <c r="C15" s="25" t="s">
        <v>4053</v>
      </c>
      <c r="D15" s="25" t="s">
        <v>325</v>
      </c>
      <c r="E15" s="25" t="s">
        <v>3925</v>
      </c>
      <c r="F15" s="25" t="s">
        <v>3933</v>
      </c>
      <c r="G15" s="25" t="s">
        <v>4054</v>
      </c>
      <c r="H15" s="25" t="s">
        <v>4055</v>
      </c>
    </row>
    <row r="16">
      <c r="A16" s="25" t="s">
        <v>3988</v>
      </c>
      <c r="B16" s="25" t="s">
        <v>4056</v>
      </c>
      <c r="C16" s="25" t="s">
        <v>4057</v>
      </c>
      <c r="D16" s="25" t="s">
        <v>4058</v>
      </c>
      <c r="E16" s="25" t="s">
        <v>3925</v>
      </c>
      <c r="F16" s="25" t="s">
        <v>3933</v>
      </c>
      <c r="G16" s="25" t="s">
        <v>4059</v>
      </c>
      <c r="H16" s="25" t="s">
        <v>4060</v>
      </c>
    </row>
    <row r="17">
      <c r="A17" s="25" t="s">
        <v>3974</v>
      </c>
      <c r="B17" s="25" t="s">
        <v>4061</v>
      </c>
      <c r="C17" s="25" t="s">
        <v>3923</v>
      </c>
      <c r="D17" s="25" t="s">
        <v>4062</v>
      </c>
      <c r="E17" s="25" t="s">
        <v>3925</v>
      </c>
      <c r="F17" s="25" t="s">
        <v>3926</v>
      </c>
      <c r="G17" s="25" t="s">
        <v>4063</v>
      </c>
      <c r="H17" s="25" t="s">
        <v>4064</v>
      </c>
    </row>
    <row r="18">
      <c r="A18" s="25" t="s">
        <v>4065</v>
      </c>
      <c r="B18" s="25" t="s">
        <v>4066</v>
      </c>
      <c r="C18" s="25" t="s">
        <v>6</v>
      </c>
      <c r="D18" s="25" t="s">
        <v>4067</v>
      </c>
      <c r="E18" s="25" t="s">
        <v>3925</v>
      </c>
      <c r="F18" s="25" t="s">
        <v>4068</v>
      </c>
      <c r="G18" s="25" t="s">
        <v>4069</v>
      </c>
      <c r="H18" s="25" t="s">
        <v>4070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1">
    <mergeCell ref="A1:H1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2" width="24.0"/>
  </cols>
  <sheetData>
    <row r="1" ht="27.75" customHeight="1">
      <c r="A1" s="30" t="s">
        <v>4071</v>
      </c>
    </row>
    <row r="3">
      <c r="A3" s="31" t="s">
        <v>3906</v>
      </c>
      <c r="B3" s="31" t="s">
        <v>3907</v>
      </c>
      <c r="C3" s="31" t="s">
        <v>1181</v>
      </c>
      <c r="D3" s="31" t="s">
        <v>564</v>
      </c>
      <c r="E3" s="31" t="s">
        <v>565</v>
      </c>
      <c r="F3" s="31" t="s">
        <v>3362</v>
      </c>
      <c r="G3" s="31" t="s">
        <v>3916</v>
      </c>
      <c r="H3" s="31" t="s">
        <v>3918</v>
      </c>
      <c r="I3" s="31" t="s">
        <v>3910</v>
      </c>
      <c r="J3" s="31" t="s">
        <v>3919</v>
      </c>
      <c r="K3" s="31" t="s">
        <v>3882</v>
      </c>
      <c r="L3" s="31" t="s">
        <v>4072</v>
      </c>
    </row>
    <row r="4">
      <c r="A4" t="s">
        <v>3924</v>
      </c>
      <c r="B4" t="s">
        <v>3925</v>
      </c>
      <c r="C4" t="s">
        <v>3933</v>
      </c>
      <c r="D4" t="s">
        <v>3929</v>
      </c>
      <c r="E4" t="s">
        <v>3930</v>
      </c>
      <c r="F4" t="s">
        <v>3950</v>
      </c>
      <c r="G4" t="s">
        <v>539</v>
      </c>
      <c r="H4" t="s">
        <v>3935</v>
      </c>
      <c r="I4" t="s">
        <v>3939</v>
      </c>
      <c r="J4" t="s">
        <v>3942</v>
      </c>
      <c r="K4" t="s">
        <v>3888</v>
      </c>
      <c r="L4" t="s">
        <v>3622</v>
      </c>
    </row>
    <row r="5">
      <c r="A5" t="s">
        <v>3937</v>
      </c>
      <c r="B5" t="s">
        <v>3945</v>
      </c>
      <c r="C5" t="s">
        <v>3926</v>
      </c>
      <c r="D5" t="s">
        <v>3927</v>
      </c>
      <c r="E5" t="s">
        <v>3931</v>
      </c>
      <c r="F5" t="s">
        <v>3953</v>
      </c>
      <c r="G5" t="s">
        <v>234</v>
      </c>
      <c r="H5" t="s">
        <v>4073</v>
      </c>
      <c r="I5" t="s">
        <v>3948</v>
      </c>
      <c r="J5" t="s">
        <v>3957</v>
      </c>
      <c r="K5" t="s">
        <v>3898</v>
      </c>
    </row>
    <row r="6">
      <c r="A6" t="s">
        <v>3963</v>
      </c>
      <c r="B6" t="s">
        <v>3941</v>
      </c>
      <c r="C6" t="s">
        <v>4074</v>
      </c>
      <c r="D6" t="s">
        <v>4075</v>
      </c>
      <c r="E6" t="s">
        <v>3928</v>
      </c>
      <c r="F6" t="s">
        <v>3984</v>
      </c>
      <c r="G6" t="s">
        <v>551</v>
      </c>
      <c r="H6" t="s">
        <v>3947</v>
      </c>
      <c r="I6" t="s">
        <v>4076</v>
      </c>
      <c r="J6" t="s">
        <v>3940</v>
      </c>
      <c r="K6" t="s">
        <v>4077</v>
      </c>
    </row>
    <row r="7">
      <c r="A7" t="s">
        <v>3949</v>
      </c>
      <c r="B7" t="s">
        <v>3938</v>
      </c>
      <c r="C7" t="s">
        <v>4078</v>
      </c>
      <c r="D7" t="s">
        <v>4079</v>
      </c>
      <c r="E7" t="s">
        <v>3967</v>
      </c>
      <c r="F7" t="s">
        <v>4080</v>
      </c>
      <c r="H7" t="s">
        <v>3959</v>
      </c>
      <c r="I7" t="s">
        <v>3965</v>
      </c>
      <c r="J7" t="s">
        <v>3936</v>
      </c>
    </row>
    <row r="8">
      <c r="A8" t="s">
        <v>3932</v>
      </c>
      <c r="B8" t="s">
        <v>3971</v>
      </c>
      <c r="E8" t="s">
        <v>3978</v>
      </c>
      <c r="H8" t="s">
        <v>3961</v>
      </c>
      <c r="I8" t="s">
        <v>4081</v>
      </c>
      <c r="J8" t="s">
        <v>3944</v>
      </c>
    </row>
    <row r="9">
      <c r="A9" t="s">
        <v>3976</v>
      </c>
      <c r="B9" t="s">
        <v>3987</v>
      </c>
      <c r="E9" t="s">
        <v>3946</v>
      </c>
      <c r="H9" t="s">
        <v>3972</v>
      </c>
      <c r="I9" t="s">
        <v>3969</v>
      </c>
      <c r="J9" t="s">
        <v>3973</v>
      </c>
    </row>
    <row r="10">
      <c r="A10" t="s">
        <v>3979</v>
      </c>
      <c r="B10" t="s">
        <v>4082</v>
      </c>
      <c r="E10" t="s">
        <v>4083</v>
      </c>
      <c r="H10" t="s">
        <v>3982</v>
      </c>
      <c r="I10" t="s">
        <v>4084</v>
      </c>
      <c r="J10" t="s">
        <v>3983</v>
      </c>
    </row>
    <row r="11">
      <c r="A11" t="s">
        <v>3966</v>
      </c>
      <c r="I11" t="s">
        <v>4085</v>
      </c>
    </row>
    <row r="12">
      <c r="A12" t="s">
        <v>3970</v>
      </c>
      <c r="I12" t="s">
        <v>4086</v>
      </c>
    </row>
    <row r="13">
      <c r="A13" t="s">
        <v>3960</v>
      </c>
      <c r="I13" t="s">
        <v>4087</v>
      </c>
    </row>
    <row r="14">
      <c r="A14" t="s">
        <v>3981</v>
      </c>
      <c r="I14" t="s">
        <v>4088</v>
      </c>
    </row>
    <row r="15">
      <c r="A15" t="s">
        <v>3993</v>
      </c>
      <c r="I15" t="s">
        <v>4089</v>
      </c>
    </row>
    <row r="16">
      <c r="A16" t="s">
        <v>3988</v>
      </c>
      <c r="I16" t="s">
        <v>4090</v>
      </c>
    </row>
    <row r="17">
      <c r="A17" t="s">
        <v>3974</v>
      </c>
      <c r="I17" t="s">
        <v>4091</v>
      </c>
    </row>
    <row r="18">
      <c r="A18" t="s">
        <v>4065</v>
      </c>
      <c r="I18" t="s">
        <v>4092</v>
      </c>
    </row>
    <row r="19">
      <c r="I19" t="s">
        <v>3956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1">
    <mergeCell ref="A1:L1"/>
  </mergeCells>
  <printOptions/>
  <pageMargins bottom="0.75" footer="0.0" header="0.0" left="0.7" right="0.7" top="0.75"/>
  <pageSetup orientation="landscape"/>
  <drawing r:id="rId1"/>
</worksheet>
</file>