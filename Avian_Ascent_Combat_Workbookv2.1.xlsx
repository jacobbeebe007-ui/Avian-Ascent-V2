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6ae5cecff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ac0377158404396"/>
    <x:sheet xmlns:r="http://schemas.openxmlformats.org/officeDocument/2006/relationships" name="Telemetry Diagnosis" sheetId="2" r:id="Rdef73e6f45b64cc3"/>
    <x:sheet xmlns:r="http://schemas.openxmlformats.org/officeDocument/2006/relationships" name="V2 Core Rules" sheetId="3" r:id="Re8fc5f3434514244"/>
    <x:sheet xmlns:r="http://schemas.openxmlformats.org/officeDocument/2006/relationships" name="AP &amp; Skill Budget" sheetId="4" r:id="R2081e2d52eaa4d9c"/>
    <x:sheet xmlns:r="http://schemas.openxmlformats.org/officeDocument/2006/relationships" name="Damage &amp; Progression" sheetId="5" r:id="Rdf3bf9c55f09488b"/>
    <x:sheet xmlns:r="http://schemas.openxmlformats.org/officeDocument/2006/relationships" name="Buff &amp; Duration" sheetId="6" r:id="Rb7ccc9d0bcbc4bfe"/>
    <x:sheet xmlns:r="http://schemas.openxmlformats.org/officeDocument/2006/relationships" name="Size &amp; Health" sheetId="7" r:id="Rd11e1354284d4c1c"/>
    <x:sheet xmlns:r="http://schemas.openxmlformats.org/officeDocument/2006/relationships" name="Class Framework" sheetId="8" r:id="R3cfb96f51b794d14"/>
    <x:sheet xmlns:r="http://schemas.openxmlformats.org/officeDocument/2006/relationships" name="Bird Recalibration" sheetId="9" r:id="R6b891d02cb3c4d2e"/>
    <x:sheet xmlns:r="http://schemas.openxmlformats.org/officeDocument/2006/relationships" name="Weapon Framework" sheetId="10" r:id="R9f3c2f92852d42c6"/>
    <x:sheet xmlns:r="http://schemas.openxmlformats.org/officeDocument/2006/relationships" name="Weapon Distribution" sheetId="11" r:id="Ref7d2d6dc3c74154"/>
    <x:sheet xmlns:r="http://schemas.openxmlformats.org/officeDocument/2006/relationships" name="Equipment Rework" sheetId="12" r:id="R4c675690ee2c4038"/>
    <x:sheet xmlns:r="http://schemas.openxmlformats.org/officeDocument/2006/relationships" name="Defence &amp; Status" sheetId="13" r:id="Ra09ee4185b6e40b2"/>
    <x:sheet xmlns:r="http://schemas.openxmlformats.org/officeDocument/2006/relationships" name="Enemy &amp; AI" sheetId="14" r:id="R111d4b86e5284827"/>
    <x:sheet xmlns:r="http://schemas.openxmlformats.org/officeDocument/2006/relationships" name="Balance Lab" sheetId="15" r:id="R94c5ac831eb346a8"/>
    <x:sheet xmlns:r="http://schemas.openxmlformats.org/officeDocument/2006/relationships" name="Implementation Plan" sheetId="16" r:id="R5ba316fb2986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%"/>
    <x:numFmt numFmtId="202" formatCode="0.00"/>
    <x:numFmt numFmtId="203" formatCode="0.00x"/>
  </x:numFmts>
  <x:fonts count="7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647386"/>
      <x:name val="Aptos"/>
    </x:font>
    <x:font>
      <x:b/>
      <x:sz val="10"/>
      <x:color rgb="FF182434"/>
      <x:name val="Aptos"/>
    </x:font>
    <x:font>
      <x:b/>
      <x:sz val="10"/>
      <x:color rgb="FFFFFFFF"/>
      <x:name val="Aptos"/>
    </x:font>
    <x:font>
      <x:sz val="10"/>
      <x:color rgb="FF182434"/>
      <x:name val="Aptos"/>
    </x:font>
    <x:font>
      <x:i/>
      <x:sz val="10"/>
      <x:color rgb="FF182434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2235"/>
      </x:patternFill>
    </x:fill>
    <x:fill>
      <x:patternFill patternType="solid">
        <x:fgColor rgb="FFF4F1E8"/>
      </x:patternFill>
    </x:fill>
    <x:fill>
      <x:patternFill patternType="solid">
        <x:fgColor rgb="FF60B6C5"/>
      </x:patternFill>
    </x:fill>
    <x:fill>
      <x:patternFill patternType="solid">
        <x:fgColor rgb="FF315C87"/>
      </x:patternFill>
    </x:fill>
    <x:fill>
      <x:patternFill patternType="solid">
        <x:fgColor rgb="FFFFF2CC"/>
      </x:patternFill>
    </x:fill>
    <x:fill>
      <x:patternFill patternType="solid">
        <x:fgColor rgb="FFE8F2F5"/>
      </x:patternFill>
    </x:fill>
  </x:fills>
  <x:borders count="10">
    <x:border/>
    <x:border>
      <x:left style="thin">
        <x:color rgb="FFCED5DB"/>
      </x:left>
      <x:top style="thin">
        <x:color rgb="FFCED5DB"/>
      </x:top>
      <x:bottom style="thin">
        <x:color rgb="FFCED5DB"/>
      </x:bottom>
    </x:border>
    <x:border>
      <x:top style="thin">
        <x:color rgb="FFCED5DB"/>
      </x:top>
      <x:bottom style="thin">
        <x:color rgb="FFCED5DB"/>
      </x:bottom>
    </x:border>
    <x:border>
      <x:right style="thin">
        <x:color rgb="FFCED5DB"/>
      </x:right>
      <x:top style="thin">
        <x:color rgb="FFCED5DB"/>
      </x:top>
      <x:bottom style="thin">
        <x:color rgb="FFCED5DB"/>
      </x:bottom>
    </x:border>
    <x:border>
      <x:right style="thin">
        <x:color rgb="FFCED5DB"/>
      </x:right>
    </x:border>
    <x:border>
      <x:left style="thin">
        <x:color rgb="FFCED5DB"/>
      </x:left>
      <x:right style="thin">
        <x:color rgb="FFCED5DB"/>
      </x:right>
    </x:border>
    <x:border>
      <x:left style="thin">
        <x:color rgb="FFCED5DB"/>
      </x:left>
    </x:border>
    <x:border>
      <x:bottom style="thin">
        <x:color rgb="FFE3E7EA"/>
      </x:bottom>
    </x:border>
    <x:border>
      <x:top style="thin">
        <x:color rgb="FFE3E7EA"/>
      </x:top>
      <x:bottom style="thin">
        <x:color rgb="FFE3E7EA"/>
      </x:bottom>
    </x:border>
    <x:border>
      <x:top style="thin">
        <x:color rgb="FFE3E7EA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1" fontId="5" fillId="0" borderId="7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2" fontId="5" fillId="0" borderId="7" xfId="0" applyNumberFormat="1" applyFont="1" applyFill="1" applyBorder="1" applyAlignment="1">
      <x:alignment vertical="top" wrapText="1"/>
    </x:xf>
    <x:xf numFmtId="202" fontId="5" fillId="0" borderId="8" xfId="0" applyNumberFormat="1" applyFont="1" applyFill="1" applyBorder="1" applyAlignment="1">
      <x:alignment vertical="top" wrapText="1"/>
    </x:xf>
    <x:xf numFmtId="202" fontId="5" fillId="0" borderId="9" xfId="0" applyNumberFormat="1" applyFont="1" applyFill="1" applyBorder="1" applyAlignment="1">
      <x:alignment vertical="top" wrapText="1"/>
    </x:xf>
    <x:xf numFmtId="203" fontId="5" fillId="0" borderId="8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200" fontId="5" fillId="6" borderId="8" xfId="0" applyNumberFormat="1" applyFont="1" applyFill="1" applyBorder="1" applyAlignment="1">
      <x:alignment vertical="top" wrapText="1"/>
    </x:xf>
    <x:xf numFmtId="203" fontId="5" fillId="6" borderId="8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200" fontId="5" fillId="7" borderId="8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8b7f796ec4dc7" /><Relationship Type="http://schemas.openxmlformats.org/officeDocument/2006/relationships/theme" Target="/xl/theme/theme1.xml" Id="R810484fd8eab4e27" /><Relationship Type="http://schemas.openxmlformats.org/officeDocument/2006/relationships/sharedStrings" Target="/xl/sharedStrings.xml" Id="Rc9bbf7b0f8dd4ce5" /><Relationship Type="http://schemas.openxmlformats.org/officeDocument/2006/relationships/worksheet" Target="/xl/worksheets/sheet1.xml" Id="R3ac0377158404396" /><Relationship Type="http://schemas.openxmlformats.org/officeDocument/2006/relationships/worksheet" Target="/xl/worksheets/sheet2.xml" Id="Rdef73e6f45b64cc3" /><Relationship Type="http://schemas.openxmlformats.org/officeDocument/2006/relationships/worksheet" Target="/xl/worksheets/sheet3.xml" Id="Re8fc5f3434514244" /><Relationship Type="http://schemas.openxmlformats.org/officeDocument/2006/relationships/worksheet" Target="/xl/worksheets/sheet4.xml" Id="R2081e2d52eaa4d9c" /><Relationship Type="http://schemas.openxmlformats.org/officeDocument/2006/relationships/worksheet" Target="/xl/worksheets/sheet5.xml" Id="Rdf3bf9c55f09488b" /><Relationship Type="http://schemas.openxmlformats.org/officeDocument/2006/relationships/worksheet" Target="/xl/worksheets/sheet6.xml" Id="Rb7ccc9d0bcbc4bfe" /><Relationship Type="http://schemas.openxmlformats.org/officeDocument/2006/relationships/worksheet" Target="/xl/worksheets/sheet7.xml" Id="Rd11e1354284d4c1c" /><Relationship Type="http://schemas.openxmlformats.org/officeDocument/2006/relationships/worksheet" Target="/xl/worksheets/sheet8.xml" Id="R3cfb96f51b794d14" /><Relationship Type="http://schemas.openxmlformats.org/officeDocument/2006/relationships/worksheet" Target="/xl/worksheets/sheet9.xml" Id="R6b891d02cb3c4d2e" /><Relationship Type="http://schemas.openxmlformats.org/officeDocument/2006/relationships/worksheet" Target="/xl/worksheets/sheet10.xml" Id="R9f3c2f92852d42c6" /><Relationship Type="http://schemas.openxmlformats.org/officeDocument/2006/relationships/worksheet" Target="/xl/worksheets/sheet11.xml" Id="Ref7d2d6dc3c74154" /><Relationship Type="http://schemas.openxmlformats.org/officeDocument/2006/relationships/worksheet" Target="/xl/worksheets/sheet12.xml" Id="R4c675690ee2c4038" /><Relationship Type="http://schemas.openxmlformats.org/officeDocument/2006/relationships/worksheet" Target="/xl/worksheets/sheet13.xml" Id="Ra09ee4185b6e40b2" /><Relationship Type="http://schemas.openxmlformats.org/officeDocument/2006/relationships/worksheet" Target="/xl/worksheets/sheet14.xml" Id="R111d4b86e5284827" /><Relationship Type="http://schemas.openxmlformats.org/officeDocument/2006/relationships/worksheet" Target="/xl/worksheets/sheet15.xml" Id="R94c5ac831eb346a8" /><Relationship Type="http://schemas.openxmlformats.org/officeDocument/2006/relationships/worksheet" Target="/xl/worksheets/sheet16.xml" Id="R5ba316fb298643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43" hidden="0" customWidth="1"/>
    <x:col min="4" max="4" width="43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" t="str">
        <x:v>AVIAN ASCENT — COMBAT FOUNDATION v2.1</x:v>
      </x:c>
      <x:c r="B1" s="56"/>
      <x:c r="C1" s="56"/>
      <x:c r="D1" s="56"/>
      <x:c r="E1" s="56"/>
      <x:c r="F1" s="56"/>
      <x:c r="G1" s="56"/>
      <x:c r="H1" s="56"/>
      <x:c r="I1" s="56"/>
    </x:row>
    <x:row r="2" ht="29" customHeight="1">
      <x:c r="A2" s="57" t="str">
        <x:v>Telemetry-led rebuild with sustainable setup flow: visible progression, compressed size durability, universal AP, no routine cooldowns, complete weapon coverage and meaningful multi-turn buffs.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4" customHeight="1">
      <x:c r="A4" s="13" t="str">
        <x:v>THE DECISION</x:v>
      </x:c>
      <x:c r="B4" s="14"/>
      <x:c r="C4" s="14"/>
      <x:c r="D4" s="14"/>
      <x:c r="E4" s="14"/>
      <x:c r="F4" s="14"/>
      <x:c r="G4" s="14"/>
      <x:c r="H4" s="14"/>
      <x:c r="I4" s="15"/>
    </x:row>
    <x:row r="5" ht="25" customHeight="1">
      <x:c r="A5" s="58" t="str">
        <x:v>Problem</x:v>
      </x:c>
      <x:c r="B5" s="59" t="str">
        <x:v>Telemetry evidence</x:v>
      </x:c>
      <x:c r="C5" s="59" t="str">
        <x:v>v2 correction</x:v>
      </x:c>
      <x:c r="D5" s="59" t="str">
        <x:v>Expected result</x:v>
      </x:c>
      <x:c r="E5" s="59" t="str">
        <x:v>State</x:v>
      </x:c>
      <x:c r="F5" s="59" t="str"/>
      <x:c r="G5" s="59" t="str"/>
      <x:c r="H5" s="59" t="str"/>
      <x:c r="I5" s="60" t="str"/>
    </x:row>
    <x:row r="6">
      <x:c r="A6" s="34" t="str">
        <x:v>Story balance collapse</x:v>
      </x:c>
      <x:c r="B6" s="34" t="str">
        <x:v>Starter classes won 0–18%; combined 9.1%</x:v>
      </x:c>
      <x:c r="C6" s="34" t="str">
        <x:v>Story enemies use visibly reduced equipment budgets and imperfect AI; Standard retains exact parity.</x:v>
      </x:c>
      <x:c r="D6" s="34" t="str">
        <x:v>Story player win rate 65–80%</x:v>
      </x:c>
      <x:c r="E6" s="34" t="str">
        <x:v>Locked</x:v>
      </x:c>
      <x:c r="F6" s="34" t="str"/>
      <x:c r="G6" s="34" t="str"/>
      <x:c r="H6" s="34" t="str"/>
      <x:c r="I6" s="34" t="str"/>
    </x:row>
    <x:row r="7">
      <x:c r="A7" s="35" t="str">
        <x:v>Invisible level damage</x:v>
      </x:c>
      <x:c r="B7" s="35" t="str">
        <x:v>+1 offensive stat adds only 2.5 percentage points to a small weapon number.</x:v>
      </x:c>
      <x:c r="C7" s="35" t="str">
        <x:v>Attack Power = Weapon Roll + 2 × scaling stat.</x:v>
      </x:c>
      <x:c r="D7" s="35" t="str">
        <x:v>Each +1 Might/Dexterity/Focus adds 2 Attack Power before the action coefficient.</x:v>
      </x:c>
      <x:c r="E7" s="35" t="str">
        <x:v>Locked</x:v>
      </x:c>
      <x:c r="F7" s="35" t="str"/>
      <x:c r="G7" s="35" t="str"/>
      <x:c r="H7" s="35" t="str"/>
      <x:c r="I7" s="35" t="str"/>
    </x:row>
    <x:row r="8">
      <x:c r="A8" s="35" t="str">
        <x:v>Size decides fights</x:v>
      </x:c>
      <x:c r="B8" s="35" t="str">
        <x:v>Current size Base Health ranges 8–18 before Vitality.</x:v>
      </x:c>
      <x:c r="C8" s="35" t="str">
        <x:v>New size bases are 125–140; Vitality adds 5 HP.</x:v>
      </x:c>
      <x:c r="D8" s="35" t="str">
        <x:v>Tiny-to-Giant free Health gap falls from 125% to 12%.</x:v>
      </x:c>
      <x:c r="E8" s="35" t="str">
        <x:v>Locked for prototype</x:v>
      </x:c>
      <x:c r="F8" s="35" t="str"/>
      <x:c r="G8" s="35" t="str"/>
      <x:c r="H8" s="35" t="str"/>
      <x:c r="I8" s="35" t="str"/>
    </x:row>
    <x:row r="9">
      <x:c r="A9" s="35" t="str">
        <x:v>Cooldown redundancy</x:v>
      </x:c>
      <x:c r="B9" s="35" t="str">
        <x:v>AP already limits expensive actions.</x:v>
      </x:c>
      <x:c r="C9" s="35" t="str">
        <x:v>Remove normal cooldowns; retain AP, requirements, once-per-turn triggers and Ultimate Meter.</x:v>
      </x:c>
      <x:c r="D9" s="35" t="str">
        <x:v>Fewer timers and clearer choices.</x:v>
      </x:c>
      <x:c r="E9" s="35" t="str">
        <x:v>Locked</x:v>
      </x:c>
      <x:c r="F9" s="35" t="str"/>
      <x:c r="G9" s="35" t="str"/>
      <x:c r="H9" s="35" t="str"/>
      <x:c r="I9" s="35" t="str"/>
    </x:row>
    <x:row r="10">
      <x:c r="A10" s="35" t="str">
        <x:v>Unavailable systems</x:v>
      </x:c>
      <x:c r="B10" s="35" t="str">
        <x:v>Telemetry recorded Fortify 0, Ward 0 and ailments 0.</x:v>
      </x:c>
      <x:c r="C10" s="35" t="str">
        <x:v>Every starter kit receives attack techniques and a defence/status route.</x:v>
      </x:c>
      <x:c r="D10" s="35" t="str">
        <x:v>Telemetry can actually measure the full system.</x:v>
      </x:c>
      <x:c r="E10" s="35" t="str">
        <x:v>Locked</x:v>
      </x:c>
      <x:c r="F10" s="35" t="str"/>
      <x:c r="G10" s="35" t="str"/>
      <x:c r="H10" s="35" t="str"/>
      <x:c r="I10" s="35" t="str"/>
    </x:row>
    <x:row r="11">
      <x:c r="A11" s="35" t="str">
        <x:v>Class mismatch</x:v>
      </x:c>
      <x:c r="B11" s="35" t="str">
        <x:v>Barn Owl is authored as a Mage despite its silent-hunter identity.</x:v>
      </x:c>
      <x:c r="C11" s="35" t="str">
        <x:v>Barn Owl becomes a Dexterity Rogue; Snowy Owl remains the Water/Frost Mage.</x:v>
      </x:c>
      <x:c r="D11" s="35" t="str">
        <x:v>Distinct owl identities and equipment access.</x:v>
      </x:c>
      <x:c r="E11" s="35" t="str">
        <x:v>Locked</x:v>
      </x:c>
      <x:c r="F11" s="35" t="str"/>
      <x:c r="G11" s="35" t="str"/>
      <x:c r="H11" s="35" t="str"/>
      <x:c r="I11" s="35" t="str"/>
    </x:row>
    <x:row r="12">
      <x:c r="A12" s="36" t="str">
        <x:v>One-turn maintenance tax</x:v>
      </x:c>
      <x:c r="B12" s="36" t="str">
        <x:v>Paid utility must be repeated instead of enabling a sequence.</x:v>
      </x:c>
      <x:c r="C12" s="36" t="str">
        <x:v>Standard stat effects last 3 affected turns; one-turn effects are reserved for attached, free or exceptional burst effects.</x:v>
      </x:c>
      <x:c r="D12" s="36" t="str">
        <x:v>Setup → two or more payoff actions becomes practical.</x:v>
      </x:c>
      <x:c r="E12" s="36" t="str">
        <x:v>Locked</x:v>
      </x:c>
      <x:c r="F12" s="36" t="str"/>
      <x:c r="G12" s="36" t="str"/>
      <x:c r="H12" s="36" t="str"/>
      <x:c r="I12" s="36" t="str"/>
    </x:row>
    <x:row r="13" ht="24" customHeight="1">
      <x:c r="A13" s="13" t="str">
        <x:v>IMPLEMENTATION ORDER</x:v>
      </x:c>
      <x:c r="B13" s="14"/>
      <x:c r="C13" s="14"/>
      <x:c r="D13" s="14"/>
      <x:c r="E13" s="14"/>
      <x:c r="F13" s="14"/>
      <x:c r="G13" s="14"/>
      <x:c r="H13" s="14"/>
      <x:c r="I13" s="15"/>
    </x:row>
    <x:row r="14">
      <x:c r="A14" s="34" t="n">
        <x:v>1</x:v>
      </x:c>
      <x:c r="B14" s="34" t="str">
        <x:v>Replace foundational formulas before tuning individual skills.</x:v>
      </x:c>
      <x:c r="C14" s="34" t="str"/>
      <x:c r="D14" s="34" t="str"/>
      <x:c r="E14" s="34" t="str"/>
      <x:c r="F14" s="34" t="str"/>
      <x:c r="G14" s="34" t="str"/>
      <x:c r="H14" s="34" t="str"/>
      <x:c r="I14" s="34" t="str"/>
    </x:row>
    <x:row r="15">
      <x:c r="A15" s="35" t="n">
        <x:v>2</x:v>
      </x:c>
      <x:c r="B15" s="35" t="str">
        <x:v>Migrate Barn Owl and recalculate all 52 birds under the new Health/Power budget.</x:v>
      </x:c>
      <x:c r="C15" s="35" t="str"/>
      <x:c r="D15" s="35" t="str"/>
      <x:c r="E15" s="35" t="str"/>
      <x:c r="F15" s="35" t="str"/>
      <x:c r="G15" s="35" t="str"/>
      <x:c r="H15" s="35" t="str"/>
      <x:c r="I15" s="35" t="str"/>
    </x:row>
    <x:row r="16">
      <x:c r="A16" s="35" t="n">
        <x:v>3</x:v>
      </x:c>
      <x:c r="B16" s="35" t="str">
        <x:v>Populate every weapon family at every rarity with the same functional skill count.</x:v>
      </x:c>
      <x:c r="C16" s="35" t="str"/>
      <x:c r="D16" s="35" t="str"/>
      <x:c r="E16" s="35" t="str"/>
      <x:c r="F16" s="35" t="str"/>
      <x:c r="G16" s="35" t="str"/>
      <x:c r="H16" s="35" t="str"/>
      <x:c r="I16" s="35" t="str"/>
    </x:row>
    <x:row r="17">
      <x:c r="A17" s="35" t="n">
        <x:v>4</x:v>
      </x:c>
      <x:c r="B17" s="35" t="str">
        <x:v>Rebuild equipment by slot responsibility; remove active-skill bloat.</x:v>
      </x:c>
      <x:c r="C17" s="35" t="str"/>
      <x:c r="D17" s="35" t="str"/>
      <x:c r="E17" s="35" t="str"/>
      <x:c r="F17" s="35" t="str"/>
      <x:c r="G17" s="35" t="str"/>
      <x:c r="H17" s="35" t="str"/>
      <x:c r="I17" s="35" t="str"/>
    </x:row>
    <x:row r="18">
      <x:c r="A18" s="35" t="n">
        <x:v>5</x:v>
      </x:c>
      <x:c r="B18" s="35" t="str">
        <x:v>Run seeded Story and Standard telemetry with required counters for Fortify, Ward and ailments.</x:v>
      </x:c>
      <x:c r="C18" s="35" t="str"/>
      <x:c r="D18" s="35" t="str"/>
      <x:c r="E18" s="35" t="str"/>
      <x:c r="F18" s="35" t="str"/>
      <x:c r="G18" s="35" t="str"/>
      <x:c r="H18" s="35" t="str"/>
      <x:c r="I18" s="35" t="str"/>
    </x:row>
    <x:row r="19">
      <x:c r="A19" s="35" t="n">
        <x:v>6</x:v>
      </x:c>
      <x:c r="B19" s="35" t="str">
        <x:v>Tune numerical bands only after runtime event order and AI skill use are verified.</x:v>
      </x:c>
      <x:c r="C19" s="35" t="str"/>
      <x:c r="D19" s="35" t="str"/>
      <x:c r="E19" s="35" t="str"/>
      <x:c r="F19" s="35" t="str"/>
      <x:c r="G19" s="35" t="str"/>
      <x:c r="H19" s="35" t="str"/>
      <x:c r="I19" s="35" t="str"/>
    </x:row>
    <x:row r="20">
      <x:c r="A20" s="36" t="n">
        <x:v>7</x:v>
      </x:c>
      <x:c r="B20" s="36" t="str">
        <x:v>Integrate approved tables into the macro-enabled master after validation.</x:v>
      </x:c>
      <x:c r="C20" s="36" t="str"/>
      <x:c r="D20" s="36" t="str"/>
      <x:c r="E20" s="36" t="str"/>
      <x:c r="F20" s="36" t="str"/>
      <x:c r="G20" s="36" t="str"/>
      <x:c r="H20" s="36" t="str"/>
      <x:c r="I20" s="36" t="str"/>
    </x:row>
  </x:sheetData>
  <x:mergeCells>
    <x:mergeCell ref="A1:I1"/>
    <x:mergeCell ref="A2:I2"/>
    <x:mergeCell ref="A4:I4"/>
    <x:mergeCell ref="A13:I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13" hidden="0" customWidth="1"/>
    <x:col min="5" max="5" width="16" hidden="0" customWidth="1"/>
    <x:col min="6" max="6" width="24" hidden="0" customWidth="1"/>
    <x:col min="7" max="7" width="18" hidden="0" customWidth="1"/>
    <x:col min="8" max="8" width="18" hidden="0" customWidth="1"/>
    <x:col min="9" max="9" width="15" hidden="0" customWidth="1"/>
    <x:col min="10" max="10" width="38" hidden="0" customWidth="1"/>
  </x:cols>
  <x:sheetData>
    <x:row r="1" ht="34" customHeight="1">
      <x:c r="A1" s="3" t="str">
        <x:v>TELEMETRY DIAGNOSIS — SEED 12345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9" customHeight="1">
      <x:c r="A2" s="57" t="str">
        <x:v>Mode: Story | 50 runs per matchup | 105 matchups | 45 warnings. The failures are systemic rather than a single weak class.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25" customHeight="1">
      <x:c r="A4" s="58" t="str">
        <x:v>Class</x:v>
      </x:c>
      <x:c r="B4" s="59" t="str">
        <x:v>Win rate</x:v>
      </x:c>
      <x:c r="C4" s="59" t="str">
        <x:v>Average turns</x:v>
      </x:c>
      <x:c r="D4" s="59" t="str">
        <x:v>Hit rate</x:v>
      </x:c>
      <x:c r="E4" s="59" t="str">
        <x:v>Armour damage</x:v>
      </x:c>
      <x:c r="F4" s="59" t="str">
        <x:v>Health damage</x:v>
      </x:c>
      <x:c r="G4" s="59" t="str">
        <x:v>Story target low</x:v>
      </x:c>
      <x:c r="H4" s="59" t="str">
        <x:v>Story target high</x:v>
      </x:c>
      <x:c r="I4" s="59" t="str">
        <x:v>Win-rate result</x:v>
      </x:c>
      <x:c r="J4" s="60" t="str">
        <x:v>Primary reading</x:v>
      </x:c>
    </x:row>
    <x:row r="5">
      <x:c r="A5" s="34" t="str">
        <x:v>Knight</x:v>
      </x:c>
      <x:c r="B5" s="37" t="n">
        <x:v>0.14</x:v>
      </x:c>
      <x:c r="C5" s="34" t="n">
        <x:v>4.24</x:v>
      </x:c>
      <x:c r="D5" s="37" t="n">
        <x:v>0.751</x:v>
      </x:c>
      <x:c r="E5" s="34" t="n">
        <x:v>6</x:v>
      </x:c>
      <x:c r="F5" s="34" t="n">
        <x:v>15.32</x:v>
      </x:c>
      <x:c r="G5" s="40" t="n">
        <x:v>0.65</x:v>
      </x:c>
      <x:c r="H5" s="40" t="n">
        <x:v>0.8</x:v>
      </x:c>
      <x:c r="I5" s="34" t="str">
        <x:f>IF(AND(B5&gt;=G5,B5&lt;=H5),"PASS","FAIL")</x:f>
        <x:v>FAIL</x:v>
      </x:c>
      <x:c r="J5" s="34" t="str">
        <x:v>Underpowered starter</x:v>
      </x:c>
    </x:row>
    <x:row r="6">
      <x:c r="A6" s="35" t="str">
        <x:v>Rogue</x:v>
      </x:c>
      <x:c r="B6" s="38" t="n">
        <x:v>0</x:v>
      </x:c>
      <x:c r="C6" s="35" t="n">
        <x:v>2.84</x:v>
      </x:c>
      <x:c r="D6" s="38" t="n">
        <x:v>0.847</x:v>
      </x:c>
      <x:c r="E6" s="35" t="n">
        <x:v>5.6</x:v>
      </x:c>
      <x:c r="F6" s="35" t="n">
        <x:v>2.98</x:v>
      </x:c>
      <x:c r="G6" s="41" t="n">
        <x:v>0.65</x:v>
      </x:c>
      <x:c r="H6" s="41" t="n">
        <x:v>0.8</x:v>
      </x:c>
      <x:c r="I6" s="35" t="str">
        <x:f>IF(AND(B6&gt;=G6,B6&lt;=H6),"PASS","FAIL")</x:f>
        <x:v>FAIL</x:v>
      </x:c>
      <x:c r="J6" s="35" t="str">
        <x:v>Catastrophic durability/damage failure</x:v>
      </x:c>
    </x:row>
    <x:row r="7">
      <x:c r="A7" s="35" t="str">
        <x:v>Mage</x:v>
      </x:c>
      <x:c r="B7" s="38" t="n">
        <x:v>0.08</x:v>
      </x:c>
      <x:c r="C7" s="35" t="n">
        <x:v>3.1</x:v>
      </x:c>
      <x:c r="D7" s="38" t="n">
        <x:v>0.821</x:v>
      </x:c>
      <x:c r="E7" s="35" t="n">
        <x:v>0</x:v>
      </x:c>
      <x:c r="F7" s="35" t="n">
        <x:v>11.38</x:v>
      </x:c>
      <x:c r="G7" s="41" t="n">
        <x:v>0.65</x:v>
      </x:c>
      <x:c r="H7" s="41" t="n">
        <x:v>0.8</x:v>
      </x:c>
      <x:c r="I7" s="35" t="str">
        <x:f>IF(AND(B7&gt;=G7,B7&lt;=H7),"PASS","FAIL")</x:f>
        <x:v>FAIL</x:v>
      </x:c>
      <x:c r="J7" s="35" t="str">
        <x:v>Dies before magic plan develops</x:v>
      </x:c>
    </x:row>
    <x:row r="8">
      <x:c r="A8" s="35" t="str">
        <x:v>Siren</x:v>
      </x:c>
      <x:c r="B8" s="38" t="n">
        <x:v>0.02</x:v>
      </x:c>
      <x:c r="C8" s="35" t="n">
        <x:v>2.96</x:v>
      </x:c>
      <x:c r="D8" s="38" t="n">
        <x:v>0.789</x:v>
      </x:c>
      <x:c r="E8" s="35" t="n">
        <x:v>0</x:v>
      </x:c>
      <x:c r="F8" s="35" t="n">
        <x:v>9.52</x:v>
      </x:c>
      <x:c r="G8" s="41" t="n">
        <x:v>0.65</x:v>
      </x:c>
      <x:c r="H8" s="41" t="n">
        <x:v>0.8</x:v>
      </x:c>
      <x:c r="I8" s="35" t="str">
        <x:f>IF(AND(B8&gt;=G8,B8&lt;=H8),"PASS","FAIL")</x:f>
        <x:v>FAIL</x:v>
      </x:c>
      <x:c r="J8" s="35" t="str">
        <x:v>Control never comes online</x:v>
      </x:c>
    </x:row>
    <x:row r="9">
      <x:c r="A9" s="35" t="str">
        <x:v>Inquisitor</x:v>
      </x:c>
      <x:c r="B9" s="38" t="n">
        <x:v>0.18</x:v>
      </x:c>
      <x:c r="C9" s="35" t="n">
        <x:v>4.24</x:v>
      </x:c>
      <x:c r="D9" s="38" t="n">
        <x:v>0.783</x:v>
      </x:c>
      <x:c r="E9" s="35" t="n">
        <x:v>0</x:v>
      </x:c>
      <x:c r="F9" s="35" t="n">
        <x:v>15.24</x:v>
      </x:c>
      <x:c r="G9" s="41" t="n">
        <x:v>0.65</x:v>
      </x:c>
      <x:c r="H9" s="41" t="n">
        <x:v>0.8</x:v>
      </x:c>
      <x:c r="I9" s="35" t="str">
        <x:f>IF(AND(B9&gt;=G9,B9&lt;=H9),"PASS","FAIL")</x:f>
        <x:v>FAIL</x:v>
      </x:c>
      <x:c r="J9" s="35" t="str">
        <x:v>Best result still far below target</x:v>
      </x:c>
    </x:row>
    <x:row r="10">
      <x:c r="A10" s="35" t="str">
        <x:v>Bard</x:v>
      </x:c>
      <x:c r="B10" s="38" t="n">
        <x:v>0.06</x:v>
      </x:c>
      <x:c r="C10" s="35" t="n">
        <x:v>3.78</x:v>
      </x:c>
      <x:c r="D10" s="38" t="n">
        <x:v>0.793</x:v>
      </x:c>
      <x:c r="E10" s="35" t="n">
        <x:v>0</x:v>
      </x:c>
      <x:c r="F10" s="35" t="n">
        <x:v>13.52</x:v>
      </x:c>
      <x:c r="G10" s="41" t="n">
        <x:v>0.65</x:v>
      </x:c>
      <x:c r="H10" s="41" t="n">
        <x:v>0.8</x:v>
      </x:c>
      <x:c r="I10" s="35" t="str">
        <x:f>IF(AND(B10&gt;=G10,B10&lt;=H10),"PASS","FAIL")</x:f>
        <x:v>FAIL</x:v>
      </x:c>
      <x:c r="J10" s="35" t="str">
        <x:v>Hybrid split is not paying off</x:v>
      </x:c>
    </x:row>
    <x:row r="11">
      <x:c r="A11" s="36" t="str">
        <x:v>Brute</x:v>
      </x:c>
      <x:c r="B11" s="39" t="n">
        <x:v>0.16</x:v>
      </x:c>
      <x:c r="C11" s="36" t="n">
        <x:v>4.72</x:v>
      </x:c>
      <x:c r="D11" s="39" t="n">
        <x:v>0.672</x:v>
      </x:c>
      <x:c r="E11" s="36" t="n">
        <x:v>6</x:v>
      </x:c>
      <x:c r="F11" s="36" t="n">
        <x:v>14.76</x:v>
      </x:c>
      <x:c r="G11" s="42" t="n">
        <x:v>0.65</x:v>
      </x:c>
      <x:c r="H11" s="42" t="n">
        <x:v>0.8</x:v>
      </x:c>
      <x:c r="I11" s="36" t="str">
        <x:f>IF(AND(B11&gt;=G11,B11&lt;=H11),"PASS","FAIL")</x:f>
        <x:v>FAIL</x:v>
      </x:c>
      <x:c r="J11" s="36" t="str">
        <x:v>Durability cannot overcome low reliability</x:v>
      </x:c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</x:row>
    <x:row r="13" ht="24" customHeight="1">
      <x:c r="A13" s="13" t="str">
        <x:v>SNAPSHOT CALCULATIONS</x:v>
      </x:c>
      <x:c r="B13" s="14"/>
      <x:c r="C13" s="14"/>
      <x:c r="D13" s="14"/>
      <x:c r="E13" s="14"/>
      <x:c r="F13" s="14"/>
      <x:c r="G13" s="14"/>
      <x:c r="H13" s="14"/>
      <x:c r="I13" s="14"/>
      <x:c r="J13" s="15"/>
    </x:row>
    <x:row r="14" ht="25" customHeight="1">
      <x:c r="A14" s="58" t="str">
        <x:v>Metric</x:v>
      </x:c>
      <x:c r="B14" s="59" t="str">
        <x:v>Source value / formula</x:v>
      </x:c>
      <x:c r="C14" s="59" t="str">
        <x:v>Result</x:v>
      </x:c>
      <x:c r="D14" s="60" t="str">
        <x:v>Interpretation</x:v>
      </x:c>
      <x:c r="E14" s="27"/>
      <x:c r="F14" s="58" t="str">
        <x:v>Raw counter</x:v>
      </x:c>
      <x:c r="G14" s="60" t="str">
        <x:v>Value</x:v>
      </x:c>
      <x:c r="H14" s="27"/>
      <x:c r="I14" s="27"/>
      <x:c r="J14" s="27"/>
    </x:row>
    <x:row r="15">
      <x:c r="A15" s="34" t="str">
        <x:v>Total attack attempts</x:v>
      </x:c>
      <x:c r="B15" s="34" t="str">
        <x:v>Hits + Precision misses + Dodges</x:v>
      </x:c>
      <x:c r="C15" s="34" t="n">
        <x:f>SUM(G15:G17)</x:f>
        <x:v>52929</x:v>
      </x:c>
      <x:c r="D15" s="34" t="str"/>
      <x:c r="E15" s="27"/>
      <x:c r="F15" s="34" t="str">
        <x:v>Hits</x:v>
      </x:c>
      <x:c r="G15" s="34" t="n">
        <x:v>37672</x:v>
      </x:c>
      <x:c r="H15" s="27"/>
      <x:c r="I15" s="27"/>
      <x:c r="J15" s="27"/>
    </x:row>
    <x:row r="16">
      <x:c r="A16" s="35" t="str">
        <x:v>Landed-hit rate</x:v>
      </x:c>
      <x:c r="B16" s="35" t="str">
        <x:v>Hits ÷ attempts</x:v>
      </x:c>
      <x:c r="C16" s="38" t="n">
        <x:f>G15/C15</x:f>
        <x:v>0.7117459237846927</x:v>
      </x:c>
      <x:c r="D16" s="35" t="str"/>
      <x:c r="E16" s="27"/>
      <x:c r="F16" s="35" t="str">
        <x:v>Precision misses</x:v>
      </x:c>
      <x:c r="G16" s="35" t="n">
        <x:v>9778</x:v>
      </x:c>
      <x:c r="H16" s="27"/>
      <x:c r="I16" s="27"/>
      <x:c r="J16" s="27"/>
    </x:row>
    <x:row r="17">
      <x:c r="A17" s="35" t="str">
        <x:v>Precision-miss share</x:v>
      </x:c>
      <x:c r="B17" s="35" t="str">
        <x:v>Precision misses ÷ attempts</x:v>
      </x:c>
      <x:c r="C17" s="38" t="n">
        <x:f>G16/C15</x:f>
        <x:v>0.18473804530597593</x:v>
      </x:c>
      <x:c r="D17" s="35" t="str"/>
      <x:c r="E17" s="27"/>
      <x:c r="F17" s="35" t="str">
        <x:v>Dodges</x:v>
      </x:c>
      <x:c r="G17" s="35" t="n">
        <x:v>5479</x:v>
      </x:c>
      <x:c r="H17" s="27"/>
      <x:c r="I17" s="27"/>
      <x:c r="J17" s="27"/>
    </x:row>
    <x:row r="18">
      <x:c r="A18" s="35" t="str">
        <x:v>Dodge share</x:v>
      </x:c>
      <x:c r="B18" s="35" t="str">
        <x:v>Dodges ÷ attempts</x:v>
      </x:c>
      <x:c r="C18" s="38" t="n">
        <x:f>G17/C15</x:f>
        <x:v>0.10351603090933137</x:v>
      </x:c>
      <x:c r="D18" s="35" t="str"/>
      <x:c r="E18" s="27"/>
      <x:c r="F18" s="35" t="str">
        <x:v>Criticals</x:v>
      </x:c>
      <x:c r="G18" s="35" t="n">
        <x:v>3618</x:v>
      </x:c>
      <x:c r="H18" s="27"/>
      <x:c r="I18" s="27"/>
      <x:c r="J18" s="27"/>
    </x:row>
    <x:row r="19">
      <x:c r="A19" s="35" t="str">
        <x:v>Critical rate on hits</x:v>
      </x:c>
      <x:c r="B19" s="35" t="str">
        <x:v>Criticals ÷ hits</x:v>
      </x:c>
      <x:c r="C19" s="38" t="n">
        <x:f>G18/G15</x:f>
        <x:v>0.09603949883202378</x:v>
      </x:c>
      <x:c r="D19" s="35" t="str"/>
      <x:c r="E19" s="27"/>
      <x:c r="F19" s="35" t="str">
        <x:v>Health damage</x:v>
      </x:c>
      <x:c r="G19" s="35" t="n">
        <x:v>187705.7</x:v>
      </x:c>
      <x:c r="H19" s="27"/>
      <x:c r="I19" s="27"/>
      <x:c r="J19" s="27"/>
    </x:row>
    <x:row r="20">
      <x:c r="A20" s="35" t="str">
        <x:v>Total recorded damage</x:v>
      </x:c>
      <x:c r="B20" s="35" t="str">
        <x:v>Health + Armour + Magic Armour</x:v>
      </x:c>
      <x:c r="C20" s="35" t="n">
        <x:f>SUM(G19:G21)</x:f>
        <x:v>285609.5</x:v>
      </x:c>
      <x:c r="D20" s="35" t="str"/>
      <x:c r="E20" s="27"/>
      <x:c r="F20" s="35" t="str">
        <x:v>Armour damage</x:v>
      </x:c>
      <x:c r="G20" s="35" t="n">
        <x:v>66854</x:v>
      </x:c>
      <x:c r="H20" s="27"/>
      <x:c r="I20" s="27"/>
      <x:c r="J20" s="27"/>
    </x:row>
    <x:row r="21">
      <x:c r="A21" s="35" t="str">
        <x:v>Protection damage share</x:v>
      </x:c>
      <x:c r="B21" s="35" t="str">
        <x:v>(Armour + Magic Armour) ÷ all damage</x:v>
      </x:c>
      <x:c r="C21" s="38" t="n">
        <x:f>SUM(G20:G21)/C20</x:f>
        <x:v>0.3427890178723047</x:v>
      </x:c>
      <x:c r="D21" s="35" t="str"/>
      <x:c r="E21" s="27"/>
      <x:c r="F21" s="35" t="str">
        <x:v>Magic Armour damage</x:v>
      </x:c>
      <x:c r="G21" s="35" t="n">
        <x:v>31049.8</x:v>
      </x:c>
      <x:c r="H21" s="27"/>
      <x:c r="I21" s="27"/>
      <x:c r="J21" s="27"/>
    </x:row>
    <x:row r="22">
      <x:c r="A22" s="36" t="str">
        <x:v>Combined starter win rate</x:v>
      </x:c>
      <x:c r="B22" s="36" t="str">
        <x:v>Average of seven displayed class rates</x:v>
      </x:c>
      <x:c r="C22" s="39" t="n">
        <x:f>AVERAGE(B5:B11)</x:f>
        <x:v>0.09142857142857143</x:v>
      </x:c>
      <x:c r="D22" s="36" t="str"/>
      <x:c r="E22" s="27"/>
      <x:c r="F22" s="36" t="str">
        <x:v>Fortify / Ward / Ailments</x:v>
      </x:c>
      <x:c r="G22" s="36" t="str">
        <x:v>0 / 0 / 0</x:v>
      </x:c>
      <x:c r="H22" s="27"/>
      <x:c r="I22" s="27"/>
      <x:c r="J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</x:row>
    <x:row r="24" ht="24" customHeight="1">
      <x:c r="A24" s="27"/>
      <x:c r="B24" s="27"/>
      <x:c r="C24" s="27"/>
      <x:c r="D24" s="27"/>
      <x:c r="E24" s="27"/>
      <x:c r="F24" s="13" t="str">
        <x:v>ROOT-CAUSE PRIORITY</x:v>
      </x:c>
      <x:c r="G24" s="14"/>
      <x:c r="H24" s="14"/>
      <x:c r="I24" s="14"/>
      <x:c r="J24" s="15"/>
    </x:row>
    <x:row r="25">
      <x:c r="A25" s="27"/>
      <x:c r="B25" s="27"/>
      <x:c r="C25" s="27"/>
      <x:c r="D25" s="27"/>
      <x:c r="E25" s="27"/>
      <x:c r="F25" s="34" t="n">
        <x:v>1</x:v>
      </x:c>
      <x:c r="G25" s="34" t="str">
        <x:v>Progression mismatch / Story enemy budget</x:v>
      </x:c>
      <x:c r="H25" s="34" t="str">
        <x:v>All classes fail together; fix before class coefficients.</x:v>
      </x:c>
      <x:c r="I25" s="34" t="str"/>
      <x:c r="J25" s="34" t="str"/>
    </x:row>
    <x:row r="26">
      <x:c r="A26" s="27"/>
      <x:c r="B26" s="27"/>
      <x:c r="C26" s="27"/>
      <x:c r="D26" s="27"/>
      <x:c r="E26" s="27"/>
      <x:c r="F26" s="35" t="n">
        <x:v>2</x:v>
      </x:c>
      <x:c r="G26" s="35" t="str">
        <x:v>Current Health and size formula</x:v>
      </x:c>
      <x:c r="H26" s="35" t="str">
        <x:v>Small birds die before their accuracy can produce value.</x:v>
      </x:c>
      <x:c r="I26" s="35" t="str"/>
      <x:c r="J26" s="35" t="str"/>
    </x:row>
    <x:row r="27">
      <x:c r="A27" s="27"/>
      <x:c r="B27" s="27"/>
      <x:c r="C27" s="27"/>
      <x:c r="D27" s="27"/>
      <x:c r="E27" s="27"/>
      <x:c r="F27" s="35" t="n">
        <x:v>3</x:v>
      </x:c>
      <x:c r="G27" s="35" t="str">
        <x:v>Offensive-stat scaling</x:v>
      </x:c>
      <x:c r="H27" s="35" t="str">
        <x:v>Level gains cannot compete with weapon rarity.</x:v>
      </x:c>
      <x:c r="I27" s="35" t="str"/>
      <x:c r="J27" s="35" t="str"/>
    </x:row>
    <x:row r="28">
      <x:c r="A28" s="27"/>
      <x:c r="B28" s="27"/>
      <x:c r="C28" s="27"/>
      <x:c r="D28" s="27"/>
      <x:c r="E28" s="27"/>
      <x:c r="F28" s="35" t="n">
        <x:v>4</x:v>
      </x:c>
      <x:c r="G28" s="35" t="str">
        <x:v>Starter kit coverage</x:v>
      </x:c>
      <x:c r="H28" s="35" t="str">
        <x:v>No Fortify, Ward or successful ailments were observed.</x:v>
      </x:c>
      <x:c r="I28" s="35" t="str"/>
      <x:c r="J28" s="35" t="str"/>
    </x:row>
    <x:row r="29">
      <x:c r="A29" s="27"/>
      <x:c r="B29" s="27"/>
      <x:c r="C29" s="27"/>
      <x:c r="D29" s="27"/>
      <x:c r="E29" s="27"/>
      <x:c r="F29" s="35" t="n">
        <x:v>5</x:v>
      </x:c>
      <x:c r="G29" s="35" t="str">
        <x:v>Magic pool hard walls</x:v>
      </x:c>
      <x:c r="H29" s="35" t="str">
        <x:v>Late Mage/Siren high-Magic-Armour tests run near 10–11 turns.</x:v>
      </x:c>
      <x:c r="I29" s="35" t="str"/>
      <x:c r="J29" s="35" t="str"/>
    </x:row>
    <x:row r="30">
      <x:c r="A30" s="27"/>
      <x:c r="B30" s="27"/>
      <x:c r="C30" s="27"/>
      <x:c r="D30" s="27"/>
      <x:c r="E30" s="27"/>
      <x:c r="F30" s="36" t="n">
        <x:v>6</x:v>
      </x:c>
      <x:c r="G30" s="36" t="str">
        <x:v>Class-specific pass</x:v>
      </x:c>
      <x:c r="H30" s="36" t="str">
        <x:v>Only after foundations are stable.</x:v>
      </x:c>
      <x:c r="I30" s="36" t="str"/>
      <x:c r="J30" s="36" t="str"/>
    </x:row>
  </x:sheetData>
  <x:mergeCells>
    <x:mergeCell ref="A1:J1"/>
    <x:mergeCell ref="A2:J2"/>
    <x:mergeCell ref="A13:J13"/>
    <x:mergeCell ref="F24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46" hidden="0" customWidth="1"/>
    <x:col min="4" max="4" width="34" hidden="0" customWidth="1"/>
    <x:col min="5" max="5" width="34" hidden="0" customWidth="1"/>
    <x:col min="6" max="6" width="37" hidden="0" customWidth="1"/>
    <x:col min="7" max="7" width="38" hidden="0" customWidth="1"/>
    <x:col min="8" max="8" width="13" hidden="0" customWidth="1"/>
  </x:cols>
  <x:sheetData>
    <x:row r="1" ht="34" customHeight="1">
      <x:c r="A1" s="3" t="str">
        <x:v>V2 CANONICAL COMBAT RULES</x:v>
      </x:c>
      <x:c r="B1" s="56"/>
      <x:c r="C1" s="56"/>
      <x:c r="D1" s="56"/>
      <x:c r="E1" s="56"/>
      <x:c r="F1" s="56"/>
      <x:c r="G1" s="56"/>
      <x:c r="H1" s="56"/>
    </x:row>
    <x:row r="2" ht="29" customHeight="1">
      <x:c r="A2" s="57" t="str">
        <x:v>One shared ruleset for player birds and enemies. Difficulty is visible; ordinary actions have no cooldown.</x:v>
      </x:c>
      <x:c r="B2" s="57"/>
      <x:c r="C2" s="57"/>
      <x:c r="D2" s="57"/>
      <x:c r="E2" s="57"/>
      <x:c r="F2" s="57"/>
      <x:c r="G2" s="57"/>
      <x:c r="H2" s="5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5" customHeight="1">
      <x:c r="A4" s="58" t="str">
        <x:v>ID</x:v>
      </x:c>
      <x:c r="B4" s="59" t="str">
        <x:v>Area</x:v>
      </x:c>
      <x:c r="C4" s="59" t="str">
        <x:v>Canonical v2 rule</x:v>
      </x:c>
      <x:c r="D4" s="59" t="str">
        <x:v>Formula / value</x:v>
      </x:c>
      <x:c r="E4" s="59" t="str">
        <x:v>Replaces</x:v>
      </x:c>
      <x:c r="F4" s="59" t="str">
        <x:v>Reason</x:v>
      </x:c>
      <x:c r="G4" s="59" t="str">
        <x:v>Runtime requirement</x:v>
      </x:c>
      <x:c r="H4" s="60" t="str">
        <x:v>State</x:v>
      </x:c>
    </x:row>
    <x:row r="5">
      <x:c r="A5" s="34" t="str">
        <x:v>V2-001</x:v>
      </x:c>
      <x:c r="B5" s="34" t="str">
        <x:v>Format</x:v>
      </x:c>
      <x:c r="C5" s="34" t="str">
        <x:v>Sequential 1v1; a new enemy enters only after defeat cleanup.</x:v>
      </x:c>
      <x:c r="D5" s="34" t="str">
        <x:v>One active bird per side</x:v>
      </x:c>
      <x:c r="E5" s="34" t="str">
        <x:v>Unchanged</x:v>
      </x:c>
      <x:c r="F5" s="34" t="str">
        <x:v>Readable targeting and statuses</x:v>
      </x:c>
      <x:c r="G5" s="34" t="str">
        <x:v>Inactive birds do not tick</x:v>
      </x:c>
      <x:c r="H5" s="34" t="str">
        <x:v>Locked</x:v>
      </x:c>
    </x:row>
    <x:row r="6">
      <x:c r="A6" s="35" t="str">
        <x:v>V2-002</x:v>
      </x:c>
      <x:c r="B6" s="35" t="str">
        <x:v>Action Points</x:v>
      </x:c>
      <x:c r="C6" s="35" t="str">
        <x:v>All birds start at 4 AP, recover 3 at turn start and hold at most 6.</x:v>
      </x:c>
      <x:c r="D6" s="35" t="str">
        <x:v>MIN(6, AP + 3)</x:v>
      </x:c>
      <x:c r="E6" s="35" t="str">
        <x:v>EN terminology may map to AP</x:v>
      </x:c>
      <x:c r="F6" s="35" t="str">
        <x:v>Universal economy avoids class power multiplication</x:v>
      </x:c>
      <x:c r="G6" s="35" t="str">
        <x:v>No species base AP differences</x:v>
      </x:c>
      <x:c r="H6" s="35" t="str">
        <x:v>Locked</x:v>
      </x:c>
    </x:row>
    <x:row r="7">
      <x:c r="A7" s="35" t="str">
        <x:v>V2-003</x:v>
      </x:c>
      <x:c r="B7" s="35" t="str">
        <x:v>Actions</x:v>
      </x:c>
      <x:c r="C7" s="35" t="str">
        <x:v>Use any affordable legal action; repeat actions unless explicitly once-per-turn.</x:v>
      </x:c>
      <x:c r="D7" s="35" t="str">
        <x:v>Pay AP on declaration</x:v>
      </x:c>
      <x:c r="E7" s="35" t="str">
        <x:v>Cooldown-led restriction</x:v>
      </x:c>
      <x:c r="F7" s="35" t="str">
        <x:v>AP is the primary limiter</x:v>
      </x:c>
      <x:c r="G7" s="35" t="str">
        <x:v>Misses still spend AP</x:v>
      </x:c>
      <x:c r="H7" s="35" t="str">
        <x:v>Locked</x:v>
      </x:c>
    </x:row>
    <x:row r="8">
      <x:c r="A8" s="35" t="str">
        <x:v>V2-004</x:v>
      </x:c>
      <x:c r="B8" s="35" t="str">
        <x:v>Cooldowns</x:v>
      </x:c>
      <x:c r="C8" s="35" t="str">
        <x:v>Ordinary attacks, weapon skills, restoration, Fortify and Ward have no cooldown.</x:v>
      </x:c>
      <x:c r="D8" s="35" t="str">
        <x:v>Cooldown = 0</x:v>
      </x:c>
      <x:c r="E8" s="35" t="str">
        <x:v>1–4 turn routine cooldowns</x:v>
      </x:c>
      <x:c r="F8" s="35" t="str">
        <x:v>Fewer timers and AP already controls cadence</x:v>
      </x:c>
      <x:c r="G8" s="35" t="str">
        <x:v>Retain once-per-turn/per-battle flags</x:v>
      </x:c>
      <x:c r="H8" s="35" t="str">
        <x:v>Locked</x:v>
      </x:c>
    </x:row>
    <x:row r="9">
      <x:c r="A9" s="35" t="str">
        <x:v>V2-005</x:v>
      </x:c>
      <x:c r="B9" s="35" t="str">
        <x:v>Ultimate</x:v>
      </x:c>
      <x:c r="C9" s="35" t="str">
        <x:v>Ultimate costs 6 AP and requires 100 Ultimate Meter.</x:v>
      </x:c>
      <x:c r="D9" s="35" t="str">
        <x:v>6 AP + full meter</x:v>
      </x:c>
      <x:c r="E9" s="35" t="str">
        <x:v>Cooldown or AP-only Ultimate</x:v>
      </x:c>
      <x:c r="F9" s="35" t="str">
        <x:v>Prevents every-second-turn Ultimate loops</x:v>
      </x:c>
      <x:c r="G9" s="35" t="str">
        <x:v>Meter gained only by landed direct hits</x:v>
      </x:c>
      <x:c r="H9" s="35" t="str">
        <x:v>Locked</x:v>
      </x:c>
    </x:row>
    <x:row r="10">
      <x:c r="A10" s="35" t="str">
        <x:v>V2-006</x:v>
      </x:c>
      <x:c r="B10" s="35" t="str">
        <x:v>Attack Power</x:v>
      </x:c>
      <x:c r="C10" s="35" t="str">
        <x:v>Weapon roll and developed offensive stat both matter.</x:v>
      </x:c>
      <x:c r="D10" s="35" t="str">
        <x:v>Weapon Roll + 2 × Scaling Stat</x:v>
      </x:c>
      <x:c r="E10" s="35" t="str">
        <x:v>Weapon × (Power + Stat×2.5%)</x:v>
      </x:c>
      <x:c r="F10" s="35" t="str">
        <x:v>A +1 stat increase is visible</x:v>
      </x:c>
      <x:c r="G10" s="35" t="str">
        <x:v>Hybrid actions declare both contributions</x:v>
      </x:c>
      <x:c r="H10" s="35" t="str">
        <x:v>Locked</x:v>
      </x:c>
    </x:row>
    <x:row r="11">
      <x:c r="A11" s="35" t="str">
        <x:v>V2-007</x:v>
      </x:c>
      <x:c r="B11" s="35" t="str">
        <x:v>Health</x:v>
      </x:c>
      <x:c r="C11" s="35" t="str">
        <x:v>Compressed size base plus flat Vitality and level Health.</x:v>
      </x:c>
      <x:c r="D11" s="35" t="str">
        <x:v>Size Base + 5×VIT + 5×(Level−1)</x:v>
      </x:c>
      <x:c r="E11" s="35" t="str">
        <x:v>8–18 size base + 3×VIT</x:v>
      </x:c>
      <x:c r="F11" s="35" t="str">
        <x:v>Stops size from deciding the match</x:v>
      </x:c>
      <x:c r="G11" s="35" t="str">
        <x:v>Equipment does not multiply core Health</x:v>
      </x:c>
      <x:c r="H11" s="35" t="str">
        <x:v>Prototype</x:v>
      </x:c>
    </x:row>
    <x:row r="12">
      <x:c r="A12" s="35" t="str">
        <x:v>V2-008</x:v>
      </x:c>
      <x:c r="B12" s="35" t="str">
        <x:v>Hit roll</x:v>
      </x:c>
      <x:c r="C12" s="35" t="str">
        <x:v>Use one roll after combining Precision and Dodge.</x:v>
      </x:c>
      <x:c r="D12" s="35" t="str">
        <x:v>CLAMP(Precision − Dodge,60%,95%)</x:v>
      </x:c>
      <x:c r="E12" s="35" t="str">
        <x:v>Separate Precision miss then Dodge roll</x:v>
      </x:c>
      <x:c r="F12" s="35" t="str">
        <x:v>Avoids double avoidance and excessive misses</x:v>
      </x:c>
      <x:c r="G12" s="35" t="str">
        <x:v>Telemetry may classify one failed roll</x:v>
      </x:c>
      <x:c r="H12" s="35" t="str">
        <x:v>Locked</x:v>
      </x:c>
    </x:row>
    <x:row r="13">
      <x:c r="A13" s="35" t="str">
        <x:v>V2-009</x:v>
      </x:c>
      <x:c r="B13" s="35" t="str">
        <x:v>Defence</x:v>
      </x:c>
      <x:c r="C13" s="35" t="str">
        <x:v>Guard/Resolve retain diminishing mitigation.</x:v>
      </x:c>
      <x:c r="D13" s="35" t="str">
        <x:v>Rating=Stat×2.5; Rating/(100+Rating)</x:v>
      </x:c>
      <x:c r="E13" s="35" t="str">
        <x:v>Unchanged</x:v>
      </x:c>
      <x:c r="F13" s="35" t="str">
        <x:v>Keeps defensive stats bounded</x:v>
      </x:c>
      <x:c r="G13" s="35" t="str">
        <x:v>75% absolute cap</x:v>
      </x:c>
      <x:c r="H13" s="35" t="str">
        <x:v>Locked</x:v>
      </x:c>
    </x:row>
    <x:row r="14">
      <x:c r="A14" s="35" t="str">
        <x:v>V2-010</x:v>
      </x:c>
      <x:c r="B14" s="35" t="str">
        <x:v>Protection</x:v>
      </x:c>
      <x:c r="C14" s="35" t="str">
        <x:v>Physical→Armour; Magic→Magic Armour; overflow reaches Health.</x:v>
      </x:c>
      <x:c r="D14" s="35" t="str">
        <x:v>Post-mitigation damage</x:v>
      </x:c>
      <x:c r="E14" s="35" t="str">
        <x:v>Unchanged</x:v>
      </x:c>
      <x:c r="F14" s="35" t="str">
        <x:v>Status gate and loadout counterplay</x:v>
      </x:c>
      <x:c r="G14" s="35" t="str">
        <x:v>Hybrid portions resolve separately</x:v>
      </x:c>
      <x:c r="H14" s="35" t="str">
        <x:v>Locked</x:v>
      </x:c>
    </x:row>
    <x:row r="15">
      <x:c r="A15" s="35" t="str">
        <x:v>V2-011</x:v>
      </x:c>
      <x:c r="B15" s="35" t="str">
        <x:v>Rounding</x:v>
      </x:c>
      <x:c r="C15" s="35" t="str">
        <x:v>Keep decimals through the hit; round once at final damage.</x:v>
      </x:c>
      <x:c r="D15" s="35" t="str">
        <x:v>MAX(1,ROUND(final))</x:v>
      </x:c>
      <x:c r="E15" s="35" t="str">
        <x:v>Repeated/intermediate rounding</x:v>
      </x:c>
      <x:c r="F15" s="35" t="str">
        <x:v>Visible stat increases survive the pipeline</x:v>
      </x:c>
      <x:c r="G15" s="35" t="str">
        <x:v>One minimum per action, not per cosmetic hit</x:v>
      </x:c>
      <x:c r="H15" s="35" t="str">
        <x:v>Locked</x:v>
      </x:c>
    </x:row>
    <x:row r="16">
      <x:c r="A16" s="35" t="str">
        <x:v>V2-012</x:v>
      </x:c>
      <x:c r="B16" s="35" t="str">
        <x:v>Target</x:v>
      </x:c>
      <x:c r="C16" s="35" t="str">
        <x:v>Standard equal-budget combat normally lasts 5–7 rounds.</x:v>
      </x:c>
      <x:c r="D16" s="35" t="str">
        <x:v>Median 6</x:v>
      </x:c>
      <x:c r="E16" s="35" t="str">
        <x:v>Current 1.6–4.7 problem cases</x:v>
      </x:c>
      <x:c r="F16" s="35" t="str">
        <x:v>Room for offence, defence and status</x:v>
      </x:c>
      <x:c r="G16" s="35" t="str">
        <x:v>Story target is player-favoured</x:v>
      </x:c>
      <x:c r="H16" s="35" t="str">
        <x:v>Locked</x:v>
      </x:c>
    </x:row>
    <x:row r="17">
      <x:c r="A17" s="36" t="str">
        <x:v>V2-013</x:v>
      </x:c>
      <x:c r="B17" s="36" t="str">
        <x:v>Effect flow</x:v>
      </x:c>
      <x:c r="C17" s="36" t="str">
        <x:v>A paid stat utility normally lasts 3 affected turns. One-turn stat effects must be attached, free, reactive or explicitly exceptional.</x:v>
      </x:c>
      <x:c r="D17" s="36" t="str">
        <x:v>Standard = 3; Grand = 2; next-action = consume or 3-turn expiry</x:v>
      </x:c>
      <x:c r="E17" s="36" t="str">
        <x:v>One-turn maintenance utilities</x:v>
      </x:c>
      <x:c r="F17" s="36" t="str">
        <x:v>Creates setup → payoff → payoff flow</x:v>
      </x:c>
      <x:c r="G17" s="36" t="str">
        <x:v>Reapplication refreshes; it does not stack duration</x:v>
      </x:c>
      <x:c r="H17" s="36" t="str">
        <x:v>Locked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6" hidden="0" customWidth="1"/>
    <x:col min="4" max="4" width="25" hidden="0" customWidth="1"/>
    <x:col min="5" max="5" width="22" hidden="0" customWidth="1"/>
    <x:col min="6" max="6" width="28" hidden="0" customWidth="1"/>
    <x:col min="7" max="7" width="22" hidden="0" customWidth="1"/>
    <x:col min="8" max="8" width="31" hidden="0" customWidth="1"/>
    <x:col min="9" max="9" width="14" hidden="0" customWidth="1"/>
  </x:cols>
  <x:sheetData>
    <x:row r="1" ht="34" customHeight="1">
      <x:c r="A1" s="3" t="str">
        <x:v>AP &amp; SKILL POWER BUDGET</x:v>
      </x:c>
      <x:c r="B1" s="56"/>
      <x:c r="C1" s="56"/>
      <x:c r="D1" s="56"/>
      <x:c r="E1" s="56"/>
      <x:c r="F1" s="56"/>
      <x:c r="G1" s="56"/>
      <x:c r="H1" s="56"/>
      <x:c r="I1" s="56"/>
    </x:row>
    <x:row r="2" ht="29" customHeight="1">
      <x:c r="A2" s="57" t="str">
        <x:v>Damage scales approximately with AP. Expensive actions gain modest efficiency or utility, while their cost naturally limits frequency.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5" customHeight="1">
      <x:c r="A4" s="58" t="str">
        <x:v>AP</x:v>
      </x:c>
      <x:c r="B4" s="59" t="str">
        <x:v>Pure damage coefficient</x:v>
      </x:c>
      <x:c r="C4" s="59" t="str">
        <x:v>Damage per AP</x:v>
      </x:c>
      <x:c r="D4" s="59" t="str">
        <x:v>Utility damage band</x:v>
      </x:c>
      <x:c r="E4" s="59" t="str">
        <x:v>Normal availability</x:v>
      </x:c>
      <x:c r="F4" s="59" t="str">
        <x:v>Repeat control</x:v>
      </x:c>
      <x:c r="G4" s="59" t="str">
        <x:v>Ailment allowance</x:v>
      </x:c>
      <x:c r="H4" s="59" t="str">
        <x:v>Example role</x:v>
      </x:c>
      <x:c r="I4" s="60" t="str">
        <x:v>Cooldown</x:v>
      </x:c>
    </x:row>
    <x:row r="5">
      <x:c r="A5" s="34" t="n">
        <x:v>1</x:v>
      </x:c>
      <x:c r="B5" s="40" t="n">
        <x:v>0.45</x:v>
      </x:c>
      <x:c r="C5" s="40" t="n">
        <x:v>0.45</x:v>
      </x:c>
      <x:c r="D5" s="34" t="str">
        <x:v>0–35%</x:v>
      </x:c>
      <x:c r="E5" s="34" t="str">
        <x:v>Any turn</x:v>
      </x:c>
      <x:c r="F5" s="34" t="str">
        <x:v>Repeatable unless tagged</x:v>
      </x:c>
      <x:c r="G5" s="34" t="str">
        <x:v>0–1 light only</x:v>
      </x:c>
      <x:c r="H5" s="34" t="str">
        <x:v>Basic / quick setup</x:v>
      </x:c>
      <x:c r="I5" s="34" t="str">
        <x:v>None</x:v>
      </x:c>
    </x:row>
    <x:row r="6">
      <x:c r="A6" s="35" t="n">
        <x:v>2</x:v>
      </x:c>
      <x:c r="B6" s="41" t="n">
        <x:v>1</x:v>
      </x:c>
      <x:c r="C6" s="41" t="n">
        <x:v>0.5</x:v>
      </x:c>
      <x:c r="D6" s="35" t="str">
        <x:v>60–85%</x:v>
      </x:c>
      <x:c r="E6" s="35" t="str">
        <x:v>Any turn</x:v>
      </x:c>
      <x:c r="F6" s="35" t="str">
        <x:v>Repeatable</x:v>
      </x:c>
      <x:c r="G6" s="35" t="str">
        <x:v>0–2</x:v>
      </x:c>
      <x:c r="H6" s="35" t="str">
        <x:v>Reliable technique</x:v>
      </x:c>
      <x:c r="I6" s="35" t="str">
        <x:v>None</x:v>
      </x:c>
    </x:row>
    <x:row r="7">
      <x:c r="A7" s="35" t="n">
        <x:v>3</x:v>
      </x:c>
      <x:c r="B7" s="41" t="n">
        <x:v>1.55</x:v>
      </x:c>
      <x:c r="C7" s="41" t="n">
        <x:v>0.517</x:v>
      </x:c>
      <x:c r="D7" s="35" t="str">
        <x:v>95–125%</x:v>
      </x:c>
      <x:c r="E7" s="35" t="str">
        <x:v>Every turn from recovery</x:v>
      </x:c>
      <x:c r="F7" s="35" t="str">
        <x:v>Repeatable</x:v>
      </x:c>
      <x:c r="G7" s="35" t="str">
        <x:v>0–2</x:v>
      </x:c>
      <x:c r="H7" s="35" t="str">
        <x:v>Core strong action</x:v>
      </x:c>
      <x:c r="I7" s="35" t="str">
        <x:v>None</x:v>
      </x:c>
    </x:row>
    <x:row r="8">
      <x:c r="A8" s="35" t="n">
        <x:v>4</x:v>
      </x:c>
      <x:c r="B8" s="41" t="n">
        <x:v>2.15</x:v>
      </x:c>
      <x:c r="C8" s="41" t="n">
        <x:v>0.538</x:v>
      </x:c>
      <x:c r="D8" s="35" t="str">
        <x:v>130–175%</x:v>
      </x:c>
      <x:c r="E8" s="35" t="str">
        <x:v>Requires saved/opening AP</x:v>
      </x:c>
      <x:c r="F8" s="35" t="str">
        <x:v>Repeatable when affordable</x:v>
      </x:c>
      <x:c r="G8" s="35" t="str">
        <x:v>0–2</x:v>
      </x:c>
      <x:c r="H8" s="35" t="str">
        <x:v>Heavy or Fortify/Ward</x:v>
      </x:c>
      <x:c r="I8" s="35" t="str">
        <x:v>None</x:v>
      </x:c>
    </x:row>
    <x:row r="9">
      <x:c r="A9" s="35" t="n">
        <x:v>5</x:v>
      </x:c>
      <x:c r="B9" s="41" t="n">
        <x:v>2.8</x:v>
      </x:c>
      <x:c r="C9" s="41" t="n">
        <x:v>0.56</x:v>
      </x:c>
      <x:c r="D9" s="35" t="str">
        <x:v>175–225%</x:v>
      </x:c>
      <x:c r="E9" s="35" t="str">
        <x:v>Requires banking</x:v>
      </x:c>
      <x:c r="F9" s="35" t="str">
        <x:v>Usually requirement-gated</x:v>
      </x:c>
      <x:c r="G9" s="35" t="str">
        <x:v>0–2</x:v>
      </x:c>
      <x:c r="H9" s="35" t="str">
        <x:v>Signature / dual defence</x:v>
      </x:c>
      <x:c r="I9" s="35" t="str">
        <x:v>None</x:v>
      </x:c>
    </x:row>
    <x:row r="10">
      <x:c r="A10" s="36" t="n">
        <x:v>6</x:v>
      </x:c>
      <x:c r="B10" s="42" t="n">
        <x:v>3.5</x:v>
      </x:c>
      <x:c r="C10" s="42" t="n">
        <x:v>0.583</x:v>
      </x:c>
      <x:c r="D10" s="36" t="str">
        <x:v>220–290%</x:v>
      </x:c>
      <x:c r="E10" s="36" t="str">
        <x:v>Full bank</x:v>
      </x:c>
      <x:c r="F10" s="36" t="str">
        <x:v>Ultimate Meter gate</x:v>
      </x:c>
      <x:c r="G10" s="36" t="str">
        <x:v>Up to 4 only if explicit</x:v>
      </x:c>
      <x:c r="H10" s="36" t="str">
        <x:v>Ultimate</x:v>
      </x:c>
      <x:c r="I10" s="36" t="str">
        <x:v>None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</x:row>
    <x:row r="12" ht="24" customHeight="1">
      <x:c r="A12" s="13" t="str">
        <x:v>WHY LARGE ACTIONS CANNOT BE SPAMMED</x:v>
      </x:c>
      <x:c r="B12" s="14"/>
      <x:c r="C12" s="14"/>
      <x:c r="D12" s="14"/>
      <x:c r="E12" s="14"/>
      <x:c r="F12" s="14"/>
      <x:c r="G12" s="14"/>
      <x:c r="H12" s="14"/>
      <x:c r="I12" s="15"/>
    </x:row>
    <x:row r="13" ht="25" customHeight="1">
      <x:c r="A13" s="58" t="str">
        <x:v>Action used from 4 AP</x:v>
      </x:c>
      <x:c r="B13" s="59" t="str">
        <x:v>AP after action</x:v>
      </x:c>
      <x:c r="C13" s="59" t="str">
        <x:v>Next-turn AP</x:v>
      </x:c>
      <x:c r="D13" s="59" t="str">
        <x:v>Can repeat immediately?</x:v>
      </x:c>
      <x:c r="E13" s="59" t="str">
        <x:v>Best legal follow-up</x:v>
      </x:c>
      <x:c r="F13" s="59" t="str">
        <x:v>Natural cadence</x:v>
      </x:c>
      <x:c r="G13" s="59" t="str">
        <x:v>Extra restriction needed?</x:v>
      </x:c>
      <x:c r="H13" s="59" t="str"/>
      <x:c r="I13" s="60" t="str"/>
    </x:row>
    <x:row r="14">
      <x:c r="A14" s="34" t="str">
        <x:v>3 AP</x:v>
      </x:c>
      <x:c r="B14" s="34" t="n">
        <x:v>1</x:v>
      </x:c>
      <x:c r="C14" s="34" t="n">
        <x:v>4</x:v>
      </x:c>
      <x:c r="D14" s="34" t="str">
        <x:v>Yes</x:v>
      </x:c>
      <x:c r="E14" s="34" t="str">
        <x:v>Another 3 AP action</x:v>
      </x:c>
      <x:c r="F14" s="34" t="str">
        <x:v>Every turn</x:v>
      </x:c>
      <x:c r="G14" s="34" t="str">
        <x:v>No; this is the core action</x:v>
      </x:c>
      <x:c r="H14" s="34" t="str"/>
      <x:c r="I14" s="34" t="str"/>
    </x:row>
    <x:row r="15">
      <x:c r="A15" s="35" t="str">
        <x:v>4 AP</x:v>
      </x:c>
      <x:c r="B15" s="35" t="n">
        <x:v>0</x:v>
      </x:c>
      <x:c r="C15" s="35" t="n">
        <x:v>3</x:v>
      </x:c>
      <x:c r="D15" s="35" t="str">
        <x:v>No</x:v>
      </x:c>
      <x:c r="E15" s="35" t="str">
        <x:v>Use ≤3 AP or bank</x:v>
      </x:c>
      <x:c r="F15" s="35" t="str">
        <x:v>Normally every second turn</x:v>
      </x:c>
      <x:c r="G15" s="35" t="str">
        <x:v>No</x:v>
      </x:c>
      <x:c r="H15" s="35" t="str"/>
      <x:c r="I15" s="35" t="str"/>
    </x:row>
    <x:row r="16">
      <x:c r="A16" s="35" t="str">
        <x:v>5 AP</x:v>
      </x:c>
      <x:c r="B16" s="35" t="str">
        <x:v>Requires prior bank</x:v>
      </x:c>
      <x:c r="C16" s="35" t="str">
        <x:v>0–1 after use</x:v>
      </x:c>
      <x:c r="D16" s="35" t="str">
        <x:v>No</x:v>
      </x:c>
      <x:c r="E16" s="35" t="str">
        <x:v>Bank or use a light action</x:v>
      </x:c>
      <x:c r="F16" s="35" t="str">
        <x:v>Every 2–3 turns</x:v>
      </x:c>
      <x:c r="G16" s="35" t="str">
        <x:v>Named requirement optional</x:v>
      </x:c>
      <x:c r="H16" s="35" t="str"/>
      <x:c r="I16" s="35" t="str"/>
    </x:row>
    <x:row r="17">
      <x:c r="A17" s="35" t="str">
        <x:v>6 AP</x:v>
      </x:c>
      <x:c r="B17" s="35" t="str">
        <x:v>Requires full bank</x:v>
      </x:c>
      <x:c r="C17" s="35" t="n">
        <x:v>0</x:v>
      </x:c>
      <x:c r="D17" s="35" t="str">
        <x:v>No</x:v>
      </x:c>
      <x:c r="E17" s="35" t="str">
        <x:v>3 AP next turn or bank</x:v>
      </x:c>
      <x:c r="F17" s="35" t="str">
        <x:v>Every second turn only if doing nothing</x:v>
      </x:c>
      <x:c r="G17" s="35" t="str">
        <x:v>Ultimate Meter required</x:v>
      </x:c>
      <x:c r="H17" s="35" t="str"/>
      <x:c r="I17" s="35" t="str"/>
    </x:row>
    <x:row r="18">
      <x:c r="A18" s="36" t="str">
        <x:v>Fortify / Ward (4 AP)</x:v>
      </x:c>
      <x:c r="B18" s="36" t="n">
        <x:v>0</x:v>
      </x:c>
      <x:c r="C18" s="36" t="n">
        <x:v>3</x:v>
      </x:c>
      <x:c r="D18" s="36" t="str">
        <x:v>No</x:v>
      </x:c>
      <x:c r="E18" s="36" t="str">
        <x:v>Cannot immediately repeat</x:v>
      </x:c>
      <x:c r="F18" s="36" t="str">
        <x:v>Natural alternating defence/offence</x:v>
      </x:c>
      <x:c r="G18" s="36" t="str">
        <x:v>No cooldown</x:v>
      </x:c>
      <x:c r="H18" s="36" t="str"/>
      <x:c r="I18" s="36" t="str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</x:row>
    <x:row r="20" ht="24" customHeight="1">
      <x:c r="A20" s="13" t="str">
        <x:v>ACTION BAR LIMIT</x:v>
      </x:c>
      <x:c r="B20" s="14"/>
      <x:c r="C20" s="14"/>
      <x:c r="D20" s="14"/>
      <x:c r="E20" s="14"/>
      <x:c r="F20" s="14"/>
      <x:c r="G20" s="14"/>
      <x:c r="H20" s="14"/>
      <x:c r="I20" s="15"/>
    </x:row>
    <x:row r="21">
      <x:c r="A21" s="34" t="n">
        <x:v>1</x:v>
      </x:c>
      <x:c r="B21" s="34" t="str">
        <x:v>Basic attack</x:v>
      </x:c>
      <x:c r="C21" s="34" t="str">
        <x:v>Weapon supplied; repeatable.</x:v>
      </x:c>
      <x:c r="D21" s="34" t="str"/>
      <x:c r="E21" s="34" t="str"/>
      <x:c r="F21" s="34" t="str"/>
      <x:c r="G21" s="34" t="str"/>
      <x:c r="H21" s="34" t="str"/>
      <x:c r="I21" s="34" t="str"/>
    </x:row>
    <x:row r="22">
      <x:c r="A22" s="35" t="n">
        <x:v>2</x:v>
      </x:c>
      <x:c r="B22" s="35" t="str">
        <x:v>Weapon Technique A</x:v>
      </x:c>
      <x:c r="C22" s="35" t="str">
        <x:v>Reliable 2–3 AP action.</x:v>
      </x:c>
      <x:c r="D22" s="35" t="str"/>
      <x:c r="E22" s="35" t="str"/>
      <x:c r="F22" s="35" t="str"/>
      <x:c r="G22" s="35" t="str"/>
      <x:c r="H22" s="35" t="str"/>
      <x:c r="I22" s="35" t="str"/>
    </x:row>
    <x:row r="23">
      <x:c r="A23" s="35" t="n">
        <x:v>3</x:v>
      </x:c>
      <x:c r="B23" s="35" t="str">
        <x:v>Weapon Technique B</x:v>
      </x:c>
      <x:c r="C23" s="35" t="str">
        <x:v>Stronger 3–4 AP action.</x:v>
      </x:c>
      <x:c r="D23" s="35" t="str"/>
      <x:c r="E23" s="35" t="str"/>
      <x:c r="F23" s="35" t="str"/>
      <x:c r="G23" s="35" t="str"/>
      <x:c r="H23" s="35" t="str"/>
      <x:c r="I23" s="35" t="str"/>
    </x:row>
    <x:row r="24">
      <x:c r="A24" s="35" t="n">
        <x:v>4</x:v>
      </x:c>
      <x:c r="B24" s="35" t="str">
        <x:v>Bird Utility</x:v>
      </x:c>
      <x:c r="C24" s="35" t="str">
        <x:v>Species identity; normally non-damaging or setup.</x:v>
      </x:c>
      <x:c r="D24" s="35" t="str"/>
      <x:c r="E24" s="35" t="str"/>
      <x:c r="F24" s="35" t="str"/>
      <x:c r="G24" s="35" t="str"/>
      <x:c r="H24" s="35" t="str"/>
      <x:c r="I24" s="35" t="str"/>
    </x:row>
    <x:row r="25">
      <x:c r="A25" s="35" t="n">
        <x:v>5</x:v>
      </x:c>
      <x:c r="B25" s="35" t="str">
        <x:v>Defence action</x:v>
      </x:c>
      <x:c r="C25" s="35" t="str">
        <x:v>From Plumage or off-hand; available from Grey rarity.</x:v>
      </x:c>
      <x:c r="D25" s="35" t="str"/>
      <x:c r="E25" s="35" t="str"/>
      <x:c r="F25" s="35" t="str"/>
      <x:c r="G25" s="35" t="str"/>
      <x:c r="H25" s="35" t="str"/>
      <x:c r="I25" s="35" t="str"/>
    </x:row>
    <x:row r="26">
      <x:c r="A26" s="35" t="n">
        <x:v>6</x:v>
      </x:c>
      <x:c r="B26" s="35" t="str">
        <x:v>Ultimate</x:v>
      </x:c>
      <x:c r="C26" s="35" t="str">
        <x:v>6 AP plus 100 meter.</x:v>
      </x:c>
      <x:c r="D26" s="35" t="str"/>
      <x:c r="E26" s="35" t="str"/>
      <x:c r="F26" s="35" t="str"/>
      <x:c r="G26" s="35" t="str"/>
      <x:c r="H26" s="35" t="str"/>
      <x:c r="I26" s="35" t="str"/>
    </x:row>
    <x:row r="27">
      <x:c r="A27" s="36" t="str">
        <x:v>Rule</x:v>
      </x:c>
      <x:c r="B27" s="36" t="str">
        <x:v>Equipment passives do not add extra action-bar buttons unless they replace one of these slots.</x:v>
      </x:c>
      <x:c r="C27" s="36" t="str"/>
      <x:c r="D27" s="36" t="str"/>
      <x:c r="E27" s="36" t="str"/>
      <x:c r="F27" s="36" t="str"/>
      <x:c r="G27" s="36" t="str"/>
      <x:c r="H27" s="36" t="str"/>
      <x:c r="I27" s="36" t="str"/>
    </x:row>
  </x:sheetData>
  <x:mergeCells>
    <x:mergeCell ref="A1:I1"/>
    <x:mergeCell ref="A2:I2"/>
    <x:mergeCell ref="A12:I12"/>
    <x:mergeCell ref="A20:I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7" hidden="0" customWidth="1"/>
    <x:col min="3" max="3" width="19" hidden="0" customWidth="1"/>
    <x:col min="4" max="4" width="19" hidden="0" customWidth="1"/>
    <x:col min="5" max="5" width="17" hidden="0" customWidth="1"/>
    <x:col min="6" max="6" width="33" hidden="0" customWidth="1"/>
    <x:col min="7" max="7" width="31" hidden="0" customWidth="1"/>
    <x:col min="8" max="8" width="28" hidden="0" customWidth="1"/>
  </x:cols>
  <x:sheetData>
    <x:row r="1" ht="34" customHeight="1">
      <x:c r="A1" s="3" t="str">
        <x:v>DAMAGE &amp; LEVEL PROGRESSION</x:v>
      </x:c>
      <x:c r="B1" s="56"/>
      <x:c r="C1" s="56"/>
      <x:c r="D1" s="56"/>
      <x:c r="E1" s="56"/>
      <x:c r="F1" s="56"/>
      <x:c r="G1" s="56"/>
      <x:c r="H1" s="56"/>
    </x:row>
    <x:row r="2" ht="29" customHeight="1">
      <x:c r="A2" s="57" t="str">
        <x:v>The offensive stat is now a first-class source of damage. Percentage multipliers are reserved for the action coefficient, Affinity, criticals and explicit effects.</x:v>
      </x:c>
      <x:c r="B2" s="57"/>
      <x:c r="C2" s="57"/>
      <x:c r="D2" s="57"/>
      <x:c r="E2" s="57"/>
      <x:c r="F2" s="57"/>
      <x:c r="G2" s="57"/>
      <x:c r="H2" s="5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5" customHeight="1">
      <x:c r="A4" s="58" t="str">
        <x:v>Stage</x:v>
      </x:c>
      <x:c r="B4" s="59" t="str">
        <x:v>Formula</x:v>
      </x:c>
      <x:c r="C4" s="59" t="str">
        <x:v>Example: old Might 8</x:v>
      </x:c>
      <x:c r="D4" s="59" t="str">
        <x:v>After +1 Might</x:v>
      </x:c>
      <x:c r="E4" s="59" t="str">
        <x:v>Change</x:v>
      </x:c>
      <x:c r="F4" s="59" t="str">
        <x:v>Design rule</x:v>
      </x:c>
      <x:c r="G4" s="59" t="str">
        <x:v>Rounding</x:v>
      </x:c>
      <x:c r="H4" s="60" t="str">
        <x:v>State</x:v>
      </x:c>
    </x:row>
    <x:row r="5">
      <x:c r="A5" s="34" t="str">
        <x:v>Old v1.6 raw damage</x:v>
      </x:c>
      <x:c r="B5" s="34" t="str">
        <x:v>Weapon 3 × (100% + Might×2.5%)</x:v>
      </x:c>
      <x:c r="C5" s="43" t="n">
        <x:v>3.6</x:v>
      </x:c>
      <x:c r="D5" s="43" t="n">
        <x:v>3.675</x:v>
      </x:c>
      <x:c r="E5" s="43" t="n">
        <x:v>0.075</x:v>
      </x:c>
      <x:c r="F5" s="34" t="str">
        <x:v>Weapon dominates; level is nearly invisible</x:v>
      </x:c>
      <x:c r="G5" s="34" t="str">
        <x:v>Often displays the same whole number</x:v>
      </x:c>
      <x:c r="H5" s="34" t="str">
        <x:v>Remove</x:v>
      </x:c>
    </x:row>
    <x:row r="6">
      <x:c r="A6" s="35" t="str">
        <x:v>New v2 Attack Power</x:v>
      </x:c>
      <x:c r="B6" s="35" t="str">
        <x:v>Weapon 3 + 2×Might</x:v>
      </x:c>
      <x:c r="C6" s="44" t="n">
        <x:v>19</x:v>
      </x:c>
      <x:c r="D6" s="44" t="n">
        <x:v>21</x:v>
      </x:c>
      <x:c r="E6" s="44" t="n">
        <x:v>2</x:v>
      </x:c>
      <x:c r="F6" s="35" t="str">
        <x:v>Stat and weapon both contribute</x:v>
      </x:c>
      <x:c r="G6" s="35" t="str">
        <x:v>No rounding yet</x:v>
      </x:c>
      <x:c r="H6" s="35" t="str">
        <x:v>Adopt</x:v>
      </x:c>
    </x:row>
    <x:row r="7">
      <x:c r="A7" s="35" t="str">
        <x:v>New 1 AP Basic</x:v>
      </x:c>
      <x:c r="B7" s="35" t="str">
        <x:v>Attack Power × 45%</x:v>
      </x:c>
      <x:c r="C7" s="44" t="n">
        <x:v>8.55</x:v>
      </x:c>
      <x:c r="D7" s="44" t="n">
        <x:v>9.45</x:v>
      </x:c>
      <x:c r="E7" s="44" t="n">
        <x:v>0.9</x:v>
      </x:c>
      <x:c r="F7" s="35" t="str">
        <x:v>Flexible action pays a small efficiency tax</x:v>
      </x:c>
      <x:c r="G7" s="35" t="str">
        <x:v>Rounds once after defence</x:v>
      </x:c>
      <x:c r="H7" s="35" t="str">
        <x:v>Adopt</x:v>
      </x:c>
    </x:row>
    <x:row r="8">
      <x:c r="A8" s="35" t="str">
        <x:v>New 2 AP Technique</x:v>
      </x:c>
      <x:c r="B8" s="35" t="str">
        <x:v>Attack Power × 100%</x:v>
      </x:c>
      <x:c r="C8" s="44" t="n">
        <x:v>19</x:v>
      </x:c>
      <x:c r="D8" s="44" t="n">
        <x:v>21</x:v>
      </x:c>
      <x:c r="E8" s="44" t="n">
        <x:v>2</x:v>
      </x:c>
      <x:c r="F8" s="35" t="str">
        <x:v>A single offensive-stat point is clearly visible</x:v>
      </x:c>
      <x:c r="G8" s="35" t="str">
        <x:v>Rounds once after defence</x:v>
      </x:c>
      <x:c r="H8" s="35" t="str">
        <x:v>Adopt</x:v>
      </x:c>
    </x:row>
    <x:row r="9">
      <x:c r="A9" s="36" t="str">
        <x:v>New 3 AP Technique</x:v>
      </x:c>
      <x:c r="B9" s="36" t="str">
        <x:v>Attack Power × 155%</x:v>
      </x:c>
      <x:c r="C9" s="45" t="n">
        <x:v>29.45</x:v>
      </x:c>
      <x:c r="D9" s="45" t="n">
        <x:v>32.55</x:v>
      </x:c>
      <x:c r="E9" s="45" t="n">
        <x:v>3.1</x:v>
      </x:c>
      <x:c r="F9" s="36" t="str">
        <x:v>Level gains matter more on committed attacks</x:v>
      </x:c>
      <x:c r="G9" s="36" t="str">
        <x:v>Rounds once after defence</x:v>
      </x:c>
      <x:c r="H9" s="36" t="str">
        <x:v>Adopt</x:v>
      </x:c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 ht="24" customHeight="1">
      <x:c r="A11" s="13" t="str">
        <x:v>PROGRESSION SOURCES — NO DOUBLE MULTIPLICATION</x:v>
      </x:c>
      <x:c r="B11" s="14"/>
      <x:c r="C11" s="14"/>
      <x:c r="D11" s="14"/>
      <x:c r="E11" s="14"/>
      <x:c r="F11" s="14"/>
      <x:c r="G11" s="14"/>
      <x:c r="H11" s="15"/>
    </x:row>
    <x:row r="12" ht="25" customHeight="1">
      <x:c r="A12" s="58" t="str">
        <x:v>Source</x:v>
      </x:c>
      <x:c r="B12" s="59" t="str">
        <x:v>Gain</x:v>
      </x:c>
      <x:c r="C12" s="59" t="str">
        <x:v>Frequency</x:v>
      </x:c>
      <x:c r="D12" s="59" t="str">
        <x:v>Affects</x:v>
      </x:c>
      <x:c r="E12" s="59" t="str">
        <x:v>Does not do</x:v>
      </x:c>
      <x:c r="F12" s="59" t="str">
        <x:v>Purpose</x:v>
      </x:c>
      <x:c r="G12" s="59" t="str">
        <x:v>Example</x:v>
      </x:c>
      <x:c r="H12" s="60" t="str">
        <x:v>State</x:v>
      </x:c>
    </x:row>
    <x:row r="13">
      <x:c r="A13" s="34" t="str">
        <x:v>Level</x:v>
      </x:c>
      <x:c r="B13" s="34" t="str">
        <x:v>+5 Max Health and one authored class-growth stat</x:v>
      </x:c>
      <x:c r="C13" s="34" t="str">
        <x:v>Every level</x:v>
      </x:c>
      <x:c r="D13" s="34" t="str">
        <x:v>Bird developed stats</x:v>
      </x:c>
      <x:c r="E13" s="34" t="str">
        <x:v>Multiply equipment</x:v>
      </x:c>
      <x:c r="F13" s="34" t="str">
        <x:v>Every level is visible</x:v>
      </x:c>
      <x:c r="G13" s="34" t="str">
        <x:v>Rogue cycle: DEX, AGI, DEX, VIT</x:v>
      </x:c>
      <x:c r="H13" s="34" t="str">
        <x:v>Prototype</x:v>
      </x:c>
    </x:row>
    <x:row r="14">
      <x:c r="A14" s="35" t="str">
        <x:v>Star</x:v>
      </x:c>
      <x:c r="B14" s="35" t="str">
        <x:v>Fixed item improvement chosen from that item’s star track</x:v>
      </x:c>
      <x:c r="C14" s="35" t="str">
        <x:v>Five within each rarity</x:v>
      </x:c>
      <x:c r="D14" s="35" t="str">
        <x:v>Weapon range, protection or the item’s named stat</x:v>
      </x:c>
      <x:c r="E14" s="35" t="str">
        <x:v>Multiply the whole build</x:v>
      </x:c>
      <x:c r="F14" s="35" t="str">
        <x:v>Predictable item investment</x:v>
      </x:c>
      <x:c r="G14" s="35" t="str">
        <x:v>Weapon stars alternate min/max +1</x:v>
      </x:c>
      <x:c r="H14" s="35" t="str">
        <x:v>Prototype</x:v>
      </x:c>
    </x:row>
    <x:row r="15">
      <x:c r="A15" s="35" t="str">
        <x:v>Tier</x:v>
      </x:c>
      <x:c r="B15" s="35" t="str">
        <x:v>Moves item to next published rarity row</x:v>
      </x:c>
      <x:c r="C15" s="35" t="str">
        <x:v>Milestone</x:v>
      </x:c>
      <x:c r="D15" s="35" t="str">
        <x:v>Base item values and named permission</x:v>
      </x:c>
      <x:c r="E15" s="35" t="str">
        <x:v>Multiply skill coefficient</x:v>
      </x:c>
      <x:c r="F15" s="35" t="str">
        <x:v>Large but controlled gear milestone</x:v>
      </x:c>
      <x:c r="G15" s="35" t="str">
        <x:v>Green weapon uses Green range</x:v>
      </x:c>
      <x:c r="H15" s="35" t="str">
        <x:v>Prototype</x:v>
      </x:c>
    </x:row>
    <x:row r="16">
      <x:c r="A16" s="35" t="str">
        <x:v>Equipment</x:v>
      </x:c>
      <x:c r="B16" s="35" t="str">
        <x:v>Flat bounded stats and fixed pools</x:v>
      </x:c>
      <x:c r="C16" s="35" t="str">
        <x:v>By loadout</x:v>
      </x:c>
      <x:c r="D16" s="35" t="str">
        <x:v>Final core stats/protection</x:v>
      </x:c>
      <x:c r="E16" s="35" t="str">
        <x:v>Percentage core-stat stacking</x:v>
      </x:c>
      <x:c r="F16" s="35" t="str">
        <x:v>Build choice without erasing bird identity</x:v>
      </x:c>
      <x:c r="G16" s="35" t="str">
        <x:v>Whole-loadout stat budget</x:v>
      </x:c>
      <x:c r="H16" s="35" t="str">
        <x:v>Locked</x:v>
      </x:c>
    </x:row>
    <x:row r="17">
      <x:c r="A17" s="36" t="str">
        <x:v>Temporary effect</x:v>
      </x:c>
      <x:c r="B17" s="36" t="str">
        <x:v>Minor ±1 / Major ±2 / Grand ±4 core stat</x:v>
      </x:c>
      <x:c r="C17" s="36" t="str">
        <x:v>During combat</x:v>
      </x:c>
      <x:c r="D17" s="36" t="str">
        <x:v>Final stat before conversion</x:v>
      </x:c>
      <x:c r="E17" s="36" t="str">
        <x:v>Stack same-direction tiers</x:v>
      </x:c>
      <x:c r="F17" s="36" t="str">
        <x:v>Safe under 2× offensive-stat scaling</x:v>
      </x:c>
      <x:c r="G17" s="36" t="str">
        <x:v>Strongest Up and Down apply; stronger-than-Grand uses named text</x:v>
      </x:c>
      <x:c r="H17" s="36" t="str">
        <x:v>Reworked</x:v>
      </x:c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 ht="24" customHeight="1">
      <x:c r="A19" s="13" t="str">
        <x:v>CLASS GROWTH CYCLE</x:v>
      </x:c>
      <x:c r="B19" s="14"/>
      <x:c r="C19" s="14"/>
      <x:c r="D19" s="14"/>
      <x:c r="E19" s="14"/>
      <x:c r="F19" s="14"/>
      <x:c r="G19" s="14"/>
      <x:c r="H19" s="15"/>
    </x:row>
    <x:row r="20" ht="25" customHeight="1">
      <x:c r="A20" s="58" t="str">
        <x:v>Class</x:v>
      </x:c>
      <x:c r="B20" s="59" t="str">
        <x:v>Level 1</x:v>
      </x:c>
      <x:c r="C20" s="59" t="str">
        <x:v>Level 2</x:v>
      </x:c>
      <x:c r="D20" s="59" t="str">
        <x:v>Level 3</x:v>
      </x:c>
      <x:c r="E20" s="59" t="str">
        <x:v>Level 4</x:v>
      </x:c>
      <x:c r="F20" s="59" t="str">
        <x:v>Repeat</x:v>
      </x:c>
      <x:c r="G20" s="59" t="str">
        <x:v>Damage gain per cycle</x:v>
      </x:c>
      <x:c r="H20" s="60" t="str">
        <x:v>Role</x:v>
      </x:c>
    </x:row>
    <x:row r="21">
      <x:c r="A21" s="34" t="str">
        <x:v>Knight</x:v>
      </x:c>
      <x:c r="B21" s="34" t="str">
        <x:v>Might</x:v>
      </x:c>
      <x:c r="C21" s="34" t="str">
        <x:v>Guard</x:v>
      </x:c>
      <x:c r="D21" s="34" t="str">
        <x:v>Might</x:v>
      </x:c>
      <x:c r="E21" s="34" t="str">
        <x:v>Vitality</x:v>
      </x:c>
      <x:c r="F21" s="34" t="str">
        <x:v>Every 4 levels</x:v>
      </x:c>
      <x:c r="G21" s="34" t="str">
        <x:v>+4 Attack Power</x:v>
      </x:c>
      <x:c r="H21" s="34" t="str">
        <x:v>Durable martial</x:v>
      </x:c>
    </x:row>
    <x:row r="22">
      <x:c r="A22" s="35" t="str">
        <x:v>Rogue</x:v>
      </x:c>
      <x:c r="B22" s="35" t="str">
        <x:v>Dexterity</x:v>
      </x:c>
      <x:c r="C22" s="35" t="str">
        <x:v>Agility</x:v>
      </x:c>
      <x:c r="D22" s="35" t="str">
        <x:v>Dexterity</x:v>
      </x:c>
      <x:c r="E22" s="35" t="str">
        <x:v>Vitality</x:v>
      </x:c>
      <x:c r="F22" s="35" t="str">
        <x:v>Every 4 levels</x:v>
      </x:c>
      <x:c r="G22" s="35" t="str">
        <x:v>+4 Attack Power</x:v>
      </x:c>
      <x:c r="H22" s="35" t="str">
        <x:v>Tempo martial</x:v>
      </x:c>
    </x:row>
    <x:row r="23">
      <x:c r="A23" s="35" t="str">
        <x:v>Mage</x:v>
      </x:c>
      <x:c r="B23" s="35" t="str">
        <x:v>Focus</x:v>
      </x:c>
      <x:c r="C23" s="35" t="str">
        <x:v>Resolve</x:v>
      </x:c>
      <x:c r="D23" s="35" t="str">
        <x:v>Focus</x:v>
      </x:c>
      <x:c r="E23" s="35" t="str">
        <x:v>Vitality</x:v>
      </x:c>
      <x:c r="F23" s="35" t="str">
        <x:v>Every 4 levels</x:v>
      </x:c>
      <x:c r="G23" s="35" t="str">
        <x:v>+4 Attack Power</x:v>
      </x:c>
      <x:c r="H23" s="35" t="str">
        <x:v>Magic pressure</x:v>
      </x:c>
    </x:row>
    <x:row r="24">
      <x:c r="A24" s="35" t="str">
        <x:v>Siren</x:v>
      </x:c>
      <x:c r="B24" s="35" t="str">
        <x:v>Focus</x:v>
      </x:c>
      <x:c r="C24" s="35" t="str">
        <x:v>Agility</x:v>
      </x:c>
      <x:c r="D24" s="35" t="str">
        <x:v>Focus</x:v>
      </x:c>
      <x:c r="E24" s="35" t="str">
        <x:v>Resolve</x:v>
      </x:c>
      <x:c r="F24" s="35" t="str">
        <x:v>Every 4 levels</x:v>
      </x:c>
      <x:c r="G24" s="35" t="str">
        <x:v>+4 Attack Power</x:v>
      </x:c>
      <x:c r="H24" s="35" t="str">
        <x:v>Magic control</x:v>
      </x:c>
    </x:row>
    <x:row r="25">
      <x:c r="A25" s="35" t="str">
        <x:v>Inquisitor</x:v>
      </x:c>
      <x:c r="B25" s="35" t="str">
        <x:v>Primary offence</x:v>
      </x:c>
      <x:c r="C25" s="35" t="str">
        <x:v>Vitality</x:v>
      </x:c>
      <x:c r="D25" s="35" t="str">
        <x:v>Primary offence</x:v>
      </x:c>
      <x:c r="E25" s="35" t="str">
        <x:v>Resolve</x:v>
      </x:c>
      <x:c r="F25" s="35" t="str">
        <x:v>Every 4 levels</x:v>
      </x:c>
      <x:c r="G25" s="35" t="str">
        <x:v>+4 Attack Power</x:v>
      </x:c>
      <x:c r="H25" s="35" t="str">
        <x:v>Sustain hybrid</x:v>
      </x:c>
    </x:row>
    <x:row r="26">
      <x:c r="A26" s="35" t="str">
        <x:v>Bard</x:v>
      </x:c>
      <x:c r="B26" s="35" t="str">
        <x:v>Dexterity</x:v>
      </x:c>
      <x:c r="C26" s="35" t="str">
        <x:v>Focus</x:v>
      </x:c>
      <x:c r="D26" s="35" t="str">
        <x:v>Vitality</x:v>
      </x:c>
      <x:c r="E26" s="35" t="str">
        <x:v>Agility</x:v>
      </x:c>
      <x:c r="F26" s="35" t="str">
        <x:v>Every 4 levels</x:v>
      </x:c>
      <x:c r="G26" s="35" t="str">
        <x:v>+3 Hybrid Attack Power</x:v>
      </x:c>
      <x:c r="H26" s="35" t="str">
        <x:v>Flexible hybrid</x:v>
      </x:c>
    </x:row>
    <x:row r="27">
      <x:c r="A27" s="35" t="str">
        <x:v>Brute</x:v>
      </x:c>
      <x:c r="B27" s="35" t="str">
        <x:v>Might</x:v>
      </x:c>
      <x:c r="C27" s="35" t="str">
        <x:v>Vitality</x:v>
      </x:c>
      <x:c r="D27" s="35" t="str">
        <x:v>Might</x:v>
      </x:c>
      <x:c r="E27" s="35" t="str">
        <x:v>Guard</x:v>
      </x:c>
      <x:c r="F27" s="35" t="str">
        <x:v>Every 4 levels</x:v>
      </x:c>
      <x:c r="G27" s="35" t="str">
        <x:v>+4 Attack Power</x:v>
      </x:c>
      <x:c r="H27" s="35" t="str">
        <x:v>Heavy pressure</x:v>
      </x:c>
    </x:row>
    <x:row r="28">
      <x:c r="A28" s="36" t="str">
        <x:v>Duke</x:v>
      </x:c>
      <x:c r="B28" s="36" t="str">
        <x:v>Authored</x:v>
      </x:c>
      <x:c r="C28" s="36" t="str">
        <x:v>Authored</x:v>
      </x:c>
      <x:c r="D28" s="36" t="str">
        <x:v>Authored</x:v>
      </x:c>
      <x:c r="E28" s="36" t="str">
        <x:v>Authored</x:v>
      </x:c>
      <x:c r="F28" s="36" t="str">
        <x:v>Per encounter design</x:v>
      </x:c>
      <x:c r="G28" s="36" t="str">
        <x:v>Budgeted</x:v>
      </x:c>
      <x:c r="H28" s="36" t="str">
        <x:v>Unique</x:v>
      </x:c>
    </x:row>
  </x:sheetData>
  <x:mergeCells>
    <x:mergeCell ref="A1:H1"/>
    <x:mergeCell ref="A2:H2"/>
    <x:mergeCell ref="A11:H11"/>
    <x:mergeCell ref="A19:H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6" hidden="0" customWidth="1"/>
    <x:col min="3" max="3" width="28" hidden="0" customWidth="1"/>
    <x:col min="4" max="4" width="22" hidden="0" customWidth="1"/>
    <x:col min="5" max="5" width="27" hidden="0" customWidth="1"/>
    <x:col min="6" max="6" width="29" hidden="0" customWidth="1"/>
    <x:col min="7" max="7" width="43" hidden="0" customWidth="1"/>
    <x:col min="8" max="8" width="32" hidden="0" customWidth="1"/>
    <x:col min="9" max="9" width="15" hidden="0" customWidth="1"/>
  </x:cols>
  <x:sheetData>
    <x:row r="1" ht="34" customHeight="1">
      <x:c r="A1" s="3" t="str">
        <x:v>BUFF, DEBUFF &amp; DURATION FLOW</x:v>
      </x:c>
      <x:c r="B1" s="56"/>
      <x:c r="C1" s="56"/>
      <x:c r="D1" s="56"/>
      <x:c r="E1" s="56"/>
      <x:c r="F1" s="56"/>
      <x:c r="G1" s="56"/>
      <x:c r="H1" s="56"/>
      <x:c r="I1" s="56"/>
    </x:row>
    <x:row r="2" ht="29" customHeight="1">
      <x:c r="A2" s="57" t="str">
        <x:v>Paid setup must create a useful action window. Magnitude and duration are separate levers; one-turn maintenance utilities are not the default.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5" customHeight="1">
      <x:c r="A4" s="58" t="str">
        <x:v>Tier</x:v>
      </x:c>
      <x:c r="B4" s="59" t="str">
        <x:v>Core-stat change</x:v>
      </x:c>
      <x:c r="C4" s="59" t="str">
        <x:v>Attack Power change</x:v>
      </x:c>
      <x:c r="D4" s="59" t="str">
        <x:v>Default duration</x:v>
      </x:c>
      <x:c r="E4" s="59" t="str">
        <x:v>Normal AP cost</x:v>
      </x:c>
      <x:c r="F4" s="59" t="str">
        <x:v>Typical use</x:v>
      </x:c>
      <x:c r="G4" s="59" t="str">
        <x:v>Replaces</x:v>
      </x:c>
      <x:c r="H4" s="59" t="str">
        <x:v>Stacking</x:v>
      </x:c>
      <x:c r="I4" s="60" t="str">
        <x:v>State</x:v>
      </x:c>
    </x:row>
    <x:row r="5">
      <x:c r="A5" s="34" t="str">
        <x:v>Minor</x:v>
      </x:c>
      <x:c r="B5" s="34" t="str">
        <x:v>±1 stat</x:v>
      </x:c>
      <x:c r="C5" s="34" t="str">
        <x:v>±2 Attack Power</x:v>
      </x:c>
      <x:c r="D5" s="34" t="str">
        <x:v>3 affected turns</x:v>
      </x:c>
      <x:c r="E5" s="34" t="str">
        <x:v>1–2 AP or attached rider</x:v>
      </x:c>
      <x:c r="F5" s="34" t="str">
        <x:v>Common setup/support</x:v>
      </x:c>
      <x:c r="G5" s="34" t="str">
        <x:v>Old ±4 flat tier</x:v>
      </x:c>
      <x:c r="H5" s="34" t="str">
        <x:v>Strongest same direction</x:v>
      </x:c>
      <x:c r="I5" s="34" t="str">
        <x:v>Locked</x:v>
      </x:c>
    </x:row>
    <x:row r="6">
      <x:c r="A6" s="35" t="str">
        <x:v>Major</x:v>
      </x:c>
      <x:c r="B6" s="35" t="str">
        <x:v>±2 stats</x:v>
      </x:c>
      <x:c r="C6" s="35" t="str">
        <x:v>±4 Attack Power</x:v>
      </x:c>
      <x:c r="D6" s="35" t="str">
        <x:v>3 affected turns</x:v>
      </x:c>
      <x:c r="E6" s="35" t="str">
        <x:v>2–3 AP</x:v>
      </x:c>
      <x:c r="F6" s="35" t="str">
        <x:v>Meaningful build action</x:v>
      </x:c>
      <x:c r="G6" s="35" t="str">
        <x:v>Old ±10 / percentage variants</x:v>
      </x:c>
      <x:c r="H6" s="35" t="str">
        <x:v>Strongest same direction</x:v>
      </x:c>
      <x:c r="I6" s="35" t="str">
        <x:v>Locked</x:v>
      </x:c>
    </x:row>
    <x:row r="7">
      <x:c r="A7" s="35" t="str">
        <x:v>Grand</x:v>
      </x:c>
      <x:c r="B7" s="35" t="str">
        <x:v>±4 stats</x:v>
      </x:c>
      <x:c r="C7" s="35" t="str">
        <x:v>±8 Attack Power</x:v>
      </x:c>
      <x:c r="D7" s="35" t="str">
        <x:v>2 affected turns</x:v>
      </x:c>
      <x:c r="E7" s="35" t="str">
        <x:v>3–4 AP or Ultimate rider</x:v>
      </x:c>
      <x:c r="F7" s="35" t="str">
        <x:v>Short powerful window</x:v>
      </x:c>
      <x:c r="G7" s="35" t="str">
        <x:v>Old ±20 flat tier</x:v>
      </x:c>
      <x:c r="H7" s="35" t="str">
        <x:v>Strongest same direction</x:v>
      </x:c>
      <x:c r="I7" s="35" t="str">
        <x:v>Locked</x:v>
      </x:c>
    </x:row>
    <x:row r="8">
      <x:c r="A8" s="36" t="str">
        <x:v>Named / special</x:v>
      </x:c>
      <x:c r="B8" s="36" t="str">
        <x:v>Authored explicitly</x:v>
      </x:c>
      <x:c r="C8" s="36" t="str">
        <x:v>Authored explicitly</x:v>
      </x:c>
      <x:c r="D8" s="36" t="str">
        <x:v>1–3 turns</x:v>
      </x:c>
      <x:c r="E8" s="36" t="str">
        <x:v>4–6 AP / condition</x:v>
      </x:c>
      <x:c r="F8" s="36" t="str">
        <x:v>Boss, Ultimate or rare item</x:v>
      </x:c>
      <x:c r="G8" s="36" t="str">
        <x:v>Extra numeric tiers</x:v>
      </x:c>
      <x:c r="H8" s="36" t="str">
        <x:v>Does not silently stack</x:v>
      </x:c>
      <x:c r="I8" s="36" t="str">
        <x:v>Explicit only</x:v>
      </x:c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</x:row>
    <x:row r="10" ht="24" customHeight="1">
      <x:c r="A10" s="13" t="str">
        <x:v>DURATION CATEGORIES</x:v>
      </x:c>
      <x:c r="B10" s="14"/>
      <x:c r="C10" s="14"/>
      <x:c r="D10" s="14"/>
      <x:c r="E10" s="14"/>
      <x:c r="F10" s="14"/>
      <x:c r="G10" s="14"/>
      <x:c r="H10" s="14"/>
      <x:c r="I10" s="15"/>
    </x:row>
    <x:row r="11" ht="25" customHeight="1">
      <x:c r="A11" s="58" t="str">
        <x:v>Category</x:v>
      </x:c>
      <x:c r="B11" s="59" t="str">
        <x:v>Duration</x:v>
      </x:c>
      <x:c r="C11" s="59" t="str">
        <x:v>Permitted source</x:v>
      </x:c>
      <x:c r="D11" s="59" t="str">
        <x:v>Flow created</x:v>
      </x:c>
      <x:c r="E11" s="59" t="str">
        <x:v>Expiry rule</x:v>
      </x:c>
      <x:c r="F11" s="59" t="str">
        <x:v>Refresh rule</x:v>
      </x:c>
      <x:c r="G11" s="59" t="str">
        <x:v>Example</x:v>
      </x:c>
      <x:c r="H11" s="59" t="str">
        <x:v>Do not use for</x:v>
      </x:c>
      <x:c r="I11" s="60" t="str">
        <x:v>State</x:v>
      </x:c>
    </x:row>
    <x:row r="12">
      <x:c r="A12" s="34" t="str">
        <x:v>Next action</x:v>
      </x:c>
      <x:c r="B12" s="34" t="str">
        <x:v>Until consumed; maximum 3 owner turns</x:v>
      </x:c>
      <x:c r="C12" s="34" t="str">
        <x:v>Passive, combo setup or attached effect</x:v>
      </x:c>
      <x:c r="D12" s="34" t="str">
        <x:v>Setup → chosen payoff</x:v>
      </x:c>
      <x:c r="E12" s="34" t="str">
        <x:v>Remove after matching action resolves</x:v>
      </x:c>
      <x:c r="F12" s="34" t="str">
        <x:v>New equal effect refreshes expiry</x:v>
      </x:c>
      <x:c r="G12" s="34" t="str">
        <x:v>Next Finesse attack gains Precision</x:v>
      </x:c>
      <x:c r="H12" s="34" t="str">
        <x:v>Generic paid maintenance buff</x:v>
      </x:c>
      <x:c r="I12" s="34" t="str">
        <x:v>Locked</x:v>
      </x:c>
    </x:row>
    <x:row r="13">
      <x:c r="A13" s="35" t="str">
        <x:v>Brief</x:v>
      </x:c>
      <x:c r="B13" s="35" t="str">
        <x:v>Current turn / next action only</x:v>
      </x:c>
      <x:c r="C13" s="35" t="str">
        <x:v>Free rider, reaction or unusually strong Grand effect</x:v>
      </x:c>
      <x:c r="D13" s="35" t="str">
        <x:v>Immediate tactical response</x:v>
      </x:c>
      <x:c r="E13" s="35" t="str">
        <x:v>Remove at stated event</x:v>
      </x:c>
      <x:c r="F13" s="35" t="str">
        <x:v>Normally cannot extend</x:v>
      </x:c>
      <x:c r="G13" s="35" t="str">
        <x:v>Dodge after a successful Feint</x:v>
      </x:c>
      <x:c r="H13" s="35" t="str">
        <x:v>Standalone 2 AP Minor buff</x:v>
      </x:c>
      <x:c r="I13" s="35" t="str">
        <x:v>Restricted</x:v>
      </x:c>
    </x:row>
    <x:row r="14">
      <x:c r="A14" s="35" t="str">
        <x:v>Standard</x:v>
      </x:c>
      <x:c r="B14" s="35" t="str">
        <x:v>3 affected turns</x:v>
      </x:c>
      <x:c r="C14" s="35" t="str">
        <x:v>Ordinary paid self buff or debuff</x:v>
      </x:c>
      <x:c r="D14" s="35" t="str">
        <x:v>Cast + payoff + payoff</x:v>
      </x:c>
      <x:c r="E14" s="35" t="str">
        <x:v>Decrement once at each affected bird turn end</x:v>
      </x:c>
      <x:c r="F14" s="35" t="str">
        <x:v>Equal refreshes to 3; does not add turns</x:v>
      </x:c>
      <x:c r="G14" s="35" t="str">
        <x:v>Minor/Major Might Up</x:v>
      </x:c>
      <x:c r="H14" s="35" t="str">
        <x:v>Default</x:v>
      </x:c>
      <x:c r="I14" s="35"/>
    </x:row>
    <x:row r="15">
      <x:c r="A15" s="35" t="str">
        <x:v>Extended</x:v>
      </x:c>
      <x:c r="B15" s="35" t="str">
        <x:v>4 affected turns</x:v>
      </x:c>
      <x:c r="C15" s="35" t="str">
        <x:v>Low-impact 3–4 AP pure utility</x:v>
      </x:c>
      <x:c r="D15" s="35" t="str">
        <x:v>Long build stance</x:v>
      </x:c>
      <x:c r="E15" s="35" t="str">
        <x:v>Decrement by affected bird turns</x:v>
      </x:c>
      <x:c r="F15" s="35" t="str">
        <x:v>Refresh only; never add remaining turns</x:v>
      </x:c>
      <x:c r="G15" s="35" t="str">
        <x:v>Sustained song stance</x:v>
      </x:c>
      <x:c r="H15" s="35" t="str">
        <x:v>Rare</x:v>
      </x:c>
      <x:c r="I15" s="35"/>
    </x:row>
    <x:row r="16">
      <x:c r="A16" s="36" t="str">
        <x:v>Grand window</x:v>
      </x:c>
      <x:c r="B16" s="36" t="str">
        <x:v>2 affected turns</x:v>
      </x:c>
      <x:c r="C16" s="36" t="str">
        <x:v>Grand buff/debuff or high-value attached effect</x:v>
      </x:c>
      <x:c r="D16" s="36" t="str">
        <x:v>Burst sequence without permanent uptime</x:v>
      </x:c>
      <x:c r="E16" s="36" t="str">
        <x:v>Decrement by affected bird turns</x:v>
      </x:c>
      <x:c r="F16" s="36" t="str">
        <x:v>Equal refreshes to 2</x:v>
      </x:c>
      <x:c r="G16" s="36" t="str">
        <x:v>Grand Focus Up</x:v>
      </x:c>
      <x:c r="H16" s="36" t="str">
        <x:v>Default for Grand</x:v>
      </x:c>
      <x:c r="I16" s="36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</x:row>
    <x:row r="18" ht="24" customHeight="1">
      <x:c r="A18" s="13" t="str">
        <x:v>ACTION-FLOW TEST</x:v>
      </x:c>
      <x:c r="B18" s="14"/>
      <x:c r="C18" s="14"/>
      <x:c r="D18" s="14"/>
      <x:c r="E18" s="14"/>
      <x:c r="F18" s="14"/>
      <x:c r="G18" s="14"/>
      <x:c r="H18" s="14"/>
      <x:c r="I18" s="15"/>
    </x:row>
    <x:row r="19" ht="25" customHeight="1">
      <x:c r="A19" s="58" t="str">
        <x:v>Turn</x:v>
      </x:c>
      <x:c r="B19" s="59" t="str">
        <x:v>AP available</x:v>
      </x:c>
      <x:c r="C19" s="59" t="str">
        <x:v>Example action</x:v>
      </x:c>
      <x:c r="D19" s="59" t="str">
        <x:v>AP spent</x:v>
      </x:c>
      <x:c r="E19" s="59" t="str">
        <x:v>Buff state</x:v>
      </x:c>
      <x:c r="F19" s="59" t="str">
        <x:v>Payoff opportunity</x:v>
      </x:c>
      <x:c r="G19" s="59" t="str">
        <x:v>Design reading</x:v>
      </x:c>
      <x:c r="H19" s="59" t="str"/>
      <x:c r="I19" s="60" t="str"/>
    </x:row>
    <x:row r="20">
      <x:c r="A20" s="34" t="n">
        <x:v>1</x:v>
      </x:c>
      <x:c r="B20" s="34" t="n">
        <x:v>4</x:v>
      </x:c>
      <x:c r="C20" s="34" t="str">
        <x:v>2 AP Major Might Up + 2 AP Technique</x:v>
      </x:c>
      <x:c r="D20" s="34" t="n">
        <x:v>4</x:v>
      </x:c>
      <x:c r="E20" s="34" t="str">
        <x:v>3-turn effect: first affected turn</x:v>
      </x:c>
      <x:c r="F20" s="34" t="str">
        <x:v>Immediate payoff</x:v>
      </x:c>
      <x:c r="G20" s="34" t="str">
        <x:v>The setup turn still contains an attack.</x:v>
      </x:c>
      <x:c r="H20" s="34" t="str"/>
      <x:c r="I20" s="34" t="str"/>
    </x:row>
    <x:row r="21">
      <x:c r="A21" s="35" t="n">
        <x:v>2</x:v>
      </x:c>
      <x:c r="B21" s="35" t="n">
        <x:v>3</x:v>
      </x:c>
      <x:c r="C21" s="35" t="str">
        <x:v>3 AP heavy technique</x:v>
      </x:c>
      <x:c r="D21" s="35" t="n">
        <x:v>3</x:v>
      </x:c>
      <x:c r="E21" s="35" t="str">
        <x:v>Second affected turn</x:v>
      </x:c>
      <x:c r="F21" s="35" t="str">
        <x:v>Full-turn payoff</x:v>
      </x:c>
      <x:c r="G21" s="35" t="str">
        <x:v>No maintenance recast.</x:v>
      </x:c>
      <x:c r="H21" s="35" t="str"/>
      <x:c r="I21" s="35" t="str"/>
    </x:row>
    <x:row r="22">
      <x:c r="A22" s="35" t="n">
        <x:v>3</x:v>
      </x:c>
      <x:c r="B22" s="35" t="n">
        <x:v>3</x:v>
      </x:c>
      <x:c r="C22" s="35" t="str">
        <x:v>2 AP technique + 1 AP Basic</x:v>
      </x:c>
      <x:c r="D22" s="35" t="n">
        <x:v>3</x:v>
      </x:c>
      <x:c r="E22" s="35" t="str">
        <x:v>Third affected turn</x:v>
      </x:c>
      <x:c r="F22" s="35" t="str">
        <x:v>Two flexible payoffs</x:v>
      </x:c>
      <x:c r="G22" s="35" t="str">
        <x:v>Buff expires at turn end.</x:v>
      </x:c>
      <x:c r="H22" s="35" t="str"/>
      <x:c r="I22" s="35" t="str"/>
    </x:row>
    <x:row r="23">
      <x:c r="A23" s="35" t="n">
        <x:v>4</x:v>
      </x:c>
      <x:c r="B23" s="35" t="n">
        <x:v>3</x:v>
      </x:c>
      <x:c r="C23" s="35" t="str">
        <x:v>Choose offence, defence or refresh</x:v>
      </x:c>
      <x:c r="D23" s="35" t="n">
        <x:v>0</x:v>
      </x:c>
      <x:c r="E23" s="35" t="str">
        <x:v>Expired</x:v>
      </x:c>
      <x:c r="F23" s="35" t="str">
        <x:v>Player makes a new decision</x:v>
      </x:c>
      <x:c r="G23" s="35" t="str">
        <x:v>Average upkeep was 2 AP across three turns, not every turn.</x:v>
      </x:c>
      <x:c r="H23" s="35" t="str"/>
      <x:c r="I23" s="35" t="str"/>
    </x:row>
    <x:row r="24">
      <x:c r="A24" s="35" t="str">
        <x:v>Failure test</x:v>
      </x:c>
      <x:c r="B24" s="35" t="str">
        <x:v>Any standalone 1–2 AP stat utility lasting one turn</x:v>
      </x:c>
      <x:c r="C24" s="35" t="str">
        <x:v>REWORK</x:v>
      </x:c>
      <x:c r="D24" s="35" t="str">
        <x:v>—</x:v>
      </x:c>
      <x:c r="E24" s="35" t="str">
        <x:v>—</x:v>
      </x:c>
      <x:c r="F24" s="35" t="str">
        <x:v>—</x:v>
      </x:c>
      <x:c r="G24" s="35" t="str">
        <x:v>Attach it to another action, make it free/reactive, or extend it.</x:v>
      </x:c>
      <x:c r="H24" s="35" t="str"/>
      <x:c r="I24" s="35" t="str"/>
    </x:row>
    <x:row r="25">
      <x:c r="A25" s="36" t="str">
        <x:v>Balance test</x:v>
      </x:c>
      <x:c r="B25" s="36" t="str">
        <x:v>Recasting before expiry</x:v>
      </x:c>
      <x:c r="C25" s="36" t="str">
        <x:v>Allowed but inefficient</x:v>
      </x:c>
      <x:c r="D25" s="36" t="str">
        <x:v>—</x:v>
      </x:c>
      <x:c r="E25" s="36" t="str">
        <x:v>Refresh only</x:v>
      </x:c>
      <x:c r="F25" s="36" t="str">
        <x:v>No duration banking</x:v>
      </x:c>
      <x:c r="G25" s="36" t="str">
        <x:v>Remaining turns never add to the new duration.</x:v>
      </x:c>
      <x:c r="H25" s="36" t="str"/>
      <x:c r="I25" s="36" t="str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</x:row>
    <x:row r="27" ht="24" customHeight="1">
      <x:c r="A27" s="13" t="str">
        <x:v>TIMING AND CONFLICT RULES</x:v>
      </x:c>
      <x:c r="B27" s="14"/>
      <x:c r="C27" s="14"/>
      <x:c r="D27" s="14"/>
      <x:c r="E27" s="14"/>
      <x:c r="F27" s="14"/>
      <x:c r="G27" s="14"/>
      <x:c r="H27" s="14"/>
      <x:c r="I27" s="15"/>
    </x:row>
    <x:row r="28" ht="25" customHeight="1">
      <x:c r="A28" s="58" t="str">
        <x:v>Rule</x:v>
      </x:c>
      <x:c r="B28" s="59" t="str">
        <x:v>Canonical behaviour</x:v>
      </x:c>
      <x:c r="C28" s="59" t="str">
        <x:v>Why</x:v>
      </x:c>
      <x:c r="D28" s="59" t="str"/>
      <x:c r="E28" s="59" t="str"/>
      <x:c r="F28" s="59" t="str"/>
      <x:c r="G28" s="59" t="str"/>
      <x:c r="H28" s="59" t="str"/>
      <x:c r="I28" s="60" t="str"/>
    </x:row>
    <x:row r="29">
      <x:c r="A29" s="34" t="str">
        <x:v>Self-effect counting</x:v>
      </x:c>
      <x:c r="B29" s="34" t="str">
        <x:v>The casting turn counts as the first affected turn if the effect is active before turn end.</x:v>
      </x:c>
      <x:c r="C29" s="34" t="str">
        <x:v>A 3-turn buff supports the casting turn and the next two owner turns.</x:v>
      </x:c>
      <x:c r="D29" s="34" t="str"/>
      <x:c r="E29" s="34" t="str"/>
      <x:c r="F29" s="34" t="str"/>
      <x:c r="G29" s="34" t="str"/>
      <x:c r="H29" s="34" t="str"/>
      <x:c r="I29" s="34" t="str"/>
    </x:row>
    <x:row r="30">
      <x:c r="A30" s="35" t="str">
        <x:v>Enemy-effect counting</x:v>
      </x:c>
      <x:c r="B30" s="35" t="str">
        <x:v>A debuff decrements at the end of the affected target’s turns, never at the attacker’s turn end.</x:v>
      </x:c>
      <x:c r="C30" s="35" t="str">
        <x:v>Prevents losing duration before the target can be affected.</x:v>
      </x:c>
      <x:c r="D30" s="35" t="str"/>
      <x:c r="E30" s="35" t="str"/>
      <x:c r="F30" s="35" t="str"/>
      <x:c r="G30" s="35" t="str"/>
      <x:c r="H30" s="35" t="str"/>
      <x:c r="I30" s="35" t="str"/>
    </x:row>
    <x:row r="31">
      <x:c r="A31" s="35" t="str">
        <x:v>Same tier and direction</x:v>
      </x:c>
      <x:c r="B31" s="35" t="str">
        <x:v>Reapplication refreshes to the authored duration; remaining turns are not added.</x:v>
      </x:c>
      <x:c r="C31" s="35" t="str">
        <x:v>Prevents duration banking.</x:v>
      </x:c>
      <x:c r="D31" s="35" t="str"/>
      <x:c r="E31" s="35" t="str"/>
      <x:c r="F31" s="35" t="str"/>
      <x:c r="G31" s="35" t="str"/>
      <x:c r="H31" s="35" t="str"/>
      <x:c r="I31" s="35" t="str"/>
    </x:row>
    <x:row r="32">
      <x:c r="A32" s="35" t="str">
        <x:v>Stronger same direction</x:v>
      </x:c>
      <x:c r="B32" s="35" t="str">
        <x:v>Stronger replaces weaker and uses its own duration.</x:v>
      </x:c>
      <x:c r="C32" s="35" t="str">
        <x:v>One authoritative value.</x:v>
      </x:c>
      <x:c r="D32" s="35" t="str"/>
      <x:c r="E32" s="35" t="str"/>
      <x:c r="F32" s="35" t="str"/>
      <x:c r="G32" s="35" t="str"/>
      <x:c r="H32" s="35" t="str"/>
      <x:c r="I32" s="35" t="str"/>
    </x:row>
    <x:row r="33">
      <x:c r="A33" s="35" t="str">
        <x:v>Weaker same direction</x:v>
      </x:c>
      <x:c r="B33" s="35" t="str">
        <x:v>Weaker neither replaces nor refreshes a stronger effect.</x:v>
      </x:c>
      <x:c r="C33" s="35" t="str">
        <x:v>Stops cheap refresh abuse.</x:v>
      </x:c>
      <x:c r="D33" s="35" t="str"/>
      <x:c r="E33" s="35" t="str"/>
      <x:c r="F33" s="35" t="str"/>
      <x:c r="G33" s="35" t="str"/>
      <x:c r="H33" s="35" t="str"/>
      <x:c r="I33" s="35" t="str"/>
    </x:row>
    <x:row r="34">
      <x:c r="A34" s="36" t="str">
        <x:v>Opposing directions</x:v>
      </x:c>
      <x:c r="B34" s="36" t="str">
        <x:v>Strongest Up and strongest Down are both retained, then netted in the final stat.</x:v>
      </x:c>
      <x:c r="C34" s="36" t="str">
        <x:v>Clear dispel and counterplay behaviour.</x:v>
      </x:c>
      <x:c r="D34" s="36" t="str"/>
      <x:c r="E34" s="36" t="str"/>
      <x:c r="F34" s="36" t="str"/>
      <x:c r="G34" s="36" t="str"/>
      <x:c r="H34" s="36" t="str"/>
      <x:c r="I34" s="36" t="str"/>
    </x:row>
  </x:sheetData>
  <x:mergeCells>
    <x:mergeCell ref="A1:I1"/>
    <x:mergeCell ref="A2:I2"/>
    <x:mergeCell ref="A10:I10"/>
    <x:mergeCell ref="A18:I18"/>
    <x:mergeCell ref="A27:I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5" hidden="0" customWidth="1"/>
    <x:col min="4" max="4" width="23" hidden="0" customWidth="1"/>
    <x:col min="5" max="5" width="23" hidden="0" customWidth="1"/>
    <x:col min="6" max="6" width="23" hidden="0" customWidth="1"/>
    <x:col min="7" max="7" width="48" hidden="0" customWidth="1"/>
    <x:col min="8" max="8" width="16" hidden="0" customWidth="1"/>
  </x:cols>
  <x:sheetData>
    <x:row r="1" ht="34" customHeight="1">
      <x:c r="A1" s="3" t="str">
        <x:v>SIZE, HEALTH &amp; DURABILITY BUDGET</x:v>
      </x:c>
      <x:c r="B1" s="56"/>
      <x:c r="C1" s="56"/>
      <x:c r="D1" s="56"/>
      <x:c r="E1" s="56"/>
      <x:c r="F1" s="56"/>
      <x:c r="G1" s="56"/>
      <x:c r="H1" s="56"/>
    </x:row>
    <x:row r="2" ht="29" customHeight="1">
      <x:c r="A2" s="57" t="str">
        <x:v>Size remains visible without granting a second full stat budget. Larger bodies gain modest Health and accept Precision/tempo trade-offs.</x:v>
      </x:c>
      <x:c r="B2" s="57"/>
      <x:c r="C2" s="57"/>
      <x:c r="D2" s="57"/>
      <x:c r="E2" s="57"/>
      <x:c r="F2" s="57"/>
      <x:c r="G2" s="57"/>
      <x:c r="H2" s="5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5" customHeight="1">
      <x:c r="A4" s="58" t="str">
        <x:v>Size</x:v>
      </x:c>
      <x:c r="B4" s="59" t="str">
        <x:v>Old Base Health</x:v>
      </x:c>
      <x:c r="C4" s="59" t="str">
        <x:v>New Base Health</x:v>
      </x:c>
      <x:c r="D4" s="59" t="str">
        <x:v>Change from Medium</x:v>
      </x:c>
      <x:c r="E4" s="59" t="str">
        <x:v>Precision modifier</x:v>
      </x:c>
      <x:c r="F4" s="59" t="str">
        <x:v>Free HP gap vs Tiny</x:v>
      </x:c>
      <x:c r="G4" s="59" t="str">
        <x:v>Design reading</x:v>
      </x:c>
      <x:c r="H4" s="60" t="str">
        <x:v>State</x:v>
      </x:c>
    </x:row>
    <x:row r="5">
      <x:c r="A5" s="34" t="str">
        <x:v>Tiny</x:v>
      </x:c>
      <x:c r="B5" s="34" t="n">
        <x:v>8</x:v>
      </x:c>
      <x:c r="C5" s="34" t="n">
        <x:v>125</x:v>
      </x:c>
      <x:c r="D5" s="34" t="n">
        <x:v>-6</x:v>
      </x:c>
      <x:c r="E5" s="34" t="n">
        <x:v>5</x:v>
      </x:c>
      <x:c r="F5" s="34" t="n">
        <x:v>0</x:v>
      </x:c>
      <x:c r="G5" s="34" t="str">
        <x:v>Fast/precise; no longer dies to one ordinary hit</x:v>
      </x:c>
      <x:c r="H5" s="34" t="str">
        <x:v>Prototype</x:v>
      </x:c>
    </x:row>
    <x:row r="6">
      <x:c r="A6" s="35" t="str">
        <x:v>Small</x:v>
      </x:c>
      <x:c r="B6" s="35" t="n">
        <x:v>10</x:v>
      </x:c>
      <x:c r="C6" s="35" t="n">
        <x:v>128</x:v>
      </x:c>
      <x:c r="D6" s="35" t="n">
        <x:v>-3</x:v>
      </x:c>
      <x:c r="E6" s="35" t="n">
        <x:v>3</x:v>
      </x:c>
      <x:c r="F6" s="35" t="n">
        <x:v>3</x:v>
      </x:c>
      <x:c r="G6" s="35" t="str">
        <x:v>Light body</x:v>
      </x:c>
      <x:c r="H6" s="35" t="str">
        <x:v>Prototype</x:v>
      </x:c>
    </x:row>
    <x:row r="7">
      <x:c r="A7" s="35" t="str">
        <x:v>Medium</x:v>
      </x:c>
      <x:c r="B7" s="35" t="n">
        <x:v>12</x:v>
      </x:c>
      <x:c r="C7" s="35" t="n">
        <x:v>131</x:v>
      </x:c>
      <x:c r="D7" s="35" t="n">
        <x:v>0</x:v>
      </x:c>
      <x:c r="E7" s="35" t="n">
        <x:v>0</x:v>
      </x:c>
      <x:c r="F7" s="35" t="n">
        <x:v>6</x:v>
      </x:c>
      <x:c r="G7" s="35" t="str">
        <x:v>Neutral baseline</x:v>
      </x:c>
      <x:c r="H7" s="35" t="str">
        <x:v>Prototype</x:v>
      </x:c>
    </x:row>
    <x:row r="8">
      <x:c r="A8" s="35" t="str">
        <x:v>Large</x:v>
      </x:c>
      <x:c r="B8" s="35" t="n">
        <x:v>14</x:v>
      </x:c>
      <x:c r="C8" s="35" t="n">
        <x:v>134</x:v>
      </x:c>
      <x:c r="D8" s="35" t="n">
        <x:v>3</x:v>
      </x:c>
      <x:c r="E8" s="35" t="n">
        <x:v>-2</x:v>
      </x:c>
      <x:c r="F8" s="35" t="n">
        <x:v>9</x:v>
      </x:c>
      <x:c r="G8" s="35" t="str">
        <x:v>Modest body advantage</x:v>
      </x:c>
      <x:c r="H8" s="35" t="str">
        <x:v>Prototype</x:v>
      </x:c>
    </x:row>
    <x:row r="9">
      <x:c r="A9" s="35" t="str">
        <x:v>Very Large</x:v>
      </x:c>
      <x:c r="B9" s="35" t="n">
        <x:v>16</x:v>
      </x:c>
      <x:c r="C9" s="35" t="n">
        <x:v>137</x:v>
      </x:c>
      <x:c r="D9" s="35" t="n">
        <x:v>6</x:v>
      </x:c>
      <x:c r="E9" s="35" t="n">
        <x:v>-4</x:v>
      </x:c>
      <x:c r="F9" s="35" t="n">
        <x:v>12</x:v>
      </x:c>
      <x:c r="G9" s="35" t="str">
        <x:v>Durable but less precise</x:v>
      </x:c>
      <x:c r="H9" s="35" t="str">
        <x:v>Prototype</x:v>
      </x:c>
    </x:row>
    <x:row r="10">
      <x:c r="A10" s="35" t="str">
        <x:v>Giant</x:v>
      </x:c>
      <x:c r="B10" s="35" t="n">
        <x:v>18</x:v>
      </x:c>
      <x:c r="C10" s="35" t="n">
        <x:v>140</x:v>
      </x:c>
      <x:c r="D10" s="35" t="n">
        <x:v>9</x:v>
      </x:c>
      <x:c r="E10" s="35" t="n">
        <x:v>-6</x:v>
      </x:c>
      <x:c r="F10" s="35" t="n">
        <x:v>15</x:v>
      </x:c>
      <x:c r="G10" s="35" t="str">
        <x:v>Largest normal body; only 12% above Tiny</x:v>
      </x:c>
      <x:c r="H10" s="35" t="str">
        <x:v>Prototype</x:v>
      </x:c>
    </x:row>
    <x:row r="11">
      <x:c r="A11" s="36" t="str">
        <x:v>Boss Override</x:v>
      </x:c>
      <x:c r="B11" s="36" t="n">
        <x:v>20</x:v>
      </x:c>
      <x:c r="C11" s="36" t="n">
        <x:v>150</x:v>
      </x:c>
      <x:c r="D11" s="36" t="n">
        <x:v>19</x:v>
      </x:c>
      <x:c r="E11" s="36" t="n">
        <x:v>0</x:v>
      </x:c>
      <x:c r="F11" s="36" t="n">
        <x:v>25</x:v>
      </x:c>
      <x:c r="G11" s="36" t="str">
        <x:v>Boss Health still uses explicit phase budget</x:v>
      </x:c>
      <x:c r="H11" s="36" t="str">
        <x:v>Explicit only</x:v>
      </x:c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 ht="24" customHeight="1">
      <x:c r="A13" s="13" t="str">
        <x:v>MAX HEALTH FORMULA</x:v>
      </x:c>
      <x:c r="B13" s="14"/>
      <x:c r="C13" s="14"/>
      <x:c r="D13" s="14"/>
      <x:c r="E13" s="14"/>
      <x:c r="F13" s="14"/>
      <x:c r="G13" s="14"/>
      <x:c r="H13" s="15"/>
    </x:row>
    <x:row r="14" ht="25" customHeight="1">
      <x:c r="A14" s="58" t="str">
        <x:v>Component</x:v>
      </x:c>
      <x:c r="B14" s="59" t="str">
        <x:v>Formula</x:v>
      </x:c>
      <x:c r="C14" s="59" t="str">
        <x:v>Tiny VIT 0</x:v>
      </x:c>
      <x:c r="D14" s="59" t="str">
        <x:v>Medium VIT 5</x:v>
      </x:c>
      <x:c r="E14" s="59" t="str">
        <x:v>Very Large VIT 7</x:v>
      </x:c>
      <x:c r="F14" s="59" t="str">
        <x:v>Meaning</x:v>
      </x:c>
      <x:c r="G14" s="59" t="str"/>
      <x:c r="H14" s="60" t="str"/>
    </x:row>
    <x:row r="15">
      <x:c r="A15" s="34" t="str">
        <x:v>Size Base</x:v>
      </x:c>
      <x:c r="B15" s="34" t="str">
        <x:v>Lookup from table</x:v>
      </x:c>
      <x:c r="C15" s="34" t="n">
        <x:v>125</x:v>
      </x:c>
      <x:c r="D15" s="34" t="n">
        <x:v>131</x:v>
      </x:c>
      <x:c r="E15" s="34" t="n">
        <x:v>137</x:v>
      </x:c>
      <x:c r="F15" s="34" t="str">
        <x:v>Compressed 12% Tiny→Giant normal gap</x:v>
      </x:c>
      <x:c r="G15" s="34" t="str"/>
      <x:c r="H15" s="34" t="str"/>
    </x:row>
    <x:row r="16">
      <x:c r="A16" s="35" t="str">
        <x:v>Vitality</x:v>
      </x:c>
      <x:c r="B16" s="35" t="str">
        <x:v>5 × final Vitality</x:v>
      </x:c>
      <x:c r="C16" s="35" t="n">
        <x:v>0</x:v>
      </x:c>
      <x:c r="D16" s="35" t="n">
        <x:v>25</x:v>
      </x:c>
      <x:c r="E16" s="35" t="n">
        <x:v>35</x:v>
      </x:c>
      <x:c r="F16" s="35" t="str">
        <x:v>Each +1 Vitality is a visible 5 HP</x:v>
      </x:c>
      <x:c r="G16" s="35" t="str"/>
      <x:c r="H16" s="35" t="str"/>
    </x:row>
    <x:row r="17">
      <x:c r="A17" s="35" t="str">
        <x:v>Level Health</x:v>
      </x:c>
      <x:c r="B17" s="35" t="str">
        <x:v>5 × (Level − 1)</x:v>
      </x:c>
      <x:c r="C17" s="35" t="n">
        <x:v>0</x:v>
      </x:c>
      <x:c r="D17" s="35" t="n">
        <x:v>0</x:v>
      </x:c>
      <x:c r="E17" s="35" t="n">
        <x:v>0</x:v>
      </x:c>
      <x:c r="F17" s="35" t="str">
        <x:v>Universal progression without multiplying size</x:v>
      </x:c>
      <x:c r="G17" s="35" t="str"/>
      <x:c r="H17" s="35" t="str"/>
    </x:row>
    <x:row r="18">
      <x:c r="A18" s="36" t="str">
        <x:v>L1 Max Health</x:v>
      </x:c>
      <x:c r="B18" s="36" t="str">
        <x:v>Sum</x:v>
      </x:c>
      <x:c r="C18" s="36" t="n">
        <x:v>125</x:v>
      </x:c>
      <x:c r="D18" s="36" t="n">
        <x:v>156</x:v>
      </x:c>
      <x:c r="E18" s="36" t="n">
        <x:v>172</x:v>
      </x:c>
      <x:c r="F18" s="36" t="str">
        <x:v>Old comparable examples could range 8–37</x:v>
      </x:c>
      <x:c r="G18" s="36" t="str"/>
      <x:c r="H18" s="36" t="str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 ht="24" customHeight="1">
      <x:c r="A20" s="13" t="str">
        <x:v>BUDGET SAFEGUARDS</x:v>
      </x:c>
      <x:c r="B20" s="14"/>
      <x:c r="C20" s="14"/>
      <x:c r="D20" s="14"/>
      <x:c r="E20" s="14"/>
      <x:c r="F20" s="14"/>
      <x:c r="G20" s="14"/>
      <x:c r="H20" s="15"/>
    </x:row>
    <x:row r="21" ht="25" customHeight="1">
      <x:c r="A21" s="58" t="str">
        <x:v>Rule</x:v>
      </x:c>
      <x:c r="B21" s="59" t="str">
        <x:v>Limit</x:v>
      </x:c>
      <x:c r="C21" s="59" t="str">
        <x:v>Why</x:v>
      </x:c>
      <x:c r="D21" s="59" t="str"/>
      <x:c r="E21" s="59" t="str"/>
      <x:c r="F21" s="59" t="str"/>
      <x:c r="G21" s="59" t="str"/>
      <x:c r="H21" s="60" t="str"/>
    </x:row>
    <x:row r="22">
      <x:c r="A22" s="34" t="str">
        <x:v>Normal unprotected L1 Health ratio</x:v>
      </x:c>
      <x:c r="B22" s="34" t="str">
        <x:v>Highest ÷ lowest ≤ 1.50</x:v>
      </x:c>
      <x:c r="C22" s="34" t="str">
        <x:v>Prevents size/Vitality from deciding a same-tier fight alone.</x:v>
      </x:c>
      <x:c r="D22" s="34" t="str"/>
      <x:c r="E22" s="34" t="str"/>
      <x:c r="F22" s="34" t="str"/>
      <x:c r="G22" s="34" t="str"/>
      <x:c r="H22" s="34" t="str"/>
    </x:row>
    <x:row r="23">
      <x:c r="A23" s="35" t="str">
        <x:v>Total effective durability ratio</x:v>
      </x:c>
      <x:c r="B23" s="35" t="str">
        <x:v>≤1.65 before explicit tank gear</x:v>
      </x:c>
      <x:c r="C23" s="35" t="str">
        <x:v>Armour, mitigation and healing are also power.</x:v>
      </x:c>
      <x:c r="D23" s="35" t="str"/>
      <x:c r="E23" s="35" t="str"/>
      <x:c r="F23" s="35" t="str"/>
      <x:c r="G23" s="35" t="str"/>
      <x:c r="H23" s="35" t="str"/>
    </x:row>
    <x:row r="24">
      <x:c r="A24" s="35" t="str">
        <x:v>Size damage bonus</x:v>
      </x:c>
      <x:c r="B24" s="35" t="str">
        <x:v>None</x:v>
      </x:c>
      <x:c r="C24" s="35" t="str">
        <x:v>Large birds do not gain Health and free damage simultaneously.</x:v>
      </x:c>
      <x:c r="D24" s="35" t="str"/>
      <x:c r="E24" s="35" t="str"/>
      <x:c r="F24" s="35" t="str"/>
      <x:c r="G24" s="35" t="str"/>
      <x:c r="H24" s="35" t="str"/>
    </x:row>
    <x:row r="25">
      <x:c r="A25" s="36" t="str">
        <x:v>Small-bird compensation</x:v>
      </x:c>
      <x:c r="B25" s="36" t="str">
        <x:v>Precision, initiative, class growth and efficient actions</x:v>
      </x:c>
      <x:c r="C25" s="36" t="str">
        <x:v>Do not rely solely on Dodge; it is too volatile.</x:v>
      </x:c>
      <x:c r="D25" s="36" t="str"/>
      <x:c r="E25" s="36" t="str"/>
      <x:c r="F25" s="36" t="str"/>
      <x:c r="G25" s="36" t="str"/>
      <x:c r="H25" s="36" t="str"/>
    </x:row>
  </x:sheetData>
  <x:mergeCells>
    <x:mergeCell ref="A1:H1"/>
    <x:mergeCell ref="A2:H2"/>
    <x:mergeCell ref="A13:H13"/>
    <x:mergeCell ref="A20:H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6" hidden="0" customWidth="1"/>
    <x:col min="5" max="5" width="48" hidden="0" customWidth="1"/>
    <x:col min="6" max="6" width="28" hidden="0" customWidth="1"/>
    <x:col min="7" max="7" width="33" hidden="0" customWidth="1"/>
    <x:col min="8" max="8" width="36" hidden="0" customWidth="1"/>
    <x:col min="9" max="9" width="14" hidden="0" customWidth="1"/>
  </x:cols>
  <x:sheetData>
    <x:row r="1" ht="34" customHeight="1">
      <x:c r="A1" s="3" t="str">
        <x:v>CLASS FRAMEWORK &amp; UNIVERSAL AP</x:v>
      </x:c>
      <x:c r="B1" s="56"/>
      <x:c r="C1" s="56"/>
      <x:c r="D1" s="56"/>
      <x:c r="E1" s="56"/>
      <x:c r="F1" s="56"/>
      <x:c r="G1" s="56"/>
      <x:c r="H1" s="56"/>
      <x:c r="I1" s="56"/>
    </x:row>
    <x:row r="2" ht="29" customHeight="1">
      <x:c r="A2" s="57" t="str">
        <x:v>Classes shape stat priorities, weapon access and one controlled perk. They do not receive different base AP recovery.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5" customHeight="1">
      <x:c r="A4" s="58" t="str">
        <x:v>Class</x:v>
      </x:c>
      <x:c r="B4" s="59" t="str">
        <x:v>Class Precision</x:v>
      </x:c>
      <x:c r="C4" s="59" t="str">
        <x:v>Primary offence</x:v>
      </x:c>
      <x:c r="D4" s="59" t="str">
        <x:v>Typical AP profile</x:v>
      </x:c>
      <x:c r="E4" s="59" t="str">
        <x:v>Controlled AP rule</x:v>
      </x:c>
      <x:c r="F4" s="59" t="str">
        <x:v>Defensive identity</x:v>
      </x:c>
      <x:c r="G4" s="59" t="str">
        <x:v>Weapon breadth</x:v>
      </x:c>
      <x:c r="H4" s="59" t="str">
        <x:v>Failure to avoid</x:v>
      </x:c>
      <x:c r="I4" s="60" t="str">
        <x:v>State</x:v>
      </x:c>
    </x:row>
    <x:row r="5">
      <x:c r="A5" s="34" t="str">
        <x:v>Knight</x:v>
      </x:c>
      <x:c r="B5" s="34" t="n">
        <x:v>80</x:v>
      </x:c>
      <x:c r="C5" s="34" t="str">
        <x:v>Might</x:v>
      </x:c>
      <x:c r="D5" s="34" t="str">
        <x:v>2–4 AP</x:v>
      </x:c>
      <x:c r="E5" s="34" t="str">
        <x:v>None</x:v>
      </x:c>
      <x:c r="F5" s="34" t="str">
        <x:v>Guard, Armour, shield</x:v>
      </x:c>
      <x:c r="G5" s="34" t="str">
        <x:v>Strength + Greatbow</x:v>
      </x:c>
      <x:c r="H5" s="34" t="str">
        <x:v>Unkillable low-pressure loop</x:v>
      </x:c>
      <x:c r="I5" s="34" t="str">
        <x:v>Revised</x:v>
      </x:c>
    </x:row>
    <x:row r="6">
      <x:c r="A6" s="35" t="str">
        <x:v>Rogue</x:v>
      </x:c>
      <x:c r="B6" s="35" t="n">
        <x:v>86</x:v>
      </x:c>
      <x:c r="C6" s="35" t="str">
        <x:v>Dexterity</x:v>
      </x:c>
      <x:c r="D6" s="35" t="str">
        <x:v>1–3 AP</x:v>
      </x:c>
      <x:c r="E6" s="35" t="str">
        <x:v>Once/turn: after first non-Basic Finesse hit before target acts, recover 1 AP</x:v>
      </x:c>
      <x:c r="F6" s="35" t="str">
        <x:v>Initiative, Precision, conditional avoidance</x:v>
      </x:c>
      <x:c r="G6" s="35" t="str">
        <x:v>Finesse + Bow/Crossbow</x:v>
      </x:c>
      <x:c r="H6" s="35" t="str">
        <x:v>Permanent extra AP or Dodge lock</x:v>
      </x:c>
      <x:c r="I6" s="35" t="str">
        <x:v>Revised</x:v>
      </x:c>
    </x:row>
    <x:row r="7">
      <x:c r="A7" s="35" t="str">
        <x:v>Mage</x:v>
      </x:c>
      <x:c r="B7" s="35" t="n">
        <x:v>84</x:v>
      </x:c>
      <x:c r="C7" s="35" t="str">
        <x:v>Focus</x:v>
      </x:c>
      <x:c r="D7" s="35" t="str">
        <x:v>2–4 AP</x:v>
      </x:c>
      <x:c r="E7" s="35" t="str">
        <x:v>None</x:v>
      </x:c>
      <x:c r="F7" s="35" t="str">
        <x:v>Magic Armour/Ward</x:v>
      </x:c>
      <x:c r="G7" s="35" t="str">
        <x:v>Wand, Staff, Orb, Grimoire</x:v>
      </x:c>
      <x:c r="H7" s="35" t="str">
        <x:v>Hard-stopped by one large Magic Armour pool</x:v>
      </x:c>
      <x:c r="I7" s="35" t="str">
        <x:v>Revised</x:v>
      </x:c>
    </x:row>
    <x:row r="8">
      <x:c r="A8" s="35" t="str">
        <x:v>Siren</x:v>
      </x:c>
      <x:c r="B8" s="35" t="n">
        <x:v>83</x:v>
      </x:c>
      <x:c r="C8" s="35" t="str">
        <x:v>Focus</x:v>
      </x:c>
      <x:c r="D8" s="35" t="str">
        <x:v>2–4 AP</x:v>
      </x:c>
      <x:c r="E8" s="35" t="str">
        <x:v>None</x:v>
      </x:c>
      <x:c r="F8" s="35" t="str">
        <x:v>Control and Magic protection</x:v>
      </x:c>
      <x:c r="G8" s="35" t="str">
        <x:v>Orb, Hexwood, Song</x:v>
      </x:c>
      <x:c r="H8" s="35" t="str">
        <x:v>Control before protection break</x:v>
      </x:c>
      <x:c r="I8" s="35" t="str">
        <x:v>Revised</x:v>
      </x:c>
    </x:row>
    <x:row r="9">
      <x:c r="A9" s="35" t="str">
        <x:v>Inquisitor</x:v>
      </x:c>
      <x:c r="B9" s="35" t="n">
        <x:v>80</x:v>
      </x:c>
      <x:c r="C9" s="35" t="str">
        <x:v>Might or Focus by weapon</x:v>
      </x:c>
      <x:c r="D9" s="35" t="str">
        <x:v>2–4 AP</x:v>
      </x:c>
      <x:c r="E9" s="35" t="str">
        <x:v>None</x:v>
      </x:c>
      <x:c r="F9" s="35" t="str">
        <x:v>Health/protection sustain</x:v>
      </x:c>
      <x:c r="G9" s="35" t="str">
        <x:v>Scythe + selected martial/magic</x:v>
      </x:c>
      <x:c r="H9" s="35" t="str">
        <x:v>Infinite lifesteal loop</x:v>
      </x:c>
      <x:c r="I9" s="35" t="str">
        <x:v>Revised</x:v>
      </x:c>
    </x:row>
    <x:row r="10">
      <x:c r="A10" s="35" t="str">
        <x:v>Bard</x:v>
      </x:c>
      <x:c r="B10" s="35" t="n">
        <x:v>82</x:v>
      </x:c>
      <x:c r="C10" s="35" t="str">
        <x:v>Dexterity + Focus hybrid</x:v>
      </x:c>
      <x:c r="D10" s="35" t="str">
        <x:v>1–3 AP</x:v>
      </x:c>
      <x:c r="E10" s="35" t="str">
        <x:v>Conditional 1 AP refund only through named Verse/Chorus action</x:v>
      </x:c>
      <x:c r="F10" s="35" t="str">
        <x:v>Split protection and utility</x:v>
      </x:c>
      <x:c r="G10" s="35" t="str">
        <x:v>Song + Bow/Crossbow + Orb</x:v>
      </x:c>
      <x:c r="H10" s="35" t="str">
        <x:v>Paying twice for split stats</x:v>
      </x:c>
      <x:c r="I10" s="35" t="str">
        <x:v>Revised</x:v>
      </x:c>
    </x:row>
    <x:row r="11">
      <x:c r="A11" s="35" t="str">
        <x:v>Brute</x:v>
      </x:c>
      <x:c r="B11" s="35" t="n">
        <x:v>78</x:v>
      </x:c>
      <x:c r="C11" s="35" t="str">
        <x:v>Might</x:v>
      </x:c>
      <x:c r="D11" s="35" t="str">
        <x:v>2–5 AP</x:v>
      </x:c>
      <x:c r="E11" s="35" t="str">
        <x:v>None</x:v>
      </x:c>
      <x:c r="F11" s="35" t="str">
        <x:v>Health, impact and Armour</x:v>
      </x:c>
      <x:c r="G11" s="35" t="str">
        <x:v>Heavy Strength</x:v>
      </x:c>
      <x:c r="H11" s="35" t="str">
        <x:v>High HP + high damage + high defence together</x:v>
      </x:c>
      <x:c r="I11" s="35" t="str">
        <x:v>Revised</x:v>
      </x:c>
    </x:row>
    <x:row r="12">
      <x:c r="A12" s="36" t="str">
        <x:v>Duke</x:v>
      </x:c>
      <x:c r="B12" s="36" t="n">
        <x:v>84</x:v>
      </x:c>
      <x:c r="C12" s="36" t="str">
        <x:v>Authored</x:v>
      </x:c>
      <x:c r="D12" s="36" t="str">
        <x:v>2–6 AP</x:v>
      </x:c>
      <x:c r="E12" s="36" t="str">
        <x:v>Encounter-specific and visible</x:v>
      </x:c>
      <x:c r="F12" s="36" t="str">
        <x:v>Phase-defined</x:v>
      </x:c>
      <x:c r="G12" s="36" t="str">
        <x:v>Unique legal loadout</x:v>
      </x:c>
      <x:c r="H12" s="36" t="str">
        <x:v>Hidden boss exceptions</x:v>
      </x:c>
      <x:c r="I12" s="36" t="str">
        <x:v>Retained</x:v>
      </x:c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</x:row>
    <x:row r="14" ht="24" customHeight="1">
      <x:c r="A14" s="13" t="str">
        <x:v>AP POLICY</x:v>
      </x:c>
      <x:c r="B14" s="14"/>
      <x:c r="C14" s="14"/>
      <x:c r="D14" s="14"/>
      <x:c r="E14" s="14"/>
      <x:c r="F14" s="14"/>
      <x:c r="G14" s="14"/>
      <x:c r="H14" s="14"/>
      <x:c r="I14" s="15"/>
    </x:row>
    <x:row r="15" ht="25" customHeight="1">
      <x:c r="A15" s="58" t="str">
        <x:v>Question</x:v>
      </x:c>
      <x:c r="B15" s="59" t="str">
        <x:v>Decision</x:v>
      </x:c>
      <x:c r="C15" s="59" t="str">
        <x:v>Reason</x:v>
      </x:c>
      <x:c r="D15" s="59" t="str"/>
      <x:c r="E15" s="59" t="str"/>
      <x:c r="F15" s="59" t="str"/>
      <x:c r="G15" s="59" t="str"/>
      <x:c r="H15" s="59" t="str"/>
      <x:c r="I15" s="60" t="str"/>
    </x:row>
    <x:row r="16">
      <x:c r="A16" s="34" t="str">
        <x:v>Different starting AP by size/class?</x:v>
      </x:c>
      <x:c r="B16" s="34" t="str">
        <x:v>No</x:v>
      </x:c>
      <x:c r="C16" s="34" t="str">
        <x:v>Opening AP changes burst and defence by 25% per point.</x:v>
      </x:c>
      <x:c r="D16" s="34" t="str"/>
      <x:c r="E16" s="34" t="str"/>
      <x:c r="F16" s="34" t="str"/>
      <x:c r="G16" s="34" t="str"/>
      <x:c r="H16" s="34" t="str"/>
      <x:c r="I16" s="34" t="str"/>
    </x:row>
    <x:row r="17">
      <x:c r="A17" s="35" t="str">
        <x:v>Different AP recovery?</x:v>
      </x:c>
      <x:c r="B17" s="35" t="str">
        <x:v>No</x:v>
      </x:c>
      <x:c r="C17" s="35" t="str">
        <x:v>4 instead of 3 is 33% more damage, healing and control every turn.</x:v>
      </x:c>
      <x:c r="D17" s="35" t="str"/>
      <x:c r="E17" s="35" t="str"/>
      <x:c r="F17" s="35" t="str"/>
      <x:c r="G17" s="35" t="str"/>
      <x:c r="H17" s="35" t="str"/>
      <x:c r="I17" s="35" t="str"/>
    </x:row>
    <x:row r="18">
      <x:c r="A18" s="35" t="str">
        <x:v>Can select birds bend AP?</x:v>
      </x:c>
      <x:c r="B18" s="35" t="str">
        <x:v>Yes, conditionally</x:v>
      </x:c>
      <x:c r="C18" s="35" t="str">
        <x:v>Use a once-per-turn refund, cost reduction or Momentum trigger.</x:v>
      </x:c>
      <x:c r="D18" s="35" t="str"/>
      <x:c r="E18" s="35" t="str"/>
      <x:c r="F18" s="35" t="str"/>
      <x:c r="G18" s="35" t="str"/>
      <x:c r="H18" s="35" t="str"/>
      <x:c r="I18" s="35" t="str"/>
    </x:row>
    <x:row r="19">
      <x:c r="A19" s="35" t="str">
        <x:v>Can a refund chain?</x:v>
      </x:c>
      <x:c r="B19" s="35" t="str">
        <x:v>No</x:v>
      </x:c>
      <x:c r="C19" s="35" t="str">
        <x:v>Refunds cannot trigger another refund and do not trigger from Basic attacks.</x:v>
      </x:c>
      <x:c r="D19" s="35" t="str"/>
      <x:c r="E19" s="35" t="str"/>
      <x:c r="F19" s="35" t="str"/>
      <x:c r="G19" s="35" t="str"/>
      <x:c r="H19" s="35" t="str"/>
      <x:c r="I19" s="35" t="str"/>
    </x:row>
    <x:row r="20">
      <x:c r="A20" s="36" t="str">
        <x:v>Can AP exceed 6?</x:v>
      </x:c>
      <x:c r="B20" s="36" t="str">
        <x:v>No</x:v>
      </x:c>
      <x:c r="C20" s="36" t="str">
        <x:v>Hard cap protects banking and Ultimate cadence.</x:v>
      </x:c>
      <x:c r="D20" s="36" t="str"/>
      <x:c r="E20" s="36" t="str"/>
      <x:c r="F20" s="36" t="str"/>
      <x:c r="G20" s="36" t="str"/>
      <x:c r="H20" s="36" t="str"/>
      <x:c r="I20" s="36" t="str"/>
    </x:row>
  </x:sheetData>
  <x:mergeCells>
    <x:mergeCell ref="A1:I1"/>
    <x:mergeCell ref="A2:I2"/>
    <x:mergeCell ref="A14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5" hidden="0" customWidth="1"/>
    <x:col min="5" max="5" width="11" hidden="0" customWidth="1"/>
    <x:col min="6" max="6" width="10" hidden="0" customWidth="1"/>
    <x:col min="7" max="7" width="12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13" hidden="0" customWidth="1"/>
    <x:col min="19" max="19" width="13" hidden="0" customWidth="1"/>
    <x:col min="20" max="20" width="20" hidden="0" customWidth="1"/>
    <x:col min="21" max="21" width="22" hidden="0" customWidth="1"/>
    <x:col min="22" max="22" width="55" hidden="0" customWidth="1"/>
    <x:col min="24" max="24" width="25" hidden="0" customWidth="1"/>
    <x:col min="25" max="25" width="18" hidden="0" customWidth="1"/>
    <x:col min="26" max="26" width="18" hidden="0" customWidth="1"/>
    <x:col min="27" max="27" width="14" hidden="0" customWidth="1"/>
  </x:cols>
  <x:sheetData>
    <x:row r="1" ht="34" customHeight="1">
      <x:c r="A1" s="3" t="str">
        <x:v>52-BIRD RECALIBRATION REGISTER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27"/>
      <x:c r="X1" s="27"/>
      <x:c r="Y1" s="27"/>
      <x:c r="Z1" s="27"/>
      <x:c r="AA1" s="27"/>
    </x:row>
    <x:row r="2" ht="29" customHeight="1">
      <x:c r="A2" s="57" t="str">
        <x:v>All existing birds are recalculated through the v2 Health formula. Barn Owl receives the confirmed class/stat redesign; remaining species keep their current class pending identity audits.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 ht="25" customHeight="1">
      <x:c r="A4" s="58" t="str">
        <x:v>Bird</x:v>
      </x:c>
      <x:c r="B4" s="59" t="str">
        <x:v>Old class</x:v>
      </x:c>
      <x:c r="C4" s="59" t="str">
        <x:v>New class</x:v>
      </x:c>
      <x:c r="D4" s="59" t="str">
        <x:v>Size</x:v>
      </x:c>
      <x:c r="E4" s="59" t="str">
        <x:v>Tier</x:v>
      </x:c>
      <x:c r="F4" s="59" t="str">
        <x:v>Starter</x:v>
      </x:c>
      <x:c r="G4" s="59" t="str">
        <x:v>Affinity</x:v>
      </x:c>
      <x:c r="H4" s="59" t="str">
        <x:v>VIT</x:v>
      </x:c>
      <x:c r="I4" s="59" t="str">
        <x:v>Might</x:v>
      </x:c>
      <x:c r="J4" s="59" t="str">
        <x:v>DEX</x:v>
      </x:c>
      <x:c r="K4" s="59" t="str">
        <x:v>Guard</x:v>
      </x:c>
      <x:c r="L4" s="59" t="str">
        <x:v>Focus</x:v>
      </x:c>
      <x:c r="M4" s="59" t="str">
        <x:v>Resolve</x:v>
      </x:c>
      <x:c r="N4" s="59" t="str">
        <x:v>Agility</x:v>
      </x:c>
      <x:c r="O4" s="59" t="str">
        <x:v>Old L1 HP</x:v>
      </x:c>
      <x:c r="P4" s="59" t="str">
        <x:v>New L1 HP</x:v>
      </x:c>
      <x:c r="Q4" s="59" t="str">
        <x:v>HP change</x:v>
      </x:c>
      <x:c r="R4" s="59" t="str">
        <x:v>Old Precision</x:v>
      </x:c>
      <x:c r="S4" s="59" t="str">
        <x:v>New Precision</x:v>
      </x:c>
      <x:c r="T4" s="59" t="str">
        <x:v>Attack identity</x:v>
      </x:c>
      <x:c r="U4" s="59" t="str">
        <x:v>Review state</x:v>
      </x:c>
      <x:c r="V4" s="60" t="str">
        <x:v>Design note</x:v>
      </x:c>
      <x:c r="W4" s="27"/>
      <x:c r="X4" s="58" t="str">
        <x:v>Audit</x:v>
      </x:c>
      <x:c r="Y4" s="59" t="str">
        <x:v>Result</x:v>
      </x:c>
      <x:c r="Z4" s="59" t="str">
        <x:v>Target</x:v>
      </x:c>
      <x:c r="AA4" s="60" t="str">
        <x:v>State</x:v>
      </x:c>
    </x:row>
    <x:row r="5">
      <x:c r="A5" s="34" t="str">
        <x:v>Sparrow</x:v>
      </x:c>
      <x:c r="B5" s="34" t="str">
        <x:v>Rogue</x:v>
      </x:c>
      <x:c r="C5" s="34" t="str">
        <x:v>Rogue</x:v>
      </x:c>
      <x:c r="D5" s="34" t="str">
        <x:v>Small</x:v>
      </x:c>
      <x:c r="E5" s="34" t="str">
        <x:v>Grey</x:v>
      </x:c>
      <x:c r="F5" s="34" t="str">
        <x:v>Yes</x:v>
      </x:c>
      <x:c r="G5" s="34" t="str">
        <x:v>Sky</x:v>
      </x:c>
      <x:c r="H5" s="34" t="n">
        <x:v>3</x:v>
      </x:c>
      <x:c r="I5" s="34" t="n">
        <x:v>1</x:v>
      </x:c>
      <x:c r="J5" s="34" t="n">
        <x:v>9</x:v>
      </x:c>
      <x:c r="K5" s="34" t="n">
        <x:v>4</x:v>
      </x:c>
      <x:c r="L5" s="34" t="n">
        <x:v>0</x:v>
      </x:c>
      <x:c r="M5" s="34" t="n">
        <x:v>4</x:v>
      </x:c>
      <x:c r="N5" s="34" t="n">
        <x:v>9</x:v>
      </x:c>
      <x:c r="O5" s="34" t="n">
        <x:v>19</x:v>
      </x:c>
      <x:c r="P5" s="34" t="n">
        <x:v>143</x:v>
      </x:c>
      <x:c r="Q5" s="34" t="n">
        <x:v>124</x:v>
      </x:c>
      <x:c r="R5" s="34" t="n">
        <x:v>89</x:v>
      </x:c>
      <x:c r="S5" s="34" t="n">
        <x:v>89</x:v>
      </x:c>
      <x:c r="T5" s="34" t="str">
        <x:v>Dexterity</x:v>
      </x:c>
      <x:c r="U5" s="34" t="str">
        <x:v>Formula recalculated</x:v>
      </x:c>
      <x:c r="V5" s="34" t="str">
        <x:v>Foundation recalculation only; passive and loadout require later species pass.</x:v>
      </x:c>
      <x:c r="W5" s="27"/>
      <x:c r="X5" s="34" t="str">
        <x:v>Bird count</x:v>
      </x:c>
      <x:c r="Y5" s="34" t="n">
        <x:v>52</x:v>
      </x:c>
      <x:c r="Z5" s="34" t="n">
        <x:v>52</x:v>
      </x:c>
      <x:c r="AA5" s="34" t="str">
        <x:v>PASS</x:v>
      </x:c>
    </x:row>
    <x:row r="6">
      <x:c r="A6" s="35" t="str">
        <x:v>Hummingbird</x:v>
      </x:c>
      <x:c r="B6" s="35" t="str">
        <x:v>Rogue</x:v>
      </x:c>
      <x:c r="C6" s="35" t="str">
        <x:v>Rogue</x:v>
      </x:c>
      <x:c r="D6" s="35" t="str">
        <x:v>Tiny</x:v>
      </x:c>
      <x:c r="E6" s="35" t="str">
        <x:v>Green</x:v>
      </x:c>
      <x:c r="F6" s="35" t="str">
        <x:v>No</x:v>
      </x:c>
      <x:c r="G6" s="35" t="str">
        <x:v>Sky</x:v>
      </x:c>
      <x:c r="H6" s="35" t="n">
        <x:v>0</x:v>
      </x:c>
      <x:c r="I6" s="35" t="n">
        <x:v>0</x:v>
      </x:c>
      <x:c r="J6" s="35" t="n">
        <x:v>10</x:v>
      </x:c>
      <x:c r="K6" s="35" t="n">
        <x:v>1</x:v>
      </x:c>
      <x:c r="L6" s="35" t="n">
        <x:v>0</x:v>
      </x:c>
      <x:c r="M6" s="35" t="n">
        <x:v>7</x:v>
      </x:c>
      <x:c r="N6" s="35" t="n">
        <x:v>12</x:v>
      </x:c>
      <x:c r="O6" s="35" t="n">
        <x:v>8</x:v>
      </x:c>
      <x:c r="P6" s="35" t="n">
        <x:v>125</x:v>
      </x:c>
      <x:c r="Q6" s="35" t="n">
        <x:v>117</x:v>
      </x:c>
      <x:c r="R6" s="35" t="n">
        <x:v>93</x:v>
      </x:c>
      <x:c r="S6" s="35" t="n">
        <x:v>93</x:v>
      </x:c>
      <x:c r="T6" s="35" t="str">
        <x:v>Dexterity</x:v>
      </x:c>
      <x:c r="U6" s="35" t="str">
        <x:v>Formula recalculated</x:v>
      </x:c>
      <x:c r="V6" s="35" t="str">
        <x:v>Foundation recalculation only; passive and loadout require later species pass.</x:v>
      </x:c>
      <x:c r="W6" s="27"/>
      <x:c r="X6" s="35" t="str">
        <x:v>Barn Owl class</x:v>
      </x:c>
      <x:c r="Y6" s="35" t="str">
        <x:v>Rogue</x:v>
      </x:c>
      <x:c r="Z6" s="35" t="str">
        <x:v>Rogue</x:v>
      </x:c>
      <x:c r="AA6" s="35" t="str">
        <x:v>PASS</x:v>
      </x:c>
    </x:row>
    <x:row r="7">
      <x:c r="A7" s="35" t="str">
        <x:v>Blackbird</x:v>
      </x:c>
      <x:c r="B7" s="35" t="str">
        <x:v>Mage</x:v>
      </x:c>
      <x:c r="C7" s="35" t="str">
        <x:v>Mage</x:v>
      </x:c>
      <x:c r="D7" s="35" t="str">
        <x:v>Small</x:v>
      </x:c>
      <x:c r="E7" s="35" t="str">
        <x:v>Grey</x:v>
      </x:c>
      <x:c r="F7" s="35" t="str">
        <x:v>Yes</x:v>
      </x:c>
      <x:c r="G7" s="35" t="str">
        <x:v>Night</x:v>
      </x:c>
      <x:c r="H7" s="35" t="n">
        <x:v>2</x:v>
      </x:c>
      <x:c r="I7" s="35" t="n">
        <x:v>0</x:v>
      </x:c>
      <x:c r="J7" s="35" t="n">
        <x:v>0</x:v>
      </x:c>
      <x:c r="K7" s="35" t="n">
        <x:v>3</x:v>
      </x:c>
      <x:c r="L7" s="35" t="n">
        <x:v>10</x:v>
      </x:c>
      <x:c r="M7" s="35" t="n">
        <x:v>8</x:v>
      </x:c>
      <x:c r="N7" s="35" t="n">
        <x:v>7</x:v>
      </x:c>
      <x:c r="O7" s="35" t="n">
        <x:v>16</x:v>
      </x:c>
      <x:c r="P7" s="35" t="n">
        <x:v>138</x:v>
      </x:c>
      <x:c r="Q7" s="35" t="n">
        <x:v>122</x:v>
      </x:c>
      <x:c r="R7" s="35" t="n">
        <x:v>87</x:v>
      </x:c>
      <x:c r="S7" s="35" t="n">
        <x:v>87</x:v>
      </x:c>
      <x:c r="T7" s="35" t="str">
        <x:v>Focus</x:v>
      </x:c>
      <x:c r="U7" s="35" t="str">
        <x:v>Formula recalculated</x:v>
      </x:c>
      <x:c r="V7" s="35" t="str">
        <x:v>Foundation recalculation only; passive and loadout require later species pass.</x:v>
      </x:c>
      <x:c r="W7" s="27"/>
      <x:c r="X7" s="35" t="str">
        <x:v>Minimum normal L1 HP</x:v>
      </x:c>
      <x:c r="Y7" s="35" t="n">
        <x:v>125</x:v>
      </x:c>
      <x:c r="Z7" s="35" t="str">
        <x:v>≥125</x:v>
      </x:c>
      <x:c r="AA7" s="35" t="str">
        <x:v>PASS</x:v>
      </x:c>
    </x:row>
    <x:row r="8">
      <x:c r="A8" s="35" t="str">
        <x:v>Macaw</x:v>
      </x:c>
      <x:c r="B8" s="35" t="str">
        <x:v>Bard</x:v>
      </x:c>
      <x:c r="C8" s="35" t="str">
        <x:v>Bard</x:v>
      </x:c>
      <x:c r="D8" s="35" t="str">
        <x:v>Large</x:v>
      </x:c>
      <x:c r="E8" s="35" t="str">
        <x:v>Grey</x:v>
      </x:c>
      <x:c r="F8" s="35" t="str">
        <x:v>Yes</x:v>
      </x:c>
      <x:c r="G8" s="35" t="str">
        <x:v>Day</x:v>
      </x:c>
      <x:c r="H8" s="35" t="n">
        <x:v>4</x:v>
      </x:c>
      <x:c r="I8" s="35" t="n">
        <x:v>3</x:v>
      </x:c>
      <x:c r="J8" s="35" t="n">
        <x:v>6</x:v>
      </x:c>
      <x:c r="K8" s="35" t="n">
        <x:v>4</x:v>
      </x:c>
      <x:c r="L8" s="35" t="n">
        <x:v>6</x:v>
      </x:c>
      <x:c r="M8" s="35" t="n">
        <x:v>5</x:v>
      </x:c>
      <x:c r="N8" s="35" t="n">
        <x:v>2</x:v>
      </x:c>
      <x:c r="O8" s="35" t="n">
        <x:v>26</x:v>
      </x:c>
      <x:c r="P8" s="35" t="n">
        <x:v>154</x:v>
      </x:c>
      <x:c r="Q8" s="35" t="n">
        <x:v>128</x:v>
      </x:c>
      <x:c r="R8" s="35" t="n">
        <x:v>80</x:v>
      </x:c>
      <x:c r="S8" s="35" t="n">
        <x:v>80</x:v>
      </x:c>
      <x:c r="T8" s="35" t="str">
        <x:v>Hybrid DEX + Focus</x:v>
      </x:c>
      <x:c r="U8" s="35" t="str">
        <x:v>Formula recalculated</x:v>
      </x:c>
      <x:c r="V8" s="35" t="str">
        <x:v>Foundation recalculation only; passive and loadout require later species pass.</x:v>
      </x:c>
      <x:c r="W8" s="27"/>
      <x:c r="X8" s="35" t="str">
        <x:v>Maximum normal L1 HP</x:v>
      </x:c>
      <x:c r="Y8" s="35" t="n">
        <x:v>185</x:v>
      </x:c>
      <x:c r="Z8" s="35" t="str">
        <x:v>≤190</x:v>
      </x:c>
      <x:c r="AA8" s="35" t="str">
        <x:v>PASS</x:v>
      </x:c>
    </x:row>
    <x:row r="9">
      <x:c r="A9" s="35" t="str">
        <x:v>Peregrine Falcon</x:v>
      </x:c>
      <x:c r="B9" s="35" t="str">
        <x:v>Rogue</x:v>
      </x:c>
      <x:c r="C9" s="35" t="str">
        <x:v>Rogue</x:v>
      </x:c>
      <x:c r="D9" s="35" t="str">
        <x:v>Medium</x:v>
      </x:c>
      <x:c r="E9" s="35" t="str">
        <x:v>Blue</x:v>
      </x:c>
      <x:c r="F9" s="35" t="str">
        <x:v>No</x:v>
      </x:c>
      <x:c r="G9" s="35" t="str">
        <x:v>Sky</x:v>
      </x:c>
      <x:c r="H9" s="35" t="n">
        <x:v>1</x:v>
      </x:c>
      <x:c r="I9" s="35" t="n">
        <x:v>1</x:v>
      </x:c>
      <x:c r="J9" s="35" t="n">
        <x:v>14</x:v>
      </x:c>
      <x:c r="K9" s="35" t="n">
        <x:v>2</x:v>
      </x:c>
      <x:c r="L9" s="35" t="n">
        <x:v>0</x:v>
      </x:c>
      <x:c r="M9" s="35" t="n">
        <x:v>3</x:v>
      </x:c>
      <x:c r="N9" s="35" t="n">
        <x:v>9</x:v>
      </x:c>
      <x:c r="O9" s="35" t="n">
        <x:v>15</x:v>
      </x:c>
      <x:c r="P9" s="35" t="n">
        <x:v>136</x:v>
      </x:c>
      <x:c r="Q9" s="35" t="n">
        <x:v>121</x:v>
      </x:c>
      <x:c r="R9" s="35" t="n">
        <x:v>89</x:v>
      </x:c>
      <x:c r="S9" s="35" t="n">
        <x:v>89</x:v>
      </x:c>
      <x:c r="T9" s="35" t="str">
        <x:v>Dexterity</x:v>
      </x:c>
      <x:c r="U9" s="35" t="str">
        <x:v>Formula recalculated</x:v>
      </x:c>
      <x:c r="V9" s="35" t="str">
        <x:v>Foundation recalculation only; passive and loadout require later species pass.</x:v>
      </x:c>
      <x:c r="W9" s="27"/>
      <x:c r="X9" s="35" t="str">
        <x:v>Normal HP ratio</x:v>
      </x:c>
      <x:c r="Y9" s="46" t="n">
        <x:v>1.48</x:v>
      </x:c>
      <x:c r="Z9" s="35" t="str">
        <x:v>≤1.50</x:v>
      </x:c>
      <x:c r="AA9" s="35" t="str">
        <x:v>PASS</x:v>
      </x:c>
    </x:row>
    <x:row r="10">
      <x:c r="A10" s="35" t="str">
        <x:v>Snowy Owl</x:v>
      </x:c>
      <x:c r="B10" s="35" t="str">
        <x:v>Mage</x:v>
      </x:c>
      <x:c r="C10" s="35" t="str">
        <x:v>Mage</x:v>
      </x:c>
      <x:c r="D10" s="35" t="str">
        <x:v>Large</x:v>
      </x:c>
      <x:c r="E10" s="35" t="str">
        <x:v>Blue</x:v>
      </x:c>
      <x:c r="F10" s="35" t="str">
        <x:v>No</x:v>
      </x:c>
      <x:c r="G10" s="35" t="str">
        <x:v>Water</x:v>
      </x:c>
      <x:c r="H10" s="35" t="n">
        <x:v>4</x:v>
      </x:c>
      <x:c r="I10" s="35" t="n">
        <x:v>0</x:v>
      </x:c>
      <x:c r="J10" s="35" t="n">
        <x:v>0</x:v>
      </x:c>
      <x:c r="K10" s="35" t="n">
        <x:v>3</x:v>
      </x:c>
      <x:c r="L10" s="35" t="n">
        <x:v>14</x:v>
      </x:c>
      <x:c r="M10" s="35" t="n">
        <x:v>6</x:v>
      </x:c>
      <x:c r="N10" s="35" t="n">
        <x:v>3</x:v>
      </x:c>
      <x:c r="O10" s="35" t="n">
        <x:v>26</x:v>
      </x:c>
      <x:c r="P10" s="35" t="n">
        <x:v>154</x:v>
      </x:c>
      <x:c r="Q10" s="35" t="n">
        <x:v>128</x:v>
      </x:c>
      <x:c r="R10" s="35" t="n">
        <x:v>82</x:v>
      </x:c>
      <x:c r="S10" s="35" t="n">
        <x:v>82</x:v>
      </x:c>
      <x:c r="T10" s="35" t="str">
        <x:v>Focus</x:v>
      </x:c>
      <x:c r="U10" s="35" t="str">
        <x:v>Formula recalculated</x:v>
      </x:c>
      <x:c r="V10" s="35" t="str">
        <x:v>Foundation recalculation only; passive and loadout require later species pass.</x:v>
      </x:c>
      <x:c r="W10" s="27"/>
      <x:c r="X10" s="35" t="str">
        <x:v>Minimum Base Precision</x:v>
      </x:c>
      <x:c r="Y10" s="35" t="n">
        <x:v>71</x:v>
      </x:c>
      <x:c r="Z10" s="35" t="str">
        <x:v>≥71</x:v>
      </x:c>
      <x:c r="AA10" s="35" t="str">
        <x:v>PASS</x:v>
      </x:c>
    </x:row>
    <x:row r="11">
      <x:c r="A11" s="35" t="str">
        <x:v>Kiwi</x:v>
      </x:c>
      <x:c r="B11" s="35" t="str">
        <x:v>Inquisitor</x:v>
      </x:c>
      <x:c r="C11" s="35" t="str">
        <x:v>Inquisitor</x:v>
      </x:c>
      <x:c r="D11" s="35" t="str">
        <x:v>Large</x:v>
      </x:c>
      <x:c r="E11" s="35" t="str">
        <x:v>Blue</x:v>
      </x:c>
      <x:c r="F11" s="35" t="str">
        <x:v>No</x:v>
      </x:c>
      <x:c r="G11" s="35" t="str">
        <x:v>Earth</x:v>
      </x:c>
      <x:c r="H11" s="35" t="n">
        <x:v>7</x:v>
      </x:c>
      <x:c r="I11" s="35" t="n">
        <x:v>4</x:v>
      </x:c>
      <x:c r="J11" s="35" t="n">
        <x:v>1</x:v>
      </x:c>
      <x:c r="K11" s="35" t="n">
        <x:v>5</x:v>
      </x:c>
      <x:c r="L11" s="35" t="n">
        <x:v>3</x:v>
      </x:c>
      <x:c r="M11" s="35" t="n">
        <x:v>8</x:v>
      </x:c>
      <x:c r="N11" s="35" t="n">
        <x:v>2</x:v>
      </x:c>
      <x:c r="O11" s="35" t="n">
        <x:v>35</x:v>
      </x:c>
      <x:c r="P11" s="35" t="n">
        <x:v>169</x:v>
      </x:c>
      <x:c r="Q11" s="35" t="n">
        <x:v>134</x:v>
      </x:c>
      <x:c r="R11" s="35" t="n">
        <x:v>77</x:v>
      </x:c>
      <x:c r="S11" s="35" t="n">
        <x:v>77</x:v>
      </x:c>
      <x:c r="T11" s="35" t="str">
        <x:v>Might or Focus</x:v>
      </x:c>
      <x:c r="U11" s="35" t="str">
        <x:v>Formula recalculated</x:v>
      </x:c>
      <x:c r="V11" s="35" t="str">
        <x:v>Foundation recalculation only; passive and loadout require later species pass.</x:v>
      </x:c>
      <x:c r="W11" s="27"/>
      <x:c r="X11" s="36" t="str">
        <x:v>Next pass</x:v>
      </x:c>
      <x:c r="Y11" s="36" t="str">
        <x:v>Passives, utilities and preferred loadouts</x:v>
      </x:c>
      <x:c r="Z11" s="36" t="str">
        <x:v>All 52</x:v>
      </x:c>
      <x:c r="AA11" s="36" t="str">
        <x:v>REQUIRED</x:v>
      </x:c>
    </x:row>
    <x:row r="12">
      <x:c r="A12" s="35" t="str">
        <x:v>Black Cockatoo</x:v>
      </x:c>
      <x:c r="B12" s="35" t="str">
        <x:v>Bard</x:v>
      </x:c>
      <x:c r="C12" s="35" t="str">
        <x:v>Bard</x:v>
      </x:c>
      <x:c r="D12" s="35" t="str">
        <x:v>Medium</x:v>
      </x:c>
      <x:c r="E12" s="35" t="str">
        <x:v>Blue</x:v>
      </x:c>
      <x:c r="F12" s="35" t="str">
        <x:v>No</x:v>
      </x:c>
      <x:c r="G12" s="35" t="str">
        <x:v>Storm</x:v>
      </x:c>
      <x:c r="H12" s="35" t="n">
        <x:v>4</x:v>
      </x:c>
      <x:c r="I12" s="35" t="n">
        <x:v>2</x:v>
      </x:c>
      <x:c r="J12" s="35" t="n">
        <x:v>6</x:v>
      </x:c>
      <x:c r="K12" s="35" t="n">
        <x:v>4</x:v>
      </x:c>
      <x:c r="L12" s="35" t="n">
        <x:v>6</x:v>
      </x:c>
      <x:c r="M12" s="35" t="n">
        <x:v>5</x:v>
      </x:c>
      <x:c r="N12" s="35" t="n">
        <x:v>3</x:v>
      </x:c>
      <x:c r="O12" s="35" t="n">
        <x:v>24</x:v>
      </x:c>
      <x:c r="P12" s="35" t="n">
        <x:v>151</x:v>
      </x:c>
      <x:c r="Q12" s="35" t="n">
        <x:v>127</x:v>
      </x:c>
      <x:c r="R12" s="35" t="n">
        <x:v>82</x:v>
      </x:c>
      <x:c r="S12" s="35" t="n">
        <x:v>82</x:v>
      </x:c>
      <x:c r="T12" s="35" t="str">
        <x:v>Hybrid DEX + Focus</x:v>
      </x:c>
      <x:c r="U12" s="35" t="str">
        <x:v>Formula recalculated</x:v>
      </x:c>
      <x:c r="V12" s="35" t="str">
        <x:v>Foundation recalculation only; passive and loadout require later species pass.</x:v>
      </x:c>
      <x:c r="W12" s="27"/>
      <x:c r="X12" s="27"/>
      <x:c r="Y12" s="27"/>
      <x:c r="Z12" s="27"/>
      <x:c r="AA12" s="27"/>
    </x:row>
    <x:row r="13">
      <x:c r="A13" s="35" t="str">
        <x:v>Crow</x:v>
      </x:c>
      <x:c r="B13" s="35" t="str">
        <x:v>Knight</x:v>
      </x:c>
      <x:c r="C13" s="35" t="str">
        <x:v>Knight</x:v>
      </x:c>
      <x:c r="D13" s="35" t="str">
        <x:v>Medium</x:v>
      </x:c>
      <x:c r="E13" s="35" t="str">
        <x:v>Grey</x:v>
      </x:c>
      <x:c r="F13" s="35" t="str">
        <x:v>Yes</x:v>
      </x:c>
      <x:c r="G13" s="35" t="str">
        <x:v>Storm</x:v>
      </x:c>
      <x:c r="H13" s="35" t="n">
        <x:v>5</x:v>
      </x:c>
      <x:c r="I13" s="35" t="n">
        <x:v>8</x:v>
      </x:c>
      <x:c r="J13" s="35" t="n">
        <x:v>2</x:v>
      </x:c>
      <x:c r="K13" s="35" t="n">
        <x:v>8</x:v>
      </x:c>
      <x:c r="L13" s="35" t="n">
        <x:v>0</x:v>
      </x:c>
      <x:c r="M13" s="35" t="n">
        <x:v>4</x:v>
      </x:c>
      <x:c r="N13" s="35" t="n">
        <x:v>3</x:v>
      </x:c>
      <x:c r="O13" s="35" t="n">
        <x:v>27</x:v>
      </x:c>
      <x:c r="P13" s="35" t="n">
        <x:v>156</x:v>
      </x:c>
      <x:c r="Q13" s="35" t="n">
        <x:v>129</x:v>
      </x:c>
      <x:c r="R13" s="35" t="n">
        <x:v>79</x:v>
      </x:c>
      <x:c r="S13" s="35" t="n">
        <x:v>81</x:v>
      </x:c>
      <x:c r="T13" s="35" t="str">
        <x:v>Might</x:v>
      </x:c>
      <x:c r="U13" s="35" t="str">
        <x:v>Formula recalculated</x:v>
      </x:c>
      <x:c r="V13" s="35" t="str">
        <x:v>Foundation recalculation only; passive and loadout require later species pass.</x:v>
      </x:c>
      <x:c r="W13" s="27"/>
      <x:c r="X13" s="27"/>
      <x:c r="Y13" s="27"/>
      <x:c r="Z13" s="27"/>
      <x:c r="AA13" s="27"/>
    </x:row>
    <x:row r="14">
      <x:c r="A14" s="35" t="str">
        <x:v>Kookaburra</x:v>
      </x:c>
      <x:c r="B14" s="35" t="str">
        <x:v>Siren</x:v>
      </x:c>
      <x:c r="C14" s="35" t="str">
        <x:v>Siren</x:v>
      </x:c>
      <x:c r="D14" s="35" t="str">
        <x:v>Medium</x:v>
      </x:c>
      <x:c r="E14" s="35" t="str">
        <x:v>Green</x:v>
      </x:c>
      <x:c r="F14" s="35" t="str">
        <x:v>No</x:v>
      </x:c>
      <x:c r="G14" s="35" t="str">
        <x:v>Sky</x:v>
      </x:c>
      <x:c r="H14" s="35" t="n">
        <x:v>2</x:v>
      </x:c>
      <x:c r="I14" s="35" t="n">
        <x:v>1</x:v>
      </x:c>
      <x:c r="J14" s="35" t="n">
        <x:v>1</x:v>
      </x:c>
      <x:c r="K14" s="35" t="n">
        <x:v>3</x:v>
      </x:c>
      <x:c r="L14" s="35" t="n">
        <x:v>10</x:v>
      </x:c>
      <x:c r="M14" s="35" t="n">
        <x:v>5</x:v>
      </x:c>
      <x:c r="N14" s="35" t="n">
        <x:v>8</x:v>
      </x:c>
      <x:c r="O14" s="35" t="n">
        <x:v>18</x:v>
      </x:c>
      <x:c r="P14" s="35" t="n">
        <x:v>141</x:v>
      </x:c>
      <x:c r="Q14" s="35" t="n">
        <x:v>123</x:v>
      </x:c>
      <x:c r="R14" s="35" t="n">
        <x:v>84</x:v>
      </x:c>
      <x:c r="S14" s="35" t="n">
        <x:v>84</x:v>
      </x:c>
      <x:c r="T14" s="35" t="str">
        <x:v>Focus</x:v>
      </x:c>
      <x:c r="U14" s="35" t="str">
        <x:v>Formula recalculated</x:v>
      </x:c>
      <x:c r="V14" s="35" t="str">
        <x:v>Foundation recalculation only; passive and loadout require later species pass.</x:v>
      </x:c>
      <x:c r="W14" s="27"/>
      <x:c r="X14" s="27"/>
      <x:c r="Y14" s="27"/>
      <x:c r="Z14" s="27"/>
      <x:c r="AA14" s="27"/>
    </x:row>
    <x:row r="15">
      <x:c r="A15" s="35" t="str">
        <x:v>Lyrebird</x:v>
      </x:c>
      <x:c r="B15" s="35" t="str">
        <x:v>Bard</x:v>
      </x:c>
      <x:c r="C15" s="35" t="str">
        <x:v>Bard</x:v>
      </x:c>
      <x:c r="D15" s="35" t="str">
        <x:v>Large</x:v>
      </x:c>
      <x:c r="E15" s="35" t="str">
        <x:v>Blue</x:v>
      </x:c>
      <x:c r="F15" s="35" t="str">
        <x:v>No</x:v>
      </x:c>
      <x:c r="G15" s="35" t="str">
        <x:v>Storm</x:v>
      </x:c>
      <x:c r="H15" s="35" t="n">
        <x:v>5</x:v>
      </x:c>
      <x:c r="I15" s="35" t="n">
        <x:v>1</x:v>
      </x:c>
      <x:c r="J15" s="35" t="n">
        <x:v>5</x:v>
      </x:c>
      <x:c r="K15" s="35" t="n">
        <x:v>4</x:v>
      </x:c>
      <x:c r="L15" s="35" t="n">
        <x:v>7</x:v>
      </x:c>
      <x:c r="M15" s="35" t="n">
        <x:v>6</x:v>
      </x:c>
      <x:c r="N15" s="35" t="n">
        <x:v>2</x:v>
      </x:c>
      <x:c r="O15" s="35" t="n">
        <x:v>29</x:v>
      </x:c>
      <x:c r="P15" s="35" t="n">
        <x:v>159</x:v>
      </x:c>
      <x:c r="Q15" s="35" t="n">
        <x:v>130</x:v>
      </x:c>
      <x:c r="R15" s="35" t="n">
        <x:v>81</x:v>
      </x:c>
      <x:c r="S15" s="35" t="n">
        <x:v>81</x:v>
      </x:c>
      <x:c r="T15" s="35" t="str">
        <x:v>Hybrid DEX + Focus</x:v>
      </x:c>
      <x:c r="U15" s="35" t="str">
        <x:v>Formula recalculated</x:v>
      </x:c>
      <x:c r="V15" s="35" t="str">
        <x:v>Foundation recalculation only; passive and loadout require later species pass.</x:v>
      </x:c>
      <x:c r="W15" s="27"/>
      <x:c r="X15" s="27"/>
      <x:c r="Y15" s="27"/>
      <x:c r="Z15" s="27"/>
      <x:c r="AA15" s="27"/>
    </x:row>
    <x:row r="16">
      <x:c r="A16" s="35" t="str">
        <x:v>Raven</x:v>
      </x:c>
      <x:c r="B16" s="35" t="str">
        <x:v>Siren</x:v>
      </x:c>
      <x:c r="C16" s="35" t="str">
        <x:v>Siren</x:v>
      </x:c>
      <x:c r="D16" s="35" t="str">
        <x:v>Large</x:v>
      </x:c>
      <x:c r="E16" s="35" t="str">
        <x:v>Blue</x:v>
      </x:c>
      <x:c r="F16" s="35" t="str">
        <x:v>No</x:v>
      </x:c>
      <x:c r="G16" s="35" t="str">
        <x:v>Storm</x:v>
      </x:c>
      <x:c r="H16" s="35" t="n">
        <x:v>3</x:v>
      </x:c>
      <x:c r="I16" s="35" t="n">
        <x:v>1</x:v>
      </x:c>
      <x:c r="J16" s="35" t="n">
        <x:v>1</x:v>
      </x:c>
      <x:c r="K16" s="35" t="n">
        <x:v>3</x:v>
      </x:c>
      <x:c r="L16" s="35" t="n">
        <x:v>12</x:v>
      </x:c>
      <x:c r="M16" s="35" t="n">
        <x:v>6</x:v>
      </x:c>
      <x:c r="N16" s="35" t="n">
        <x:v>4</x:v>
      </x:c>
      <x:c r="O16" s="35" t="n">
        <x:v>23</x:v>
      </x:c>
      <x:c r="P16" s="35" t="n">
        <x:v>149</x:v>
      </x:c>
      <x:c r="Q16" s="35" t="n">
        <x:v>126</x:v>
      </x:c>
      <x:c r="R16" s="35" t="n">
        <x:v>82</x:v>
      </x:c>
      <x:c r="S16" s="35" t="n">
        <x:v>82</x:v>
      </x:c>
      <x:c r="T16" s="35" t="str">
        <x:v>Focus</x:v>
      </x:c>
      <x:c r="U16" s="35" t="str">
        <x:v>Formula recalculated</x:v>
      </x:c>
      <x:c r="V16" s="35" t="str">
        <x:v>Foundation recalculation only; passive and loadout require later species pass.</x:v>
      </x:c>
      <x:c r="W16" s="27"/>
      <x:c r="X16" s="27"/>
      <x:c r="Y16" s="27"/>
      <x:c r="Z16" s="27"/>
      <x:c r="AA16" s="27"/>
    </x:row>
    <x:row r="17">
      <x:c r="A17" s="35" t="str">
        <x:v>Magpie</x:v>
      </x:c>
      <x:c r="B17" s="35" t="str">
        <x:v>Rogue</x:v>
      </x:c>
      <x:c r="C17" s="35" t="str">
        <x:v>Rogue</x:v>
      </x:c>
      <x:c r="D17" s="35" t="str">
        <x:v>Medium</x:v>
      </x:c>
      <x:c r="E17" s="35" t="str">
        <x:v>Green</x:v>
      </x:c>
      <x:c r="F17" s="35" t="str">
        <x:v>No</x:v>
      </x:c>
      <x:c r="G17" s="35" t="str">
        <x:v>Storm</x:v>
      </x:c>
      <x:c r="H17" s="35" t="n">
        <x:v>3</x:v>
      </x:c>
      <x:c r="I17" s="35" t="n">
        <x:v>2</x:v>
      </x:c>
      <x:c r="J17" s="35" t="n">
        <x:v>11</x:v>
      </x:c>
      <x:c r="K17" s="35" t="n">
        <x:v>3</x:v>
      </x:c>
      <x:c r="L17" s="35" t="n">
        <x:v>0</x:v>
      </x:c>
      <x:c r="M17" s="35" t="n">
        <x:v>4</x:v>
      </x:c>
      <x:c r="N17" s="35" t="n">
        <x:v>7</x:v>
      </x:c>
      <x:c r="O17" s="35" t="n">
        <x:v>21</x:v>
      </x:c>
      <x:c r="P17" s="35" t="n">
        <x:v>146</x:v>
      </x:c>
      <x:c r="Q17" s="35" t="n">
        <x:v>125</x:v>
      </x:c>
      <x:c r="R17" s="35" t="n">
        <x:v>88</x:v>
      </x:c>
      <x:c r="S17" s="35" t="n">
        <x:v>88</x:v>
      </x:c>
      <x:c r="T17" s="35" t="str">
        <x:v>Dexterity</x:v>
      </x:c>
      <x:c r="U17" s="35" t="str">
        <x:v>Formula recalculated</x:v>
      </x:c>
      <x:c r="V17" s="35" t="str">
        <x:v>Foundation recalculation only; passive and loadout require later species pass.</x:v>
      </x:c>
      <x:c r="W17" s="27"/>
      <x:c r="X17" s="27"/>
      <x:c r="Y17" s="27"/>
      <x:c r="Z17" s="27"/>
      <x:c r="AA17" s="27"/>
    </x:row>
    <x:row r="18">
      <x:c r="A18" s="35" t="str">
        <x:v>Robin</x:v>
      </x:c>
      <x:c r="B18" s="35" t="str">
        <x:v>Bard</x:v>
      </x:c>
      <x:c r="C18" s="35" t="str">
        <x:v>Bard</x:v>
      </x:c>
      <x:c r="D18" s="35" t="str">
        <x:v>Small</x:v>
      </x:c>
      <x:c r="E18" s="35" t="str">
        <x:v>Grey</x:v>
      </x:c>
      <x:c r="F18" s="35" t="str">
        <x:v>No</x:v>
      </x:c>
      <x:c r="G18" s="35" t="str">
        <x:v>Day</x:v>
      </x:c>
      <x:c r="H18" s="35" t="n">
        <x:v>2</x:v>
      </x:c>
      <x:c r="I18" s="35" t="n">
        <x:v>1</x:v>
      </x:c>
      <x:c r="J18" s="35" t="n">
        <x:v>6</x:v>
      </x:c>
      <x:c r="K18" s="35" t="n">
        <x:v>3</x:v>
      </x:c>
      <x:c r="L18" s="35" t="n">
        <x:v>7</x:v>
      </x:c>
      <x:c r="M18" s="35" t="n">
        <x:v>5</x:v>
      </x:c>
      <x:c r="N18" s="35" t="n">
        <x:v>6</x:v>
      </x:c>
      <x:c r="O18" s="35" t="n">
        <x:v>16</x:v>
      </x:c>
      <x:c r="P18" s="35" t="n">
        <x:v>138</x:v>
      </x:c>
      <x:c r="Q18" s="35" t="n">
        <x:v>122</x:v>
      </x:c>
      <x:c r="R18" s="35" t="n">
        <x:v>85</x:v>
      </x:c>
      <x:c r="S18" s="35" t="n">
        <x:v>85</x:v>
      </x:c>
      <x:c r="T18" s="35" t="str">
        <x:v>Hybrid DEX + Focus</x:v>
      </x:c>
      <x:c r="U18" s="35" t="str">
        <x:v>Formula recalculated</x:v>
      </x:c>
      <x:c r="V18" s="35" t="str">
        <x:v>Foundation recalculation only; passive and loadout require later species pass.</x:v>
      </x:c>
      <x:c r="W18" s="27"/>
      <x:c r="X18" s="27"/>
      <x:c r="Y18" s="27"/>
      <x:c r="Z18" s="27"/>
      <x:c r="AA18" s="27"/>
    </x:row>
    <x:row r="19">
      <x:c r="A19" s="35" t="str">
        <x:v>Bowerbird</x:v>
      </x:c>
      <x:c r="B19" s="35" t="str">
        <x:v>Siren</x:v>
      </x:c>
      <x:c r="C19" s="35" t="str">
        <x:v>Siren</x:v>
      </x:c>
      <x:c r="D19" s="35" t="str">
        <x:v>Medium</x:v>
      </x:c>
      <x:c r="E19" s="35" t="str">
        <x:v>Green</x:v>
      </x:c>
      <x:c r="F19" s="35" t="str">
        <x:v>No</x:v>
      </x:c>
      <x:c r="G19" s="35" t="str">
        <x:v>Day</x:v>
      </x:c>
      <x:c r="H19" s="35" t="n">
        <x:v>2</x:v>
      </x:c>
      <x:c r="I19" s="35" t="n">
        <x:v>0</x:v>
      </x:c>
      <x:c r="J19" s="35" t="n">
        <x:v>1</x:v>
      </x:c>
      <x:c r="K19" s="35" t="n">
        <x:v>3</x:v>
      </x:c>
      <x:c r="L19" s="35" t="n">
        <x:v>9</x:v>
      </x:c>
      <x:c r="M19" s="35" t="n">
        <x:v>6</x:v>
      </x:c>
      <x:c r="N19" s="35" t="n">
        <x:v>9</x:v>
      </x:c>
      <x:c r="O19" s="35" t="n">
        <x:v>18</x:v>
      </x:c>
      <x:c r="P19" s="35" t="n">
        <x:v>141</x:v>
      </x:c>
      <x:c r="Q19" s="35" t="n">
        <x:v>123</x:v>
      </x:c>
      <x:c r="R19" s="35" t="n">
        <x:v>84</x:v>
      </x:c>
      <x:c r="S19" s="35" t="n">
        <x:v>84</x:v>
      </x:c>
      <x:c r="T19" s="35" t="str">
        <x:v>Focus</x:v>
      </x:c>
      <x:c r="U19" s="35" t="str">
        <x:v>Formula recalculated</x:v>
      </x:c>
      <x:c r="V19" s="35" t="str">
        <x:v>Foundation recalculation only; passive and loadout require later species pass.</x:v>
      </x:c>
      <x:c r="W19" s="27"/>
      <x:c r="X19" s="27"/>
      <x:c r="Y19" s="27"/>
      <x:c r="Z19" s="27"/>
      <x:c r="AA19" s="27"/>
    </x:row>
    <x:row r="20">
      <x:c r="A20" s="35" t="str">
        <x:v>Toucan</x:v>
      </x:c>
      <x:c r="B20" s="35" t="str">
        <x:v>Bard</x:v>
      </x:c>
      <x:c r="C20" s="35" t="str">
        <x:v>Bard</x:v>
      </x:c>
      <x:c r="D20" s="35" t="str">
        <x:v>Medium</x:v>
      </x:c>
      <x:c r="E20" s="35" t="str">
        <x:v>Blue</x:v>
      </x:c>
      <x:c r="F20" s="35" t="str">
        <x:v>No</x:v>
      </x:c>
      <x:c r="G20" s="35" t="str">
        <x:v>Day</x:v>
      </x:c>
      <x:c r="H20" s="35" t="n">
        <x:v>4</x:v>
      </x:c>
      <x:c r="I20" s="35" t="n">
        <x:v>3</x:v>
      </x:c>
      <x:c r="J20" s="35" t="n">
        <x:v>8</x:v>
      </x:c>
      <x:c r="K20" s="35" t="n">
        <x:v>4</x:v>
      </x:c>
      <x:c r="L20" s="35" t="n">
        <x:v>4</x:v>
      </x:c>
      <x:c r="M20" s="35" t="n">
        <x:v>4</x:v>
      </x:c>
      <x:c r="N20" s="35" t="n">
        <x:v>3</x:v>
      </x:c>
      <x:c r="O20" s="35" t="n">
        <x:v>24</x:v>
      </x:c>
      <x:c r="P20" s="35" t="n">
        <x:v>151</x:v>
      </x:c>
      <x:c r="Q20" s="35" t="n">
        <x:v>127</x:v>
      </x:c>
      <x:c r="R20" s="35" t="n">
        <x:v>81</x:v>
      </x:c>
      <x:c r="S20" s="35" t="n">
        <x:v>81</x:v>
      </x:c>
      <x:c r="T20" s="35" t="str">
        <x:v>Hybrid DEX + Focus</x:v>
      </x:c>
      <x:c r="U20" s="35" t="str">
        <x:v>Formula recalculated</x:v>
      </x:c>
      <x:c r="V20" s="35" t="str">
        <x:v>Foundation recalculation only; passive and loadout require later species pass.</x:v>
      </x:c>
      <x:c r="W20" s="27"/>
      <x:c r="X20" s="27"/>
      <x:c r="Y20" s="27"/>
      <x:c r="Z20" s="27"/>
      <x:c r="AA20" s="27"/>
    </x:row>
    <x:row r="21">
      <x:c r="A21" s="35" t="str">
        <x:v>Swan</x:v>
      </x:c>
      <x:c r="B21" s="35" t="str">
        <x:v>Knight</x:v>
      </x:c>
      <x:c r="C21" s="35" t="str">
        <x:v>Knight</x:v>
      </x:c>
      <x:c r="D21" s="35" t="str">
        <x:v>Very Large</x:v>
      </x:c>
      <x:c r="E21" s="35" t="str">
        <x:v>Blue</x:v>
      </x:c>
      <x:c r="F21" s="35" t="str">
        <x:v>No</x:v>
      </x:c>
      <x:c r="G21" s="35" t="str">
        <x:v>Water</x:v>
      </x:c>
      <x:c r="H21" s="35" t="n">
        <x:v>7</x:v>
      </x:c>
      <x:c r="I21" s="35" t="n">
        <x:v>7</x:v>
      </x:c>
      <x:c r="J21" s="35" t="n">
        <x:v>0</x:v>
      </x:c>
      <x:c r="K21" s="35" t="n">
        <x:v>10</x:v>
      </x:c>
      <x:c r="L21" s="35" t="n">
        <x:v>0</x:v>
      </x:c>
      <x:c r="M21" s="35" t="n">
        <x:v>5</x:v>
      </x:c>
      <x:c r="N21" s="35" t="n">
        <x:v>1</x:v>
      </x:c>
      <x:c r="O21" s="35" t="n">
        <x:v>37</x:v>
      </x:c>
      <x:c r="P21" s="35" t="n">
        <x:v>172</x:v>
      </x:c>
      <x:c r="Q21" s="35" t="n">
        <x:v>135</x:v>
      </x:c>
      <x:c r="R21" s="35" t="n">
        <x:v>74</x:v>
      </x:c>
      <x:c r="S21" s="35" t="n">
        <x:v>76</x:v>
      </x:c>
      <x:c r="T21" s="35" t="str">
        <x:v>Might</x:v>
      </x:c>
      <x:c r="U21" s="35" t="str">
        <x:v>Formula recalculated</x:v>
      </x:c>
      <x:c r="V21" s="35" t="str">
        <x:v>Foundation recalculation only; passive and loadout require later species pass.</x:v>
      </x:c>
      <x:c r="W21" s="27"/>
      <x:c r="X21" s="27"/>
      <x:c r="Y21" s="27"/>
      <x:c r="Z21" s="27"/>
      <x:c r="AA21" s="27"/>
    </x:row>
    <x:row r="22">
      <x:c r="A22" s="35" t="str">
        <x:v>Flamingo</x:v>
      </x:c>
      <x:c r="B22" s="35" t="str">
        <x:v>Siren</x:v>
      </x:c>
      <x:c r="C22" s="35" t="str">
        <x:v>Siren</x:v>
      </x:c>
      <x:c r="D22" s="35" t="str">
        <x:v>Large</x:v>
      </x:c>
      <x:c r="E22" s="35" t="str">
        <x:v>Purple</x:v>
      </x:c>
      <x:c r="F22" s="35" t="str">
        <x:v>No</x:v>
      </x:c>
      <x:c r="G22" s="35" t="str">
        <x:v>Water</x:v>
      </x:c>
      <x:c r="H22" s="35" t="n">
        <x:v>2</x:v>
      </x:c>
      <x:c r="I22" s="35" t="n">
        <x:v>0</x:v>
      </x:c>
      <x:c r="J22" s="35" t="n">
        <x:v>1</x:v>
      </x:c>
      <x:c r="K22" s="35" t="n">
        <x:v>2</x:v>
      </x:c>
      <x:c r="L22" s="35" t="n">
        <x:v>12</x:v>
      </x:c>
      <x:c r="M22" s="35" t="n">
        <x:v>5</x:v>
      </x:c>
      <x:c r="N22" s="35" t="n">
        <x:v>8</x:v>
      </x:c>
      <x:c r="O22" s="35" t="n">
        <x:v>20</x:v>
      </x:c>
      <x:c r="P22" s="35" t="n">
        <x:v>144</x:v>
      </x:c>
      <x:c r="Q22" s="35" t="n">
        <x:v>124</x:v>
      </x:c>
      <x:c r="R22" s="35" t="n">
        <x:v>82</x:v>
      </x:c>
      <x:c r="S22" s="35" t="n">
        <x:v>82</x:v>
      </x:c>
      <x:c r="T22" s="35" t="str">
        <x:v>Focus</x:v>
      </x:c>
      <x:c r="U22" s="35" t="str">
        <x:v>Formula recalculated</x:v>
      </x:c>
      <x:c r="V22" s="35" t="str">
        <x:v>Foundation recalculation only; passive and loadout require later species pass.</x:v>
      </x:c>
      <x:c r="W22" s="27"/>
      <x:c r="X22" s="27"/>
      <x:c r="Y22" s="27"/>
      <x:c r="Z22" s="27"/>
      <x:c r="AA22" s="27"/>
    </x:row>
    <x:row r="23">
      <x:c r="A23" s="35" t="str">
        <x:v>Secretary Bird</x:v>
      </x:c>
      <x:c r="B23" s="35" t="str">
        <x:v>Knight</x:v>
      </x:c>
      <x:c r="C23" s="35" t="str">
        <x:v>Knight</x:v>
      </x:c>
      <x:c r="D23" s="35" t="str">
        <x:v>Large</x:v>
      </x:c>
      <x:c r="E23" s="35" t="str">
        <x:v>Purple</x:v>
      </x:c>
      <x:c r="F23" s="35" t="str">
        <x:v>No</x:v>
      </x:c>
      <x:c r="G23" s="35" t="str">
        <x:v>Earth</x:v>
      </x:c>
      <x:c r="H23" s="35" t="n">
        <x:v>4</x:v>
      </x:c>
      <x:c r="I23" s="35" t="n">
        <x:v>10</x:v>
      </x:c>
      <x:c r="J23" s="35" t="n">
        <x:v>5</x:v>
      </x:c>
      <x:c r="K23" s="35" t="n">
        <x:v>5</x:v>
      </x:c>
      <x:c r="L23" s="35" t="n">
        <x:v>0</x:v>
      </x:c>
      <x:c r="M23" s="35" t="n">
        <x:v>2</x:v>
      </x:c>
      <x:c r="N23" s="35" t="n">
        <x:v>4</x:v>
      </x:c>
      <x:c r="O23" s="35" t="n">
        <x:v>26</x:v>
      </x:c>
      <x:c r="P23" s="35" t="n">
        <x:v>154</x:v>
      </x:c>
      <x:c r="Q23" s="35" t="n">
        <x:v>128</x:v>
      </x:c>
      <x:c r="R23" s="35" t="n">
        <x:v>78</x:v>
      </x:c>
      <x:c r="S23" s="35" t="n">
        <x:v>80</x:v>
      </x:c>
      <x:c r="T23" s="35" t="str">
        <x:v>Might</x:v>
      </x:c>
      <x:c r="U23" s="35" t="str">
        <x:v>Formula recalculated</x:v>
      </x:c>
      <x:c r="V23" s="35" t="str">
        <x:v>Foundation recalculation only; passive and loadout require later species pass.</x:v>
      </x:c>
      <x:c r="W23" s="27"/>
      <x:c r="X23" s="27"/>
      <x:c r="Y23" s="27"/>
      <x:c r="Z23" s="27"/>
      <x:c r="AA23" s="27"/>
    </x:row>
    <x:row r="24">
      <x:c r="A24" s="35" t="str">
        <x:v>Albatross</x:v>
      </x:c>
      <x:c r="B24" s="35" t="str">
        <x:v>Inquisitor</x:v>
      </x:c>
      <x:c r="C24" s="35" t="str">
        <x:v>Inquisitor</x:v>
      </x:c>
      <x:c r="D24" s="35" t="str">
        <x:v>Very Large</x:v>
      </x:c>
      <x:c r="E24" s="35" t="str">
        <x:v>Purple</x:v>
      </x:c>
      <x:c r="F24" s="35" t="str">
        <x:v>No</x:v>
      </x:c>
      <x:c r="G24" s="35" t="str">
        <x:v>Water</x:v>
      </x:c>
      <x:c r="H24" s="35" t="n">
        <x:v>8</x:v>
      </x:c>
      <x:c r="I24" s="35" t="n">
        <x:v>4</x:v>
      </x:c>
      <x:c r="J24" s="35" t="n">
        <x:v>0</x:v>
      </x:c>
      <x:c r="K24" s="35" t="n">
        <x:v>4</x:v>
      </x:c>
      <x:c r="L24" s="35" t="n">
        <x:v>3</x:v>
      </x:c>
      <x:c r="M24" s="35" t="n">
        <x:v>10</x:v>
      </x:c>
      <x:c r="N24" s="35" t="n">
        <x:v>1</x:v>
      </x:c>
      <x:c r="O24" s="35" t="n">
        <x:v>40</x:v>
      </x:c>
      <x:c r="P24" s="35" t="n">
        <x:v>177</x:v>
      </x:c>
      <x:c r="Q24" s="35" t="n">
        <x:v>137</x:v>
      </x:c>
      <x:c r="R24" s="35" t="n">
        <x:v>76</x:v>
      </x:c>
      <x:c r="S24" s="35" t="n">
        <x:v>76</x:v>
      </x:c>
      <x:c r="T24" s="35" t="str">
        <x:v>Might or Focus</x:v>
      </x:c>
      <x:c r="U24" s="35" t="str">
        <x:v>Formula recalculated</x:v>
      </x:c>
      <x:c r="V24" s="35" t="str">
        <x:v>Foundation recalculation only; passive and loadout require later species pass.</x:v>
      </x:c>
      <x:c r="W24" s="27"/>
      <x:c r="X24" s="27"/>
      <x:c r="Y24" s="27"/>
      <x:c r="Z24" s="27"/>
      <x:c r="AA24" s="27"/>
    </x:row>
    <x:row r="25">
      <x:c r="A25" s="35" t="str">
        <x:v>Seagull</x:v>
      </x:c>
      <x:c r="B25" s="35" t="str">
        <x:v>Rogue</x:v>
      </x:c>
      <x:c r="C25" s="35" t="str">
        <x:v>Rogue</x:v>
      </x:c>
      <x:c r="D25" s="35" t="str">
        <x:v>Medium</x:v>
      </x:c>
      <x:c r="E25" s="35" t="str">
        <x:v>Grey</x:v>
      </x:c>
      <x:c r="F25" s="35" t="str">
        <x:v>No</x:v>
      </x:c>
      <x:c r="G25" s="35" t="str">
        <x:v>Water</x:v>
      </x:c>
      <x:c r="H25" s="35" t="n">
        <x:v>4</x:v>
      </x:c>
      <x:c r="I25" s="35" t="n">
        <x:v>2</x:v>
      </x:c>
      <x:c r="J25" s="35" t="n">
        <x:v>8</x:v>
      </x:c>
      <x:c r="K25" s="35" t="n">
        <x:v>5</x:v>
      </x:c>
      <x:c r="L25" s="35" t="n">
        <x:v>0</x:v>
      </x:c>
      <x:c r="M25" s="35" t="n">
        <x:v>5</x:v>
      </x:c>
      <x:c r="N25" s="35" t="n">
        <x:v>6</x:v>
      </x:c>
      <x:c r="O25" s="35" t="n">
        <x:v>24</x:v>
      </x:c>
      <x:c r="P25" s="35" t="n">
        <x:v>151</x:v>
      </x:c>
      <x:c r="Q25" s="35" t="n">
        <x:v>127</x:v>
      </x:c>
      <x:c r="R25" s="35" t="n">
        <x:v>87</x:v>
      </x:c>
      <x:c r="S25" s="35" t="n">
        <x:v>87</x:v>
      </x:c>
      <x:c r="T25" s="35" t="str">
        <x:v>Dexterity</x:v>
      </x:c>
      <x:c r="U25" s="35" t="str">
        <x:v>Formula recalculated</x:v>
      </x:c>
      <x:c r="V25" s="35" t="str">
        <x:v>Foundation recalculation only; passive and loadout require later species pass.</x:v>
      </x:c>
      <x:c r="W25" s="27"/>
      <x:c r="X25" s="27"/>
      <x:c r="Y25" s="27"/>
      <x:c r="Z25" s="27"/>
      <x:c r="AA25" s="27"/>
    </x:row>
    <x:row r="26">
      <x:c r="A26" s="35" t="str">
        <x:v>Goose</x:v>
      </x:c>
      <x:c r="B26" s="35" t="str">
        <x:v>Brute</x:v>
      </x:c>
      <x:c r="C26" s="35" t="str">
        <x:v>Brute</x:v>
      </x:c>
      <x:c r="D26" s="35" t="str">
        <x:v>Very Large</x:v>
      </x:c>
      <x:c r="E26" s="35" t="str">
        <x:v>Grey</x:v>
      </x:c>
      <x:c r="F26" s="35" t="str">
        <x:v>Yes</x:v>
      </x:c>
      <x:c r="G26" s="35" t="str">
        <x:v>Water</x:v>
      </x:c>
      <x:c r="H26" s="35" t="n">
        <x:v>7</x:v>
      </x:c>
      <x:c r="I26" s="35" t="n">
        <x:v>9</x:v>
      </x:c>
      <x:c r="J26" s="35" t="n">
        <x:v>0</x:v>
      </x:c>
      <x:c r="K26" s="35" t="n">
        <x:v>8</x:v>
      </x:c>
      <x:c r="L26" s="35" t="n">
        <x:v>0</x:v>
      </x:c>
      <x:c r="M26" s="35" t="n">
        <x:v>4</x:v>
      </x:c>
      <x:c r="N26" s="35" t="n">
        <x:v>2</x:v>
      </x:c>
      <x:c r="O26" s="35" t="n">
        <x:v>37</x:v>
      </x:c>
      <x:c r="P26" s="35" t="n">
        <x:v>172</x:v>
      </x:c>
      <x:c r="Q26" s="35" t="n">
        <x:v>135</x:v>
      </x:c>
      <x:c r="R26" s="35" t="n">
        <x:v>70</x:v>
      </x:c>
      <x:c r="S26" s="35" t="n">
        <x:v>74</x:v>
      </x:c>
      <x:c r="T26" s="35" t="str">
        <x:v>Might</x:v>
      </x:c>
      <x:c r="U26" s="35" t="str">
        <x:v>Formula recalculated</x:v>
      </x:c>
      <x:c r="V26" s="35" t="str">
        <x:v>Foundation recalculation only; passive and loadout require later species pass.</x:v>
      </x:c>
      <x:c r="W26" s="27"/>
      <x:c r="X26" s="27"/>
      <x:c r="Y26" s="27"/>
      <x:c r="Z26" s="27"/>
      <x:c r="AA26" s="27"/>
    </x:row>
    <x:row r="27">
      <x:c r="A27" s="35" t="str">
        <x:v>Shoebill Stork</x:v>
      </x:c>
      <x:c r="B27" s="35" t="str">
        <x:v>Brute</x:v>
      </x:c>
      <x:c r="C27" s="35" t="str">
        <x:v>Brute</x:v>
      </x:c>
      <x:c r="D27" s="35" t="str">
        <x:v>Very Large</x:v>
      </x:c>
      <x:c r="E27" s="35" t="str">
        <x:v>Purple</x:v>
      </x:c>
      <x:c r="F27" s="35" t="str">
        <x:v>No</x:v>
      </x:c>
      <x:c r="G27" s="35" t="str">
        <x:v>Water</x:v>
      </x:c>
      <x:c r="H27" s="35" t="n">
        <x:v>8</x:v>
      </x:c>
      <x:c r="I27" s="35" t="n">
        <x:v>12</x:v>
      </x:c>
      <x:c r="J27" s="35" t="n">
        <x:v>0</x:v>
      </x:c>
      <x:c r="K27" s="35" t="n">
        <x:v>7</x:v>
      </x:c>
      <x:c r="L27" s="35" t="n">
        <x:v>0</x:v>
      </x:c>
      <x:c r="M27" s="35" t="n">
        <x:v>2</x:v>
      </x:c>
      <x:c r="N27" s="35" t="n">
        <x:v>1</x:v>
      </x:c>
      <x:c r="O27" s="35" t="n">
        <x:v>40</x:v>
      </x:c>
      <x:c r="P27" s="35" t="n">
        <x:v>177</x:v>
      </x:c>
      <x:c r="Q27" s="35" t="n">
        <x:v>137</x:v>
      </x:c>
      <x:c r="R27" s="35" t="n">
        <x:v>68</x:v>
      </x:c>
      <x:c r="S27" s="35" t="n">
        <x:v>72</x:v>
      </x:c>
      <x:c r="T27" s="35" t="str">
        <x:v>Might</x:v>
      </x:c>
      <x:c r="U27" s="35" t="str">
        <x:v>Formula recalculated</x:v>
      </x:c>
      <x:c r="V27" s="35" t="str">
        <x:v>Foundation recalculation only; passive and loadout require later species pass.</x:v>
      </x:c>
      <x:c r="W27" s="27"/>
      <x:c r="X27" s="27"/>
      <x:c r="Y27" s="27"/>
      <x:c r="Z27" s="27"/>
      <x:c r="AA27" s="27"/>
    </x:row>
    <x:row r="28">
      <x:c r="A28" s="35" t="str">
        <x:v>Harpy Eagle</x:v>
      </x:c>
      <x:c r="B28" s="35" t="str">
        <x:v>Rogue</x:v>
      </x:c>
      <x:c r="C28" s="35" t="str">
        <x:v>Rogue</x:v>
      </x:c>
      <x:c r="D28" s="35" t="str">
        <x:v>Very Large</x:v>
      </x:c>
      <x:c r="E28" s="35" t="str">
        <x:v>Gold</x:v>
      </x:c>
      <x:c r="F28" s="35" t="str">
        <x:v>No</x:v>
      </x:c>
      <x:c r="G28" s="35" t="str">
        <x:v>Sky</x:v>
      </x:c>
      <x:c r="H28" s="35" t="n">
        <x:v>5</x:v>
      </x:c>
      <x:c r="I28" s="35" t="n">
        <x:v>4</x:v>
      </x:c>
      <x:c r="J28" s="35" t="n">
        <x:v>15</x:v>
      </x:c>
      <x:c r="K28" s="35" t="n">
        <x:v>3</x:v>
      </x:c>
      <x:c r="L28" s="35" t="n">
        <x:v>0</x:v>
      </x:c>
      <x:c r="M28" s="35" t="n">
        <x:v>2</x:v>
      </x:c>
      <x:c r="N28" s="35" t="n">
        <x:v>3</x:v>
      </x:c>
      <x:c r="O28" s="35" t="n">
        <x:v>31</x:v>
      </x:c>
      <x:c r="P28" s="35" t="n">
        <x:v>162</x:v>
      </x:c>
      <x:c r="Q28" s="35" t="n">
        <x:v>131</x:v>
      </x:c>
      <x:c r="R28" s="35" t="n">
        <x:v>83</x:v>
      </x:c>
      <x:c r="S28" s="35" t="n">
        <x:v>83</x:v>
      </x:c>
      <x:c r="T28" s="35" t="str">
        <x:v>Dexterity</x:v>
      </x:c>
      <x:c r="U28" s="35" t="str">
        <x:v>Formula recalculated</x:v>
      </x:c>
      <x:c r="V28" s="35" t="str">
        <x:v>Foundation recalculation only; passive and loadout require later species pass.</x:v>
      </x:c>
      <x:c r="W28" s="27"/>
      <x:c r="X28" s="27"/>
      <x:c r="Y28" s="27"/>
      <x:c r="Z28" s="27"/>
      <x:c r="AA28" s="27"/>
    </x:row>
    <x:row r="29">
      <x:c r="A29" s="35" t="str">
        <x:v>Bald Eagle</x:v>
      </x:c>
      <x:c r="B29" s="35" t="str">
        <x:v>Inquisitor</x:v>
      </x:c>
      <x:c r="C29" s="35" t="str">
        <x:v>Inquisitor</x:v>
      </x:c>
      <x:c r="D29" s="35" t="str">
        <x:v>Large</x:v>
      </x:c>
      <x:c r="E29" s="35" t="str">
        <x:v>Gold</x:v>
      </x:c>
      <x:c r="F29" s="35" t="str">
        <x:v>No</x:v>
      </x:c>
      <x:c r="G29" s="35" t="str">
        <x:v>Sky</x:v>
      </x:c>
      <x:c r="H29" s="35" t="n">
        <x:v>5</x:v>
      </x:c>
      <x:c r="I29" s="35" t="n">
        <x:v>8</x:v>
      </x:c>
      <x:c r="J29" s="35" t="n">
        <x:v>1</x:v>
      </x:c>
      <x:c r="K29" s="35" t="n">
        <x:v>4</x:v>
      </x:c>
      <x:c r="L29" s="35" t="n">
        <x:v>5</x:v>
      </x:c>
      <x:c r="M29" s="35" t="n">
        <x:v>7</x:v>
      </x:c>
      <x:c r="N29" s="35" t="n">
        <x:v>2</x:v>
      </x:c>
      <x:c r="O29" s="35" t="n">
        <x:v>29</x:v>
      </x:c>
      <x:c r="P29" s="35" t="n">
        <x:v>159</x:v>
      </x:c>
      <x:c r="Q29" s="35" t="n">
        <x:v>130</x:v>
      </x:c>
      <x:c r="R29" s="35" t="n">
        <x:v>80</x:v>
      </x:c>
      <x:c r="S29" s="35" t="n">
        <x:v>80</x:v>
      </x:c>
      <x:c r="T29" s="35" t="str">
        <x:v>Might or Focus</x:v>
      </x:c>
      <x:c r="U29" s="35" t="str">
        <x:v>Formula recalculated</x:v>
      </x:c>
      <x:c r="V29" s="35" t="str">
        <x:v>Foundation recalculation only; passive and loadout require later species pass.</x:v>
      </x:c>
      <x:c r="W29" s="27"/>
      <x:c r="X29" s="27"/>
      <x:c r="Y29" s="27"/>
      <x:c r="Z29" s="27"/>
      <x:c r="AA29" s="27"/>
    </x:row>
    <x:row r="30">
      <x:c r="A30" s="35" t="str">
        <x:v>Emperor Penguin</x:v>
      </x:c>
      <x:c r="B30" s="35" t="str">
        <x:v>Inquisitor</x:v>
      </x:c>
      <x:c r="C30" s="35" t="str">
        <x:v>Inquisitor</x:v>
      </x:c>
      <x:c r="D30" s="35" t="str">
        <x:v>Giant</x:v>
      </x:c>
      <x:c r="E30" s="35" t="str">
        <x:v>Gold</x:v>
      </x:c>
      <x:c r="F30" s="35" t="str">
        <x:v>No</x:v>
      </x:c>
      <x:c r="G30" s="35" t="str">
        <x:v>Water</x:v>
      </x:c>
      <x:c r="H30" s="35" t="n">
        <x:v>9</x:v>
      </x:c>
      <x:c r="I30" s="35" t="n">
        <x:v>5</x:v>
      </x:c>
      <x:c r="J30" s="35" t="n">
        <x:v>0</x:v>
      </x:c>
      <x:c r="K30" s="35" t="n">
        <x:v>7</x:v>
      </x:c>
      <x:c r="L30" s="35" t="n">
        <x:v>3</x:v>
      </x:c>
      <x:c r="M30" s="35" t="n">
        <x:v>8</x:v>
      </x:c>
      <x:c r="N30" s="35" t="n">
        <x:v>0</x:v>
      </x:c>
      <x:c r="O30" s="35" t="n">
        <x:v>45</x:v>
      </x:c>
      <x:c r="P30" s="35" t="n">
        <x:v>185</x:v>
      </x:c>
      <x:c r="Q30" s="35" t="n">
        <x:v>140</x:v>
      </x:c>
      <x:c r="R30" s="35" t="n">
        <x:v>74</x:v>
      </x:c>
      <x:c r="S30" s="35" t="n">
        <x:v>74</x:v>
      </x:c>
      <x:c r="T30" s="35" t="str">
        <x:v>Might or Focus</x:v>
      </x:c>
      <x:c r="U30" s="35" t="str">
        <x:v>Formula recalculated</x:v>
      </x:c>
      <x:c r="V30" s="35" t="str">
        <x:v>Foundation recalculation only; passive and loadout require later species pass.</x:v>
      </x:c>
      <x:c r="W30" s="27"/>
      <x:c r="X30" s="27"/>
      <x:c r="Y30" s="27"/>
      <x:c r="Z30" s="27"/>
      <x:c r="AA30" s="27"/>
    </x:row>
    <x:row r="31">
      <x:c r="A31" s="35" t="str">
        <x:v>Ostrich</x:v>
      </x:c>
      <x:c r="B31" s="35" t="str">
        <x:v>Brute</x:v>
      </x:c>
      <x:c r="C31" s="35" t="str">
        <x:v>Brute</x:v>
      </x:c>
      <x:c r="D31" s="35" t="str">
        <x:v>Giant</x:v>
      </x:c>
      <x:c r="E31" s="35" t="str">
        <x:v>Purple</x:v>
      </x:c>
      <x:c r="F31" s="35" t="str">
        <x:v>No</x:v>
      </x:c>
      <x:c r="G31" s="35" t="str">
        <x:v>Earth</x:v>
      </x:c>
      <x:c r="H31" s="35" t="n">
        <x:v>5</x:v>
      </x:c>
      <x:c r="I31" s="35" t="n">
        <x:v>10</x:v>
      </x:c>
      <x:c r="J31" s="35" t="n">
        <x:v>2</x:v>
      </x:c>
      <x:c r="K31" s="35" t="n">
        <x:v>4</x:v>
      </x:c>
      <x:c r="L31" s="35" t="n">
        <x:v>0</x:v>
      </x:c>
      <x:c r="M31" s="35" t="n">
        <x:v>2</x:v>
      </x:c>
      <x:c r="N31" s="35" t="n">
        <x:v>7</x:v>
      </x:c>
      <x:c r="O31" s="35" t="n">
        <x:v>33</x:v>
      </x:c>
      <x:c r="P31" s="35" t="n">
        <x:v>165</x:v>
      </x:c>
      <x:c r="Q31" s="35" t="n">
        <x:v>132</x:v>
      </x:c>
      <x:c r="R31" s="35" t="n">
        <x:v>67</x:v>
      </x:c>
      <x:c r="S31" s="35" t="n">
        <x:v>71</x:v>
      </x:c>
      <x:c r="T31" s="35" t="str">
        <x:v>Might</x:v>
      </x:c>
      <x:c r="U31" s="35" t="str">
        <x:v>Formula recalculated</x:v>
      </x:c>
      <x:c r="V31" s="35" t="str">
        <x:v>Foundation recalculation only; passive and loadout require later species pass.</x:v>
      </x:c>
      <x:c r="W31" s="27"/>
      <x:c r="X31" s="27"/>
      <x:c r="Y31" s="27"/>
      <x:c r="Z31" s="27"/>
      <x:c r="AA31" s="27"/>
    </x:row>
    <x:row r="32">
      <x:c r="A32" s="35" t="str">
        <x:v>Cassowary</x:v>
      </x:c>
      <x:c r="B32" s="35" t="str">
        <x:v>Brute</x:v>
      </x:c>
      <x:c r="C32" s="35" t="str">
        <x:v>Brute</x:v>
      </x:c>
      <x:c r="D32" s="35" t="str">
        <x:v>Giant</x:v>
      </x:c>
      <x:c r="E32" s="35" t="str">
        <x:v>Purple</x:v>
      </x:c>
      <x:c r="F32" s="35" t="str">
        <x:v>No</x:v>
      </x:c>
      <x:c r="G32" s="35" t="str">
        <x:v>Earth</x:v>
      </x:c>
      <x:c r="H32" s="35" t="n">
        <x:v>6</x:v>
      </x:c>
      <x:c r="I32" s="35" t="n">
        <x:v>13</x:v>
      </x:c>
      <x:c r="J32" s="35" t="n">
        <x:v>1</x:v>
      </x:c>
      <x:c r="K32" s="35" t="n">
        <x:v>5</x:v>
      </x:c>
      <x:c r="L32" s="35" t="n">
        <x:v>0</x:v>
      </x:c>
      <x:c r="M32" s="35" t="n">
        <x:v>2</x:v>
      </x:c>
      <x:c r="N32" s="35" t="n">
        <x:v>3</x:v>
      </x:c>
      <x:c r="O32" s="35" t="n">
        <x:v>36</x:v>
      </x:c>
      <x:c r="P32" s="35" t="n">
        <x:v>170</x:v>
      </x:c>
      <x:c r="Q32" s="35" t="n">
        <x:v>134</x:v>
      </x:c>
      <x:c r="R32" s="35" t="n">
        <x:v>69</x:v>
      </x:c>
      <x:c r="S32" s="35" t="n">
        <x:v>73</x:v>
      </x:c>
      <x:c r="T32" s="35" t="str">
        <x:v>Might</x:v>
      </x:c>
      <x:c r="U32" s="35" t="str">
        <x:v>Formula recalculated</x:v>
      </x:c>
      <x:c r="V32" s="35" t="str">
        <x:v>Foundation recalculation only; passive and loadout require later species pass.</x:v>
      </x:c>
      <x:c r="W32" s="27"/>
      <x:c r="X32" s="27"/>
      <x:c r="Y32" s="27"/>
      <x:c r="Z32" s="27"/>
      <x:c r="AA32" s="27"/>
    </x:row>
    <x:row r="33">
      <x:c r="A33" s="35" t="str">
        <x:v>Emu</x:v>
      </x:c>
      <x:c r="B33" s="35" t="str">
        <x:v>Brute</x:v>
      </x:c>
      <x:c r="C33" s="35" t="str">
        <x:v>Brute</x:v>
      </x:c>
      <x:c r="D33" s="35" t="str">
        <x:v>Giant</x:v>
      </x:c>
      <x:c r="E33" s="35" t="str">
        <x:v>Purple</x:v>
      </x:c>
      <x:c r="F33" s="35" t="str">
        <x:v>No</x:v>
      </x:c>
      <x:c r="G33" s="35" t="str">
        <x:v>Earth</x:v>
      </x:c>
      <x:c r="H33" s="35" t="n">
        <x:v>5</x:v>
      </x:c>
      <x:c r="I33" s="35" t="n">
        <x:v>9</x:v>
      </x:c>
      <x:c r="J33" s="35" t="n">
        <x:v>2</x:v>
      </x:c>
      <x:c r="K33" s="35" t="n">
        <x:v>3</x:v>
      </x:c>
      <x:c r="L33" s="35" t="n">
        <x:v>0</x:v>
      </x:c>
      <x:c r="M33" s="35" t="n">
        <x:v>2</x:v>
      </x:c>
      <x:c r="N33" s="35" t="n">
        <x:v>9</x:v>
      </x:c>
      <x:c r="O33" s="35" t="n">
        <x:v>33</x:v>
      </x:c>
      <x:c r="P33" s="35" t="n">
        <x:v>165</x:v>
      </x:c>
      <x:c r="Q33" s="35" t="n">
        <x:v>132</x:v>
      </x:c>
      <x:c r="R33" s="35" t="n">
        <x:v>68</x:v>
      </x:c>
      <x:c r="S33" s="35" t="n">
        <x:v>72</x:v>
      </x:c>
      <x:c r="T33" s="35" t="str">
        <x:v>Might</x:v>
      </x:c>
      <x:c r="U33" s="35" t="str">
        <x:v>Formula recalculated</x:v>
      </x:c>
      <x:c r="V33" s="35" t="str">
        <x:v>Foundation recalculation only; passive and loadout require later species pass.</x:v>
      </x:c>
      <x:c r="W33" s="27"/>
      <x:c r="X33" s="27"/>
      <x:c r="Y33" s="27"/>
      <x:c r="Z33" s="27"/>
      <x:c r="AA33" s="27"/>
    </x:row>
    <x:row r="34">
      <x:c r="A34" s="35" t="str">
        <x:v>Duke Blakiston</x:v>
      </x:c>
      <x:c r="B34" s="35" t="str">
        <x:v>Duke</x:v>
      </x:c>
      <x:c r="C34" s="35" t="str">
        <x:v>Duke</x:v>
      </x:c>
      <x:c r="D34" s="35" t="str">
        <x:v>Boss Override</x:v>
      </x:c>
      <x:c r="E34" s="35" t="str">
        <x:v>Orange</x:v>
      </x:c>
      <x:c r="F34" s="35" t="str">
        <x:v>No</x:v>
      </x:c>
      <x:c r="G34" s="35" t="str">
        <x:v>Night</x:v>
      </x:c>
      <x:c r="H34" s="35" t="n">
        <x:v>5</x:v>
      </x:c>
      <x:c r="I34" s="35" t="n">
        <x:v>4</x:v>
      </x:c>
      <x:c r="J34" s="35" t="n">
        <x:v>2</x:v>
      </x:c>
      <x:c r="K34" s="35" t="n">
        <x:v>4</x:v>
      </x:c>
      <x:c r="L34" s="35" t="n">
        <x:v>12</x:v>
      </x:c>
      <x:c r="M34" s="35" t="n">
        <x:v>5</x:v>
      </x:c>
      <x:c r="N34" s="35" t="n">
        <x:v>2</x:v>
      </x:c>
      <x:c r="O34" s="35" t="n">
        <x:v>35</x:v>
      </x:c>
      <x:c r="P34" s="35" t="n">
        <x:v>175</x:v>
      </x:c>
      <x:c r="Q34" s="35" t="n">
        <x:v>140</x:v>
      </x:c>
      <x:c r="R34" s="35" t="n">
        <x:v>86</x:v>
      </x:c>
      <x:c r="S34" s="35" t="n">
        <x:v>86</x:v>
      </x:c>
      <x:c r="T34" s="35" t="str">
        <x:v>Authored</x:v>
      </x:c>
      <x:c r="U34" s="35" t="str">
        <x:v>Formula recalculated</x:v>
      </x:c>
      <x:c r="V34" s="35" t="str">
        <x:v>Foundation recalculation only; passive and loadout require later species pass.</x:v>
      </x:c>
      <x:c r="W34" s="27"/>
      <x:c r="X34" s="27"/>
      <x:c r="Y34" s="27"/>
      <x:c r="Z34" s="27"/>
      <x:c r="AA34" s="27"/>
    </x:row>
    <x:row r="35">
      <x:c r="A35" s="35" t="str">
        <x:v>Wren</x:v>
      </x:c>
      <x:c r="B35" s="35" t="str">
        <x:v>Rogue</x:v>
      </x:c>
      <x:c r="C35" s="35" t="str">
        <x:v>Rogue</x:v>
      </x:c>
      <x:c r="D35" s="35" t="str">
        <x:v>Tiny</x:v>
      </x:c>
      <x:c r="E35" s="35" t="str">
        <x:v>Grey</x:v>
      </x:c>
      <x:c r="F35" s="35" t="str">
        <x:v>No</x:v>
      </x:c>
      <x:c r="G35" s="35" t="str">
        <x:v>Sky</x:v>
      </x:c>
      <x:c r="H35" s="35" t="n">
        <x:v>1</x:v>
      </x:c>
      <x:c r="I35" s="35" t="n">
        <x:v>2</x:v>
      </x:c>
      <x:c r="J35" s="35" t="n">
        <x:v>10</x:v>
      </x:c>
      <x:c r="K35" s="35" t="n">
        <x:v>2</x:v>
      </x:c>
      <x:c r="L35" s="35" t="n">
        <x:v>0</x:v>
      </x:c>
      <x:c r="M35" s="35" t="n">
        <x:v>5</x:v>
      </x:c>
      <x:c r="N35" s="35" t="n">
        <x:v>10</x:v>
      </x:c>
      <x:c r="O35" s="35" t="n">
        <x:v>11</x:v>
      </x:c>
      <x:c r="P35" s="35" t="n">
        <x:v>130</x:v>
      </x:c>
      <x:c r="Q35" s="35" t="n">
        <x:v>119</x:v>
      </x:c>
      <x:c r="R35" s="35" t="n">
        <x:v>93</x:v>
      </x:c>
      <x:c r="S35" s="35" t="n">
        <x:v>93</x:v>
      </x:c>
      <x:c r="T35" s="35" t="str">
        <x:v>Dexterity</x:v>
      </x:c>
      <x:c r="U35" s="35" t="str">
        <x:v>Formula recalculated</x:v>
      </x:c>
      <x:c r="V35" s="35" t="str">
        <x:v>Foundation recalculation only; passive and loadout require later species pass.</x:v>
      </x:c>
      <x:c r="W35" s="27"/>
      <x:c r="X35" s="27"/>
      <x:c r="Y35" s="27"/>
      <x:c r="Z35" s="27"/>
      <x:c r="AA35" s="27"/>
    </x:row>
    <x:row r="36">
      <x:c r="A36" s="35" t="str">
        <x:v>Superb Fairywren</x:v>
      </x:c>
      <x:c r="B36" s="35" t="str">
        <x:v>Bard</x:v>
      </x:c>
      <x:c r="C36" s="35" t="str">
        <x:v>Bard</x:v>
      </x:c>
      <x:c r="D36" s="35" t="str">
        <x:v>Tiny</x:v>
      </x:c>
      <x:c r="E36" s="35" t="str">
        <x:v>Green</x:v>
      </x:c>
      <x:c r="F36" s="35" t="str">
        <x:v>No</x:v>
      </x:c>
      <x:c r="G36" s="35" t="str">
        <x:v>Day</x:v>
      </x:c>
      <x:c r="H36" s="35" t="n">
        <x:v>2</x:v>
      </x:c>
      <x:c r="I36" s="35" t="n">
        <x:v>0</x:v>
      </x:c>
      <x:c r="J36" s="35" t="n">
        <x:v>5</x:v>
      </x:c>
      <x:c r="K36" s="35" t="n">
        <x:v>3</x:v>
      </x:c>
      <x:c r="L36" s="35" t="n">
        <x:v>7</x:v>
      </x:c>
      <x:c r="M36" s="35" t="n">
        <x:v>5</x:v>
      </x:c>
      <x:c r="N36" s="35" t="n">
        <x:v>8</x:v>
      </x:c>
      <x:c r="O36" s="35" t="n">
        <x:v>14</x:v>
      </x:c>
      <x:c r="P36" s="35" t="n">
        <x:v>135</x:v>
      </x:c>
      <x:c r="Q36" s="35" t="n">
        <x:v>121</x:v>
      </x:c>
      <x:c r="R36" s="35" t="n">
        <x:v>89</x:v>
      </x:c>
      <x:c r="S36" s="35" t="n">
        <x:v>89</x:v>
      </x:c>
      <x:c r="T36" s="35" t="str">
        <x:v>Hybrid DEX + Focus</x:v>
      </x:c>
      <x:c r="U36" s="35" t="str">
        <x:v>Formula recalculated</x:v>
      </x:c>
      <x:c r="V36" s="35" t="str">
        <x:v>Foundation recalculation only; passive and loadout require later species pass.</x:v>
      </x:c>
      <x:c r="W36" s="27"/>
      <x:c r="X36" s="27"/>
      <x:c r="Y36" s="27"/>
      <x:c r="Z36" s="27"/>
      <x:c r="AA36" s="27"/>
    </x:row>
    <x:row r="37">
      <x:c r="A37" s="35" t="str">
        <x:v>Firecrest</x:v>
      </x:c>
      <x:c r="B37" s="35" t="str">
        <x:v>Rogue</x:v>
      </x:c>
      <x:c r="C37" s="35" t="str">
        <x:v>Rogue</x:v>
      </x:c>
      <x:c r="D37" s="35" t="str">
        <x:v>Tiny</x:v>
      </x:c>
      <x:c r="E37" s="35" t="str">
        <x:v>Green</x:v>
      </x:c>
      <x:c r="F37" s="35" t="str">
        <x:v>No</x:v>
      </x:c>
      <x:c r="G37" s="35" t="str">
        <x:v>Day</x:v>
      </x:c>
      <x:c r="H37" s="35" t="n">
        <x:v>1</x:v>
      </x:c>
      <x:c r="I37" s="35" t="n">
        <x:v>0</x:v>
      </x:c>
      <x:c r="J37" s="35" t="n">
        <x:v>11</x:v>
      </x:c>
      <x:c r="K37" s="35" t="n">
        <x:v>2</x:v>
      </x:c>
      <x:c r="L37" s="35" t="n">
        <x:v>0</x:v>
      </x:c>
      <x:c r="M37" s="35" t="n">
        <x:v>4</x:v>
      </x:c>
      <x:c r="N37" s="35" t="n">
        <x:v>12</x:v>
      </x:c>
      <x:c r="O37" s="35" t="n">
        <x:v>11</x:v>
      </x:c>
      <x:c r="P37" s="35" t="n">
        <x:v>130</x:v>
      </x:c>
      <x:c r="Q37" s="35" t="n">
        <x:v>119</x:v>
      </x:c>
      <x:c r="R37" s="35" t="n">
        <x:v>93</x:v>
      </x:c>
      <x:c r="S37" s="35" t="n">
        <x:v>93</x:v>
      </x:c>
      <x:c r="T37" s="35" t="str">
        <x:v>Dexterity</x:v>
      </x:c>
      <x:c r="U37" s="35" t="str">
        <x:v>Formula recalculated</x:v>
      </x:c>
      <x:c r="V37" s="35" t="str">
        <x:v>Foundation recalculation only; passive and loadout require later species pass.</x:v>
      </x:c>
      <x:c r="W37" s="27"/>
      <x:c r="X37" s="27"/>
      <x:c r="Y37" s="27"/>
      <x:c r="Z37" s="27"/>
      <x:c r="AA37" s="27"/>
    </x:row>
    <x:row r="38">
      <x:c r="A38" s="35" t="str">
        <x:v>Willie Wagtail</x:v>
      </x:c>
      <x:c r="B38" s="35" t="str">
        <x:v>Rogue</x:v>
      </x:c>
      <x:c r="C38" s="35" t="str">
        <x:v>Rogue</x:v>
      </x:c>
      <x:c r="D38" s="35" t="str">
        <x:v>Small</x:v>
      </x:c>
      <x:c r="E38" s="35" t="str">
        <x:v>Grey</x:v>
      </x:c>
      <x:c r="F38" s="35" t="str">
        <x:v>No</x:v>
      </x:c>
      <x:c r="G38" s="35" t="str">
        <x:v>Sky</x:v>
      </x:c>
      <x:c r="H38" s="35" t="n">
        <x:v>2</x:v>
      </x:c>
      <x:c r="I38" s="35" t="n">
        <x:v>1</x:v>
      </x:c>
      <x:c r="J38" s="35" t="n">
        <x:v>9</x:v>
      </x:c>
      <x:c r="K38" s="35" t="n">
        <x:v>3</x:v>
      </x:c>
      <x:c r="L38" s="35" t="n">
        <x:v>0</x:v>
      </x:c>
      <x:c r="M38" s="35" t="n">
        <x:v>5</x:v>
      </x:c>
      <x:c r="N38" s="35" t="n">
        <x:v>10</x:v>
      </x:c>
      <x:c r="O38" s="35" t="n">
        <x:v>16</x:v>
      </x:c>
      <x:c r="P38" s="35" t="n">
        <x:v>138</x:v>
      </x:c>
      <x:c r="Q38" s="35" t="n">
        <x:v>122</x:v>
      </x:c>
      <x:c r="R38" s="35" t="n">
        <x:v>91</x:v>
      </x:c>
      <x:c r="S38" s="35" t="n">
        <x:v>91</x:v>
      </x:c>
      <x:c r="T38" s="35" t="str">
        <x:v>Dexterity</x:v>
      </x:c>
      <x:c r="U38" s="35" t="str">
        <x:v>Formula recalculated</x:v>
      </x:c>
      <x:c r="V38" s="35" t="str">
        <x:v>Foundation recalculation only; passive and loadout require later species pass.</x:v>
      </x:c>
      <x:c r="W38" s="27"/>
      <x:c r="X38" s="27"/>
      <x:c r="Y38" s="27"/>
      <x:c r="Z38" s="27"/>
      <x:c r="AA38" s="27"/>
    </x:row>
    <x:row r="39">
      <x:c r="A39" s="35" t="str">
        <x:v>Galah</x:v>
      </x:c>
      <x:c r="B39" s="35" t="str">
        <x:v>Bard</x:v>
      </x:c>
      <x:c r="C39" s="35" t="str">
        <x:v>Bard</x:v>
      </x:c>
      <x:c r="D39" s="35" t="str">
        <x:v>Medium</x:v>
      </x:c>
      <x:c r="E39" s="35" t="str">
        <x:v>Green</x:v>
      </x:c>
      <x:c r="F39" s="35" t="str">
        <x:v>No</x:v>
      </x:c>
      <x:c r="G39" s="35" t="str">
        <x:v>Day</x:v>
      </x:c>
      <x:c r="H39" s="35" t="n">
        <x:v>4</x:v>
      </x:c>
      <x:c r="I39" s="35" t="n">
        <x:v>2</x:v>
      </x:c>
      <x:c r="J39" s="35" t="n">
        <x:v>6</x:v>
      </x:c>
      <x:c r="K39" s="35" t="n">
        <x:v>4</x:v>
      </x:c>
      <x:c r="L39" s="35" t="n">
        <x:v>6</x:v>
      </x:c>
      <x:c r="M39" s="35" t="n">
        <x:v>4</x:v>
      </x:c>
      <x:c r="N39" s="35" t="n">
        <x:v>4</x:v>
      </x:c>
      <x:c r="O39" s="35" t="n">
        <x:v>24</x:v>
      </x:c>
      <x:c r="P39" s="35" t="n">
        <x:v>151</x:v>
      </x:c>
      <x:c r="Q39" s="35" t="n">
        <x:v>127</x:v>
      </x:c>
      <x:c r="R39" s="35" t="n">
        <x:v>82</x:v>
      </x:c>
      <x:c r="S39" s="35" t="n">
        <x:v>82</x:v>
      </x:c>
      <x:c r="T39" s="35" t="str">
        <x:v>Hybrid DEX + Focus</x:v>
      </x:c>
      <x:c r="U39" s="35" t="str">
        <x:v>Formula recalculated</x:v>
      </x:c>
      <x:c r="V39" s="35" t="str">
        <x:v>Foundation recalculation only; passive and loadout require later species pass.</x:v>
      </x:c>
      <x:c r="W39" s="27"/>
      <x:c r="X39" s="27"/>
      <x:c r="Y39" s="27"/>
      <x:c r="Z39" s="27"/>
      <x:c r="AA39" s="27"/>
    </x:row>
    <x:row r="40">
      <x:c r="A40" s="35" t="str">
        <x:v>Blue Jay</x:v>
      </x:c>
      <x:c r="B40" s="35" t="str">
        <x:v>Inquisitor</x:v>
      </x:c>
      <x:c r="C40" s="35" t="str">
        <x:v>Inquisitor</x:v>
      </x:c>
      <x:c r="D40" s="35" t="str">
        <x:v>Small</x:v>
      </x:c>
      <x:c r="E40" s="35" t="str">
        <x:v>Green</x:v>
      </x:c>
      <x:c r="F40" s="35" t="str">
        <x:v>No</x:v>
      </x:c>
      <x:c r="G40" s="35" t="str">
        <x:v>Storm</x:v>
      </x:c>
      <x:c r="H40" s="35" t="n">
        <x:v>4</x:v>
      </x:c>
      <x:c r="I40" s="35" t="n">
        <x:v>5</x:v>
      </x:c>
      <x:c r="J40" s="35" t="n">
        <x:v>2</x:v>
      </x:c>
      <x:c r="K40" s="35" t="n">
        <x:v>4</x:v>
      </x:c>
      <x:c r="L40" s="35" t="n">
        <x:v>4</x:v>
      </x:c>
      <x:c r="M40" s="35" t="n">
        <x:v>7</x:v>
      </x:c>
      <x:c r="N40" s="35" t="n">
        <x:v>4</x:v>
      </x:c>
      <x:c r="O40" s="35" t="n">
        <x:v>22</x:v>
      </x:c>
      <x:c r="P40" s="35" t="n">
        <x:v>148</x:v>
      </x:c>
      <x:c r="Q40" s="35" t="n">
        <x:v>126</x:v>
      </x:c>
      <x:c r="R40" s="35" t="n">
        <x:v>84</x:v>
      </x:c>
      <x:c r="S40" s="35" t="n">
        <x:v>84</x:v>
      </x:c>
      <x:c r="T40" s="35" t="str">
        <x:v>Might or Focus</x:v>
      </x:c>
      <x:c r="U40" s="35" t="str">
        <x:v>Formula recalculated</x:v>
      </x:c>
      <x:c r="V40" s="35" t="str">
        <x:v>Foundation recalculation only; passive and loadout require later species pass.</x:v>
      </x:c>
      <x:c r="W40" s="27"/>
      <x:c r="X40" s="27"/>
      <x:c r="Y40" s="27"/>
      <x:c r="Z40" s="27"/>
      <x:c r="AA40" s="27"/>
    </x:row>
    <x:row r="41">
      <x:c r="A41" s="35" t="str">
        <x:v>Cardinal</x:v>
      </x:c>
      <x:c r="B41" s="35" t="str">
        <x:v>Mage</x:v>
      </x:c>
      <x:c r="C41" s="35" t="str">
        <x:v>Mage</x:v>
      </x:c>
      <x:c r="D41" s="35" t="str">
        <x:v>Small</x:v>
      </x:c>
      <x:c r="E41" s="35" t="str">
        <x:v>Green</x:v>
      </x:c>
      <x:c r="F41" s="35" t="str">
        <x:v>No</x:v>
      </x:c>
      <x:c r="G41" s="35" t="str">
        <x:v>Day</x:v>
      </x:c>
      <x:c r="H41" s="35" t="n">
        <x:v>1</x:v>
      </x:c>
      <x:c r="I41" s="35" t="n">
        <x:v>0</x:v>
      </x:c>
      <x:c r="J41" s="35" t="n">
        <x:v>0</x:v>
      </x:c>
      <x:c r="K41" s="35" t="n">
        <x:v>2</x:v>
      </x:c>
      <x:c r="L41" s="35" t="n">
        <x:v>12</x:v>
      </x:c>
      <x:c r="M41" s="35" t="n">
        <x:v>8</x:v>
      </x:c>
      <x:c r="N41" s="35" t="n">
        <x:v>7</x:v>
      </x:c>
      <x:c r="O41" s="35" t="n">
        <x:v>13</x:v>
      </x:c>
      <x:c r="P41" s="35" t="n">
        <x:v>133</x:v>
      </x:c>
      <x:c r="Q41" s="35" t="n">
        <x:v>120</x:v>
      </x:c>
      <x:c r="R41" s="35" t="n">
        <x:v>88</x:v>
      </x:c>
      <x:c r="S41" s="35" t="n">
        <x:v>88</x:v>
      </x:c>
      <x:c r="T41" s="35" t="str">
        <x:v>Focus</x:v>
      </x:c>
      <x:c r="U41" s="35" t="str">
        <x:v>Formula recalculated</x:v>
      </x:c>
      <x:c r="V41" s="35" t="str">
        <x:v>Foundation recalculation only; passive and loadout require later species pass.</x:v>
      </x:c>
      <x:c r="W41" s="27"/>
      <x:c r="X41" s="27"/>
      <x:c r="Y41" s="27"/>
      <x:c r="Z41" s="27"/>
      <x:c r="AA41" s="27"/>
    </x:row>
    <x:row r="42">
      <x:c r="A42" s="35" t="str">
        <x:v>Bush Turkey</x:v>
      </x:c>
      <x:c r="B42" s="35" t="str">
        <x:v>Knight</x:v>
      </x:c>
      <x:c r="C42" s="35" t="str">
        <x:v>Knight</x:v>
      </x:c>
      <x:c r="D42" s="35" t="str">
        <x:v>Large</x:v>
      </x:c>
      <x:c r="E42" s="35" t="str">
        <x:v>Green</x:v>
      </x:c>
      <x:c r="F42" s="35" t="str">
        <x:v>No</x:v>
      </x:c>
      <x:c r="G42" s="35" t="str">
        <x:v>Earth</x:v>
      </x:c>
      <x:c r="H42" s="35" t="n">
        <x:v>6</x:v>
      </x:c>
      <x:c r="I42" s="35" t="n">
        <x:v>7</x:v>
      </x:c>
      <x:c r="J42" s="35" t="n">
        <x:v>1</x:v>
      </x:c>
      <x:c r="K42" s="35" t="n">
        <x:v>8</x:v>
      </x:c>
      <x:c r="L42" s="35" t="n">
        <x:v>0</x:v>
      </x:c>
      <x:c r="M42" s="35" t="n">
        <x:v>5</x:v>
      </x:c>
      <x:c r="N42" s="35" t="n">
        <x:v>3</x:v>
      </x:c>
      <x:c r="O42" s="35" t="n">
        <x:v>32</x:v>
      </x:c>
      <x:c r="P42" s="35" t="n">
        <x:v>164</x:v>
      </x:c>
      <x:c r="Q42" s="35" t="n">
        <x:v>132</x:v>
      </x:c>
      <x:c r="R42" s="35" t="n">
        <x:v>75</x:v>
      </x:c>
      <x:c r="S42" s="35" t="n">
        <x:v>77</x:v>
      </x:c>
      <x:c r="T42" s="35" t="str">
        <x:v>Might</x:v>
      </x:c>
      <x:c r="U42" s="35" t="str">
        <x:v>Formula recalculated</x:v>
      </x:c>
      <x:c r="V42" s="35" t="str">
        <x:v>Foundation recalculation only; passive and loadout require later species pass.</x:v>
      </x:c>
      <x:c r="W42" s="27"/>
      <x:c r="X42" s="27"/>
      <x:c r="Y42" s="27"/>
      <x:c r="Z42" s="27"/>
      <x:c r="AA42" s="27"/>
    </x:row>
    <x:row r="43">
      <x:c r="A43" s="35" t="str">
        <x:v>Vulture</x:v>
      </x:c>
      <x:c r="B43" s="35" t="str">
        <x:v>Inquisitor</x:v>
      </x:c>
      <x:c r="C43" s="35" t="str">
        <x:v>Inquisitor</x:v>
      </x:c>
      <x:c r="D43" s="35" t="str">
        <x:v>Large</x:v>
      </x:c>
      <x:c r="E43" s="35" t="str">
        <x:v>Blue</x:v>
      </x:c>
      <x:c r="F43" s="35" t="str">
        <x:v>No</x:v>
      </x:c>
      <x:c r="G43" s="35" t="str">
        <x:v>Sky</x:v>
      </x:c>
      <x:c r="H43" s="35" t="n">
        <x:v>5</x:v>
      </x:c>
      <x:c r="I43" s="35" t="n">
        <x:v>5</x:v>
      </x:c>
      <x:c r="J43" s="35" t="n">
        <x:v>1</x:v>
      </x:c>
      <x:c r="K43" s="35" t="n">
        <x:v>4</x:v>
      </x:c>
      <x:c r="L43" s="35" t="n">
        <x:v>5</x:v>
      </x:c>
      <x:c r="M43" s="35" t="n">
        <x:v>7</x:v>
      </x:c>
      <x:c r="N43" s="35" t="n">
        <x:v>3</x:v>
      </x:c>
      <x:c r="O43" s="35" t="n">
        <x:v>29</x:v>
      </x:c>
      <x:c r="P43" s="35" t="n">
        <x:v>159</x:v>
      </x:c>
      <x:c r="Q43" s="35" t="n">
        <x:v>130</x:v>
      </x:c>
      <x:c r="R43" s="35" t="n">
        <x:v>79</x:v>
      </x:c>
      <x:c r="S43" s="35" t="n">
        <x:v>79</x:v>
      </x:c>
      <x:c r="T43" s="35" t="str">
        <x:v>Might or Focus</x:v>
      </x:c>
      <x:c r="U43" s="35" t="str">
        <x:v>Formula recalculated</x:v>
      </x:c>
      <x:c r="V43" s="35" t="str">
        <x:v>Foundation recalculation only; passive and loadout require later species pass.</x:v>
      </x:c>
      <x:c r="W43" s="27"/>
      <x:c r="X43" s="27"/>
      <x:c r="Y43" s="27"/>
      <x:c r="Z43" s="27"/>
      <x:c r="AA43" s="27"/>
    </x:row>
    <x:row r="44">
      <x:c r="A44" s="35" t="str">
        <x:v>Barn Owl</x:v>
      </x:c>
      <x:c r="B44" s="35" t="str">
        <x:v>Mage</x:v>
      </x:c>
      <x:c r="C44" s="35" t="str">
        <x:v>Rogue</x:v>
      </x:c>
      <x:c r="D44" s="35" t="str">
        <x:v>Medium</x:v>
      </x:c>
      <x:c r="E44" s="35" t="str">
        <x:v>Green</x:v>
      </x:c>
      <x:c r="F44" s="35" t="str">
        <x:v>No</x:v>
      </x:c>
      <x:c r="G44" s="35" t="str">
        <x:v>Night</x:v>
      </x:c>
      <x:c r="H44" s="35" t="n">
        <x:v>2</x:v>
      </x:c>
      <x:c r="I44" s="35" t="n">
        <x:v>0</x:v>
      </x:c>
      <x:c r="J44" s="35" t="n">
        <x:v>11</x:v>
      </x:c>
      <x:c r="K44" s="35" t="n">
        <x:v>2</x:v>
      </x:c>
      <x:c r="L44" s="35" t="n">
        <x:v>2</x:v>
      </x:c>
      <x:c r="M44" s="35" t="n">
        <x:v>6</x:v>
      </x:c>
      <x:c r="N44" s="35" t="n">
        <x:v>7</x:v>
      </x:c>
      <x:c r="O44" s="35" t="n">
        <x:v>18</x:v>
      </x:c>
      <x:c r="P44" s="35" t="n">
        <x:v>141</x:v>
      </x:c>
      <x:c r="Q44" s="35" t="n">
        <x:v>123</x:v>
      </x:c>
      <x:c r="R44" s="35" t="n">
        <x:v>86</x:v>
      </x:c>
      <x:c r="S44" s="35" t="n">
        <x:v>88</x:v>
      </x:c>
      <x:c r="T44" s="35" t="str">
        <x:v>Dexterity</x:v>
      </x:c>
      <x:c r="U44" s="35" t="str">
        <x:v>Class and stats revised</x:v>
      </x:c>
      <x:c r="V44" s="35" t="str">
        <x:v>Silent hunter: Dexterity Rogue. New passive: first Finesse hit against a target that has not acted ignores 4 Guard and gains +10 Precision.</x:v>
      </x:c>
      <x:c r="W44" s="27"/>
      <x:c r="X44" s="27"/>
      <x:c r="Y44" s="27"/>
      <x:c r="Z44" s="27"/>
      <x:c r="AA44" s="27"/>
    </x:row>
    <x:row r="45">
      <x:c r="A45" s="35" t="str">
        <x:v>Bustard</x:v>
      </x:c>
      <x:c r="B45" s="35" t="str">
        <x:v>Knight</x:v>
      </x:c>
      <x:c r="C45" s="35" t="str">
        <x:v>Knight</x:v>
      </x:c>
      <x:c r="D45" s="35" t="str">
        <x:v>Very Large</x:v>
      </x:c>
      <x:c r="E45" s="35" t="str">
        <x:v>Blue</x:v>
      </x:c>
      <x:c r="F45" s="35" t="str">
        <x:v>No</x:v>
      </x:c>
      <x:c r="G45" s="35" t="str">
        <x:v>Earth</x:v>
      </x:c>
      <x:c r="H45" s="35" t="n">
        <x:v>8</x:v>
      </x:c>
      <x:c r="I45" s="35" t="n">
        <x:v>8</x:v>
      </x:c>
      <x:c r="J45" s="35" t="n">
        <x:v>0</x:v>
      </x:c>
      <x:c r="K45" s="35" t="n">
        <x:v>10</x:v>
      </x:c>
      <x:c r="L45" s="35" t="n">
        <x:v>0</x:v>
      </x:c>
      <x:c r="M45" s="35" t="n">
        <x:v>3</x:v>
      </x:c>
      <x:c r="N45" s="35" t="n">
        <x:v>1</x:v>
      </x:c>
      <x:c r="O45" s="35" t="n">
        <x:v>40</x:v>
      </x:c>
      <x:c r="P45" s="35" t="n">
        <x:v>177</x:v>
      </x:c>
      <x:c r="Q45" s="35" t="n">
        <x:v>137</x:v>
      </x:c>
      <x:c r="R45" s="35" t="n">
        <x:v>73</x:v>
      </x:c>
      <x:c r="S45" s="35" t="n">
        <x:v>75</x:v>
      </x:c>
      <x:c r="T45" s="35" t="str">
        <x:v>Might</x:v>
      </x:c>
      <x:c r="U45" s="35" t="str">
        <x:v>Formula recalculated</x:v>
      </x:c>
      <x:c r="V45" s="35" t="str">
        <x:v>Foundation recalculation only; passive and loadout require later species pass.</x:v>
      </x:c>
      <x:c r="W45" s="27"/>
      <x:c r="X45" s="27"/>
      <x:c r="Y45" s="27"/>
      <x:c r="Z45" s="27"/>
      <x:c r="AA45" s="27"/>
    </x:row>
    <x:row r="46">
      <x:c r="A46" s="35" t="str">
        <x:v>Golden Eagle</x:v>
      </x:c>
      <x:c r="B46" s="35" t="str">
        <x:v>Rogue</x:v>
      </x:c>
      <x:c r="C46" s="35" t="str">
        <x:v>Rogue</x:v>
      </x:c>
      <x:c r="D46" s="35" t="str">
        <x:v>Large</x:v>
      </x:c>
      <x:c r="E46" s="35" t="str">
        <x:v>Gold</x:v>
      </x:c>
      <x:c r="F46" s="35" t="str">
        <x:v>No</x:v>
      </x:c>
      <x:c r="G46" s="35" t="str">
        <x:v>Day</x:v>
      </x:c>
      <x:c r="H46" s="35" t="n">
        <x:v>3</x:v>
      </x:c>
      <x:c r="I46" s="35" t="n">
        <x:v>2</x:v>
      </x:c>
      <x:c r="J46" s="35" t="n">
        <x:v>17</x:v>
      </x:c>
      <x:c r="K46" s="35" t="n">
        <x:v>2</x:v>
      </x:c>
      <x:c r="L46" s="35" t="n">
        <x:v>0</x:v>
      </x:c>
      <x:c r="M46" s="35" t="n">
        <x:v>2</x:v>
      </x:c>
      <x:c r="N46" s="35" t="n">
        <x:v>6</x:v>
      </x:c>
      <x:c r="O46" s="35" t="n">
        <x:v>23</x:v>
      </x:c>
      <x:c r="P46" s="35" t="n">
        <x:v>149</x:v>
      </x:c>
      <x:c r="Q46" s="35" t="n">
        <x:v>126</x:v>
      </x:c>
      <x:c r="R46" s="35" t="n">
        <x:v>86</x:v>
      </x:c>
      <x:c r="S46" s="35" t="n">
        <x:v>86</x:v>
      </x:c>
      <x:c r="T46" s="35" t="str">
        <x:v>Dexterity</x:v>
      </x:c>
      <x:c r="U46" s="35" t="str">
        <x:v>Formula recalculated</x:v>
      </x:c>
      <x:c r="V46" s="35" t="str">
        <x:v>Foundation recalculation only; passive and loadout require later species pass.</x:v>
      </x:c>
      <x:c r="W46" s="27"/>
      <x:c r="X46" s="27"/>
      <x:c r="Y46" s="27"/>
      <x:c r="Z46" s="27"/>
      <x:c r="AA46" s="27"/>
    </x:row>
    <x:row r="47">
      <x:c r="A47" s="35" t="str">
        <x:v>Australian Pelican</x:v>
      </x:c>
      <x:c r="B47" s="35" t="str">
        <x:v>Brute</x:v>
      </x:c>
      <x:c r="C47" s="35" t="str">
        <x:v>Brute</x:v>
      </x:c>
      <x:c r="D47" s="35" t="str">
        <x:v>Very Large</x:v>
      </x:c>
      <x:c r="E47" s="35" t="str">
        <x:v>Purple</x:v>
      </x:c>
      <x:c r="F47" s="35" t="str">
        <x:v>No</x:v>
      </x:c>
      <x:c r="G47" s="35" t="str">
        <x:v>Water</x:v>
      </x:c>
      <x:c r="H47" s="35" t="n">
        <x:v>9</x:v>
      </x:c>
      <x:c r="I47" s="35" t="n">
        <x:v>9</x:v>
      </x:c>
      <x:c r="J47" s="35" t="n">
        <x:v>0</x:v>
      </x:c>
      <x:c r="K47" s="35" t="n">
        <x:v>9</x:v>
      </x:c>
      <x:c r="L47" s="35" t="n">
        <x:v>0</x:v>
      </x:c>
      <x:c r="M47" s="35" t="n">
        <x:v>2</x:v>
      </x:c>
      <x:c r="N47" s="35" t="n">
        <x:v>1</x:v>
      </x:c>
      <x:c r="O47" s="35" t="n">
        <x:v>43</x:v>
      </x:c>
      <x:c r="P47" s="35" t="n">
        <x:v>182</x:v>
      </x:c>
      <x:c r="Q47" s="35" t="n">
        <x:v>139</x:v>
      </x:c>
      <x:c r="R47" s="35" t="n">
        <x:v>69</x:v>
      </x:c>
      <x:c r="S47" s="35" t="n">
        <x:v>73</x:v>
      </x:c>
      <x:c r="T47" s="35" t="str">
        <x:v>Might</x:v>
      </x:c>
      <x:c r="U47" s="35" t="str">
        <x:v>Formula recalculated</x:v>
      </x:c>
      <x:c r="V47" s="35" t="str">
        <x:v>Foundation recalculation only; passive and loadout require later species pass.</x:v>
      </x:c>
      <x:c r="W47" s="27"/>
      <x:c r="X47" s="27"/>
      <x:c r="Y47" s="27"/>
      <x:c r="Z47" s="27"/>
      <x:c r="AA47" s="27"/>
    </x:row>
    <x:row r="48">
      <x:c r="A48" s="35" t="str">
        <x:v>Marabou Stork</x:v>
      </x:c>
      <x:c r="B48" s="35" t="str">
        <x:v>Inquisitor</x:v>
      </x:c>
      <x:c r="C48" s="35" t="str">
        <x:v>Inquisitor</x:v>
      </x:c>
      <x:c r="D48" s="35" t="str">
        <x:v>Very Large</x:v>
      </x:c>
      <x:c r="E48" s="35" t="str">
        <x:v>Purple</x:v>
      </x:c>
      <x:c r="F48" s="35" t="str">
        <x:v>No</x:v>
      </x:c>
      <x:c r="G48" s="35" t="str">
        <x:v>Water</x:v>
      </x:c>
      <x:c r="H48" s="35" t="n">
        <x:v>7</x:v>
      </x:c>
      <x:c r="I48" s="35" t="n">
        <x:v>6</x:v>
      </x:c>
      <x:c r="J48" s="35" t="n">
        <x:v>1</x:v>
      </x:c>
      <x:c r="K48" s="35" t="n">
        <x:v>4</x:v>
      </x:c>
      <x:c r="L48" s="35" t="n">
        <x:v>3</x:v>
      </x:c>
      <x:c r="M48" s="35" t="n">
        <x:v>8</x:v>
      </x:c>
      <x:c r="N48" s="35" t="n">
        <x:v>1</x:v>
      </x:c>
      <x:c r="O48" s="35" t="n">
        <x:v>37</x:v>
      </x:c>
      <x:c r="P48" s="35" t="n">
        <x:v>172</x:v>
      </x:c>
      <x:c r="Q48" s="35" t="n">
        <x:v>135</x:v>
      </x:c>
      <x:c r="R48" s="35" t="n">
        <x:v>75</x:v>
      </x:c>
      <x:c r="S48" s="35" t="n">
        <x:v>75</x:v>
      </x:c>
      <x:c r="T48" s="35" t="str">
        <x:v>Might or Focus</x:v>
      </x:c>
      <x:c r="U48" s="35" t="str">
        <x:v>Formula recalculated</x:v>
      </x:c>
      <x:c r="V48" s="35" t="str">
        <x:v>Foundation recalculation only; passive and loadout require later species pass.</x:v>
      </x:c>
      <x:c r="W48" s="27"/>
      <x:c r="X48" s="27"/>
      <x:c r="Y48" s="27"/>
      <x:c r="Z48" s="27"/>
      <x:c r="AA48" s="27"/>
    </x:row>
    <x:row r="49">
      <x:c r="A49" s="35" t="str">
        <x:v>Pigeon</x:v>
      </x:c>
      <x:c r="B49" s="35" t="str">
        <x:v>Bard</x:v>
      </x:c>
      <x:c r="C49" s="35" t="str">
        <x:v>Bard</x:v>
      </x:c>
      <x:c r="D49" s="35" t="str">
        <x:v>Medium</x:v>
      </x:c>
      <x:c r="E49" s="35" t="str">
        <x:v>Grey</x:v>
      </x:c>
      <x:c r="F49" s="35" t="str">
        <x:v>No</x:v>
      </x:c>
      <x:c r="G49" s="35" t="str">
        <x:v>Earth</x:v>
      </x:c>
      <x:c r="H49" s="35" t="n">
        <x:v>4</x:v>
      </x:c>
      <x:c r="I49" s="35" t="n">
        <x:v>2</x:v>
      </x:c>
      <x:c r="J49" s="35" t="n">
        <x:v>5</x:v>
      </x:c>
      <x:c r="K49" s="35" t="n">
        <x:v>4</x:v>
      </x:c>
      <x:c r="L49" s="35" t="n">
        <x:v>5</x:v>
      </x:c>
      <x:c r="M49" s="35" t="n">
        <x:v>5</x:v>
      </x:c>
      <x:c r="N49" s="35" t="n">
        <x:v>5</x:v>
      </x:c>
      <x:c r="O49" s="35" t="n">
        <x:v>24</x:v>
      </x:c>
      <x:c r="P49" s="35" t="n">
        <x:v>151</x:v>
      </x:c>
      <x:c r="Q49" s="35" t="n">
        <x:v>127</x:v>
      </x:c>
      <x:c r="R49" s="35" t="n">
        <x:v>82</x:v>
      </x:c>
      <x:c r="S49" s="35" t="n">
        <x:v>82</x:v>
      </x:c>
      <x:c r="T49" s="35" t="str">
        <x:v>Hybrid DEX + Focus</x:v>
      </x:c>
      <x:c r="U49" s="35" t="str">
        <x:v>Formula recalculated</x:v>
      </x:c>
      <x:c r="V49" s="35" t="str">
        <x:v>Foundation recalculation only; passive and loadout require later species pass.</x:v>
      </x:c>
      <x:c r="W49" s="27"/>
      <x:c r="X49" s="27"/>
      <x:c r="Y49" s="27"/>
      <x:c r="Z49" s="27"/>
      <x:c r="AA49" s="27"/>
    </x:row>
    <x:row r="50">
      <x:c r="A50" s="35" t="str">
        <x:v>Rock Pigeon</x:v>
      </x:c>
      <x:c r="B50" s="35" t="str">
        <x:v>Knight</x:v>
      </x:c>
      <x:c r="C50" s="35" t="str">
        <x:v>Knight</x:v>
      </x:c>
      <x:c r="D50" s="35" t="str">
        <x:v>Medium</x:v>
      </x:c>
      <x:c r="E50" s="35" t="str">
        <x:v>Grey</x:v>
      </x:c>
      <x:c r="F50" s="35" t="str">
        <x:v>No</x:v>
      </x:c>
      <x:c r="G50" s="35" t="str">
        <x:v>Earth</x:v>
      </x:c>
      <x:c r="H50" s="35" t="n">
        <x:v>5</x:v>
      </x:c>
      <x:c r="I50" s="35" t="n">
        <x:v>7</x:v>
      </x:c>
      <x:c r="J50" s="35" t="n">
        <x:v>2</x:v>
      </x:c>
      <x:c r="K50" s="35" t="n">
        <x:v>8</x:v>
      </x:c>
      <x:c r="L50" s="35" t="n">
        <x:v>0</x:v>
      </x:c>
      <x:c r="M50" s="35" t="n">
        <x:v>4</x:v>
      </x:c>
      <x:c r="N50" s="35" t="n">
        <x:v>4</x:v>
      </x:c>
      <x:c r="O50" s="35" t="n">
        <x:v>27</x:v>
      </x:c>
      <x:c r="P50" s="35" t="n">
        <x:v>156</x:v>
      </x:c>
      <x:c r="Q50" s="35" t="n">
        <x:v>129</x:v>
      </x:c>
      <x:c r="R50" s="35" t="n">
        <x:v>78</x:v>
      </x:c>
      <x:c r="S50" s="35" t="n">
        <x:v>80</x:v>
      </x:c>
      <x:c r="T50" s="35" t="str">
        <x:v>Might</x:v>
      </x:c>
      <x:c r="U50" s="35" t="str">
        <x:v>Formula recalculated</x:v>
      </x:c>
      <x:c r="V50" s="35" t="str">
        <x:v>Foundation recalculation only; passive and loadout require later species pass.</x:v>
      </x:c>
      <x:c r="W50" s="27"/>
      <x:c r="X50" s="27"/>
      <x:c r="Y50" s="27"/>
      <x:c r="Z50" s="27"/>
      <x:c r="AA50" s="27"/>
    </x:row>
    <x:row r="51">
      <x:c r="A51" s="35" t="str">
        <x:v>Dove</x:v>
      </x:c>
      <x:c r="B51" s="35" t="str">
        <x:v>Bard</x:v>
      </x:c>
      <x:c r="C51" s="35" t="str">
        <x:v>Bard</x:v>
      </x:c>
      <x:c r="D51" s="35" t="str">
        <x:v>Small</x:v>
      </x:c>
      <x:c r="E51" s="35" t="str">
        <x:v>Grey</x:v>
      </x:c>
      <x:c r="F51" s="35" t="str">
        <x:v>No</x:v>
      </x:c>
      <x:c r="G51" s="35" t="str">
        <x:v>Day</x:v>
      </x:c>
      <x:c r="H51" s="35" t="n">
        <x:v>2</x:v>
      </x:c>
      <x:c r="I51" s="35" t="n">
        <x:v>0</x:v>
      </x:c>
      <x:c r="J51" s="35" t="n">
        <x:v>4</x:v>
      </x:c>
      <x:c r="K51" s="35" t="n">
        <x:v>3</x:v>
      </x:c>
      <x:c r="L51" s="35" t="n">
        <x:v>7</x:v>
      </x:c>
      <x:c r="M51" s="35" t="n">
        <x:v>7</x:v>
      </x:c>
      <x:c r="N51" s="35" t="n">
        <x:v>7</x:v>
      </x:c>
      <x:c r="O51" s="35" t="n">
        <x:v>16</x:v>
      </x:c>
      <x:c r="P51" s="35" t="n">
        <x:v>138</x:v>
      </x:c>
      <x:c r="Q51" s="35" t="n">
        <x:v>122</x:v>
      </x:c>
      <x:c r="R51" s="35" t="n">
        <x:v>86</x:v>
      </x:c>
      <x:c r="S51" s="35" t="n">
        <x:v>86</x:v>
      </x:c>
      <x:c r="T51" s="35" t="str">
        <x:v>Hybrid DEX + Focus</x:v>
      </x:c>
      <x:c r="U51" s="35" t="str">
        <x:v>Formula recalculated</x:v>
      </x:c>
      <x:c r="V51" s="35" t="str">
        <x:v>Foundation recalculation only; passive and loadout require later species pass.</x:v>
      </x:c>
      <x:c r="W51" s="27"/>
      <x:c r="X51" s="27"/>
      <x:c r="Y51" s="27"/>
      <x:c r="Z51" s="27"/>
      <x:c r="AA51" s="27"/>
    </x:row>
    <x:row r="52">
      <x:c r="A52" s="35" t="str">
        <x:v>Rock Dove</x:v>
      </x:c>
      <x:c r="B52" s="35" t="str">
        <x:v>Bard</x:v>
      </x:c>
      <x:c r="C52" s="35" t="str">
        <x:v>Bard</x:v>
      </x:c>
      <x:c r="D52" s="35" t="str">
        <x:v>Medium</x:v>
      </x:c>
      <x:c r="E52" s="35" t="str">
        <x:v>Grey</x:v>
      </x:c>
      <x:c r="F52" s="35" t="str">
        <x:v>No</x:v>
      </x:c>
      <x:c r="G52" s="35" t="str">
        <x:v>Earth</x:v>
      </x:c>
      <x:c r="H52" s="35" t="n">
        <x:v>4</x:v>
      </x:c>
      <x:c r="I52" s="35" t="n">
        <x:v>2</x:v>
      </x:c>
      <x:c r="J52" s="35" t="n">
        <x:v>5</x:v>
      </x:c>
      <x:c r="K52" s="35" t="n">
        <x:v>5</x:v>
      </x:c>
      <x:c r="L52" s="35" t="n">
        <x:v>4</x:v>
      </x:c>
      <x:c r="M52" s="35" t="n">
        <x:v>5</x:v>
      </x:c>
      <x:c r="N52" s="35" t="n">
        <x:v>5</x:v>
      </x:c>
      <x:c r="O52" s="35" t="n">
        <x:v>24</x:v>
      </x:c>
      <x:c r="P52" s="35" t="n">
        <x:v>151</x:v>
      </x:c>
      <x:c r="Q52" s="35" t="n">
        <x:v>127</x:v>
      </x:c>
      <x:c r="R52" s="35" t="n">
        <x:v>82</x:v>
      </x:c>
      <x:c r="S52" s="35" t="n">
        <x:v>82</x:v>
      </x:c>
      <x:c r="T52" s="35" t="str">
        <x:v>Hybrid DEX + Focus</x:v>
      </x:c>
      <x:c r="U52" s="35" t="str">
        <x:v>Formula recalculated</x:v>
      </x:c>
      <x:c r="V52" s="35" t="str">
        <x:v>Foundation recalculation only; passive and loadout require later species pass.</x:v>
      </x:c>
      <x:c r="W52" s="27"/>
      <x:c r="X52" s="27"/>
      <x:c r="Y52" s="27"/>
      <x:c r="Z52" s="27"/>
      <x:c r="AA52" s="27"/>
    </x:row>
    <x:row r="53">
      <x:c r="A53" s="35" t="str">
        <x:v>Kakapo</x:v>
      </x:c>
      <x:c r="B53" s="35" t="str">
        <x:v>Bard</x:v>
      </x:c>
      <x:c r="C53" s="35" t="str">
        <x:v>Bard</x:v>
      </x:c>
      <x:c r="D53" s="35" t="str">
        <x:v>Large</x:v>
      </x:c>
      <x:c r="E53" s="35" t="str">
        <x:v>Green</x:v>
      </x:c>
      <x:c r="F53" s="35" t="str">
        <x:v>No</x:v>
      </x:c>
      <x:c r="G53" s="35" t="str">
        <x:v>Earth</x:v>
      </x:c>
      <x:c r="H53" s="35" t="n">
        <x:v>6</x:v>
      </x:c>
      <x:c r="I53" s="35" t="n">
        <x:v>1</x:v>
      </x:c>
      <x:c r="J53" s="35" t="n">
        <x:v>4</x:v>
      </x:c>
      <x:c r="K53" s="35" t="n">
        <x:v>5</x:v>
      </x:c>
      <x:c r="L53" s="35" t="n">
        <x:v>5</x:v>
      </x:c>
      <x:c r="M53" s="35" t="n">
        <x:v>7</x:v>
      </x:c>
      <x:c r="N53" s="35" t="n">
        <x:v>2</x:v>
      </x:c>
      <x:c r="O53" s="35" t="n">
        <x:v>32</x:v>
      </x:c>
      <x:c r="P53" s="35" t="n">
        <x:v>164</x:v>
      </x:c>
      <x:c r="Q53" s="35" t="n">
        <x:v>132</x:v>
      </x:c>
      <x:c r="R53" s="35" t="n">
        <x:v>79</x:v>
      </x:c>
      <x:c r="S53" s="35" t="n">
        <x:v>79</x:v>
      </x:c>
      <x:c r="T53" s="35" t="str">
        <x:v>Hybrid DEX + Focus</x:v>
      </x:c>
      <x:c r="U53" s="35" t="str">
        <x:v>Formula recalculated</x:v>
      </x:c>
      <x:c r="V53" s="35" t="str">
        <x:v>Foundation recalculation only; passive and loadout require later species pass.</x:v>
      </x:c>
      <x:c r="W53" s="27"/>
      <x:c r="X53" s="27"/>
      <x:c r="Y53" s="27"/>
      <x:c r="Z53" s="27"/>
      <x:c r="AA53" s="27"/>
    </x:row>
    <x:row r="54">
      <x:c r="A54" s="35" t="str">
        <x:v>Dodo</x:v>
      </x:c>
      <x:c r="B54" s="35" t="str">
        <x:v>Knight</x:v>
      </x:c>
      <x:c r="C54" s="35" t="str">
        <x:v>Knight</x:v>
      </x:c>
      <x:c r="D54" s="35" t="str">
        <x:v>Very Large</x:v>
      </x:c>
      <x:c r="E54" s="35" t="str">
        <x:v>Green</x:v>
      </x:c>
      <x:c r="F54" s="35" t="str">
        <x:v>No</x:v>
      </x:c>
      <x:c r="G54" s="35" t="str">
        <x:v>Earth</x:v>
      </x:c>
      <x:c r="H54" s="35" t="n">
        <x:v>7</x:v>
      </x:c>
      <x:c r="I54" s="35" t="n">
        <x:v>7</x:v>
      </x:c>
      <x:c r="J54" s="35" t="n">
        <x:v>1</x:v>
      </x:c>
      <x:c r="K54" s="35" t="n">
        <x:v>9</x:v>
      </x:c>
      <x:c r="L54" s="35" t="n">
        <x:v>0</x:v>
      </x:c>
      <x:c r="M54" s="35" t="n">
        <x:v>4</x:v>
      </x:c>
      <x:c r="N54" s="35" t="n">
        <x:v>2</x:v>
      </x:c>
      <x:c r="O54" s="35" t="n">
        <x:v>37</x:v>
      </x:c>
      <x:c r="P54" s="35" t="n">
        <x:v>172</x:v>
      </x:c>
      <x:c r="Q54" s="35" t="n">
        <x:v>135</x:v>
      </x:c>
      <x:c r="R54" s="35" t="n">
        <x:v>72</x:v>
      </x:c>
      <x:c r="S54" s="35" t="n">
        <x:v>74</x:v>
      </x:c>
      <x:c r="T54" s="35" t="str">
        <x:v>Might</x:v>
      </x:c>
      <x:c r="U54" s="35" t="str">
        <x:v>Formula recalculated</x:v>
      </x:c>
      <x:c r="V54" s="35" t="str">
        <x:v>Foundation recalculation only; passive and loadout require later species pass.</x:v>
      </x:c>
      <x:c r="W54" s="27"/>
      <x:c r="X54" s="27"/>
      <x:c r="Y54" s="27"/>
      <x:c r="Z54" s="27"/>
      <x:c r="AA54" s="27"/>
    </x:row>
    <x:row r="55">
      <x:c r="A55" s="35" t="str">
        <x:v>Chickadee</x:v>
      </x:c>
      <x:c r="B55" s="35" t="str">
        <x:v>Rogue</x:v>
      </x:c>
      <x:c r="C55" s="35" t="str">
        <x:v>Rogue</x:v>
      </x:c>
      <x:c r="D55" s="35" t="str">
        <x:v>Tiny</x:v>
      </x:c>
      <x:c r="E55" s="35" t="str">
        <x:v>Grey</x:v>
      </x:c>
      <x:c r="F55" s="35" t="str">
        <x:v>No</x:v>
      </x:c>
      <x:c r="G55" s="35" t="str">
        <x:v>Earth</x:v>
      </x:c>
      <x:c r="H55" s="35" t="n">
        <x:v>2</x:v>
      </x:c>
      <x:c r="I55" s="35" t="n">
        <x:v>2</x:v>
      </x:c>
      <x:c r="J55" s="35" t="n">
        <x:v>8</x:v>
      </x:c>
      <x:c r="K55" s="35" t="n">
        <x:v>4</x:v>
      </x:c>
      <x:c r="L55" s="35" t="n">
        <x:v>1</x:v>
      </x:c>
      <x:c r="M55" s="35" t="n">
        <x:v>4</x:v>
      </x:c>
      <x:c r="N55" s="35" t="n">
        <x:v>9</x:v>
      </x:c>
      <x:c r="O55" s="35" t="n">
        <x:v>14</x:v>
      </x:c>
      <x:c r="P55" s="35" t="n">
        <x:v>135</x:v>
      </x:c>
      <x:c r="Q55" s="35" t="n">
        <x:v>121</x:v>
      </x:c>
      <x:c r="R55" s="35" t="n">
        <x:v>92</x:v>
      </x:c>
      <x:c r="S55" s="35" t="n">
        <x:v>92</x:v>
      </x:c>
      <x:c r="T55" s="35" t="str">
        <x:v>Dexterity</x:v>
      </x:c>
      <x:c r="U55" s="35" t="str">
        <x:v>Formula recalculated</x:v>
      </x:c>
      <x:c r="V55" s="35" t="str">
        <x:v>Foundation recalculation only; passive and loadout require later species pass.</x:v>
      </x:c>
      <x:c r="W55" s="27"/>
      <x:c r="X55" s="27"/>
      <x:c r="Y55" s="27"/>
      <x:c r="Z55" s="27"/>
      <x:c r="AA55" s="27"/>
    </x:row>
    <x:row r="56">
      <x:c r="A56" s="36" t="str">
        <x:v>Finch</x:v>
      </x:c>
      <x:c r="B56" s="36" t="str">
        <x:v>Rogue</x:v>
      </x:c>
      <x:c r="C56" s="36" t="str">
        <x:v>Rogue</x:v>
      </x:c>
      <x:c r="D56" s="36" t="str">
        <x:v>Small</x:v>
      </x:c>
      <x:c r="E56" s="36" t="str">
        <x:v>Grey</x:v>
      </x:c>
      <x:c r="F56" s="36" t="str">
        <x:v>No</x:v>
      </x:c>
      <x:c r="G56" s="36" t="str">
        <x:v>Earth</x:v>
      </x:c>
      <x:c r="H56" s="36" t="n">
        <x:v>2</x:v>
      </x:c>
      <x:c r="I56" s="36" t="n">
        <x:v>1</x:v>
      </x:c>
      <x:c r="J56" s="36" t="n">
        <x:v>9</x:v>
      </x:c>
      <x:c r="K56" s="36" t="n">
        <x:v>4</x:v>
      </x:c>
      <x:c r="L56" s="36" t="n">
        <x:v>0</x:v>
      </x:c>
      <x:c r="M56" s="36" t="n">
        <x:v>5</x:v>
      </x:c>
      <x:c r="N56" s="36" t="n">
        <x:v>9</x:v>
      </x:c>
      <x:c r="O56" s="36" t="n">
        <x:v>16</x:v>
      </x:c>
      <x:c r="P56" s="36" t="n">
        <x:v>138</x:v>
      </x:c>
      <x:c r="Q56" s="36" t="n">
        <x:v>122</x:v>
      </x:c>
      <x:c r="R56" s="36" t="n">
        <x:v>90</x:v>
      </x:c>
      <x:c r="S56" s="36" t="n">
        <x:v>90</x:v>
      </x:c>
      <x:c r="T56" s="36" t="str">
        <x:v>Dexterity</x:v>
      </x:c>
      <x:c r="U56" s="36" t="str">
        <x:v>Formula recalculated</x:v>
      </x:c>
      <x:c r="V56" s="36" t="str">
        <x:v>Foundation recalculation only; passive and loadout require later species pass.</x:v>
      </x:c>
      <x:c r="W56" s="27"/>
      <x:c r="X56" s="27"/>
      <x:c r="Y56" s="27"/>
      <x:c r="Z56" s="27"/>
      <x:c r="AA56" s="27"/>
    </x:row>
  </x:sheetData>
  <x:mergeCells>
    <x:mergeCell ref="A1:V1"/>
    <x:mergeCell ref="A2:V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0" hidden="0" customWidth="1"/>
    <x:col min="10" max="10" width="34" hidden="0" customWidth="1"/>
  </x:cols>
  <x:sheetData>
    <x:row r="1" ht="34" customHeight="1">
      <x:c r="A1" s="3" t="str">
        <x:v>WEAPON &amp; SKILL REWORK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9" customHeight="1">
      <x:c r="A2" s="57" t="str">
        <x:v>Every weapon family exists at all six rarities and grants the same functional kit: Basic Attack, Technique A and Technique B. Rarity improves values, not access to basic gameplay.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25" customHeight="1">
      <x:c r="A4" s="58" t="str">
        <x:v>Weight band</x:v>
      </x:c>
      <x:c r="B4" s="59" t="str">
        <x:v>Grey</x:v>
      </x:c>
      <x:c r="C4" s="59" t="str">
        <x:v>Green</x:v>
      </x:c>
      <x:c r="D4" s="59" t="str">
        <x:v>Blue</x:v>
      </x:c>
      <x:c r="E4" s="59" t="str">
        <x:v>Purple</x:v>
      </x:c>
      <x:c r="F4" s="59" t="str">
        <x:v>Gold</x:v>
      </x:c>
      <x:c r="G4" s="59" t="str">
        <x:v>Orange</x:v>
      </x:c>
      <x:c r="H4" s="59" t="str">
        <x:v>Precision</x:v>
      </x:c>
      <x:c r="I4" s="59" t="str">
        <x:v>Hands</x:v>
      </x:c>
      <x:c r="J4" s="60" t="str">
        <x:v>Purpose</x:v>
      </x:c>
    </x:row>
    <x:row r="5">
      <x:c r="A5" s="34" t="str">
        <x:v>Light 1H</x:v>
      </x:c>
      <x:c r="B5" s="34" t="str">
        <x:v>2–3</x:v>
      </x:c>
      <x:c r="C5" s="34" t="str">
        <x:v>3–4</x:v>
      </x:c>
      <x:c r="D5" s="34" t="str">
        <x:v>4–5</x:v>
      </x:c>
      <x:c r="E5" s="34" t="str">
        <x:v>5–6</x:v>
      </x:c>
      <x:c r="F5" s="34" t="str">
        <x:v>6–8</x:v>
      </x:c>
      <x:c r="G5" s="34" t="str">
        <x:v>8–10</x:v>
      </x:c>
      <x:c r="H5" s="34" t="str">
        <x:v>+3 to +5</x:v>
      </x:c>
      <x:c r="I5" s="34" t="n">
        <x:v>1</x:v>
      </x:c>
      <x:c r="J5" s="34" t="str">
        <x:v>Fast/flexible</x:v>
      </x:c>
    </x:row>
    <x:row r="6">
      <x:c r="A6" s="35" t="str">
        <x:v>Standard 1H</x:v>
      </x:c>
      <x:c r="B6" s="35" t="str">
        <x:v>3–4</x:v>
      </x:c>
      <x:c r="C6" s="35" t="str">
        <x:v>4–5</x:v>
      </x:c>
      <x:c r="D6" s="35" t="str">
        <x:v>5–6</x:v>
      </x:c>
      <x:c r="E6" s="35" t="str">
        <x:v>6–8</x:v>
      </x:c>
      <x:c r="F6" s="35" t="str">
        <x:v>8–10</x:v>
      </x:c>
      <x:c r="G6" s="35" t="str">
        <x:v>10–12</x:v>
      </x:c>
      <x:c r="H6" s="35" t="str">
        <x:v>0 to +3</x:v>
      </x:c>
      <x:c r="I6" s="35" t="n">
        <x:v>1</x:v>
      </x:c>
      <x:c r="J6" s="35" t="str">
        <x:v>Balanced</x:v>
      </x:c>
    </x:row>
    <x:row r="7">
      <x:c r="A7" s="35" t="str">
        <x:v>Heavy 1H</x:v>
      </x:c>
      <x:c r="B7" s="35" t="str">
        <x:v>4–5</x:v>
      </x:c>
      <x:c r="C7" s="35" t="str">
        <x:v>5–6</x:v>
      </x:c>
      <x:c r="D7" s="35" t="str">
        <x:v>6–8</x:v>
      </x:c>
      <x:c r="E7" s="35" t="str">
        <x:v>8–10</x:v>
      </x:c>
      <x:c r="F7" s="35" t="str">
        <x:v>10–13</x:v>
      </x:c>
      <x:c r="G7" s="35" t="str">
        <x:v>13–16</x:v>
      </x:c>
      <x:c r="H7" s="35" t="str">
        <x:v>−2 to 0</x:v>
      </x:c>
      <x:c r="I7" s="35" t="n">
        <x:v>1</x:v>
      </x:c>
      <x:c r="J7" s="35" t="str">
        <x:v>Impact/off-hand trade</x:v>
      </x:c>
    </x:row>
    <x:row r="8">
      <x:c r="A8" s="35" t="str">
        <x:v>Light 2H</x:v>
      </x:c>
      <x:c r="B8" s="35" t="str">
        <x:v>4–6</x:v>
      </x:c>
      <x:c r="C8" s="35" t="str">
        <x:v>5–7</x:v>
      </x:c>
      <x:c r="D8" s="35" t="str">
        <x:v>7–9</x:v>
      </x:c>
      <x:c r="E8" s="35" t="str">
        <x:v>9–12</x:v>
      </x:c>
      <x:c r="F8" s="35" t="str">
        <x:v>12–15</x:v>
      </x:c>
      <x:c r="G8" s="35" t="str">
        <x:v>15–19</x:v>
      </x:c>
      <x:c r="H8" s="35" t="str">
        <x:v>0 to +3</x:v>
      </x:c>
      <x:c r="I8" s="35" t="n">
        <x:v>2</x:v>
      </x:c>
      <x:c r="J8" s="35" t="str">
        <x:v>Range/accuracy</x:v>
      </x:c>
    </x:row>
    <x:row r="9">
      <x:c r="A9" s="35" t="str">
        <x:v>Heavy 2H</x:v>
      </x:c>
      <x:c r="B9" s="35" t="str">
        <x:v>5–7</x:v>
      </x:c>
      <x:c r="C9" s="35" t="str">
        <x:v>7–9</x:v>
      </x:c>
      <x:c r="D9" s="35" t="str">
        <x:v>9–12</x:v>
      </x:c>
      <x:c r="E9" s="35" t="str">
        <x:v>12–15</x:v>
      </x:c>
      <x:c r="F9" s="35" t="str">
        <x:v>15–19</x:v>
      </x:c>
      <x:c r="G9" s="35" t="str">
        <x:v>19–24</x:v>
      </x:c>
      <x:c r="H9" s="35" t="str">
        <x:v>−3 to −5</x:v>
      </x:c>
      <x:c r="I9" s="35" t="n">
        <x:v>2</x:v>
      </x:c>
      <x:c r="J9" s="35" t="str">
        <x:v>High commitment</x:v>
      </x:c>
    </x:row>
    <x:row r="10">
      <x:c r="A10" s="36" t="str">
        <x:v>Catalyst 1H</x:v>
      </x:c>
      <x:c r="B10" s="36" t="str">
        <x:v>2–3</x:v>
      </x:c>
      <x:c r="C10" s="36" t="str">
        <x:v>3–4</x:v>
      </x:c>
      <x:c r="D10" s="36" t="str">
        <x:v>4–5</x:v>
      </x:c>
      <x:c r="E10" s="36" t="str">
        <x:v>5–7</x:v>
      </x:c>
      <x:c r="F10" s="36" t="str">
        <x:v>7–9</x:v>
      </x:c>
      <x:c r="G10" s="36" t="str">
        <x:v>9–11</x:v>
      </x:c>
      <x:c r="H10" s="36" t="str">
        <x:v>0 to +2</x:v>
      </x:c>
      <x:c r="I10" s="36" t="n">
        <x:v>1</x:v>
      </x:c>
      <x:c r="J10" s="36" t="str">
        <x:v>Ailment/utility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</x:row>
    <x:row r="12" ht="24" customHeight="1">
      <x:c r="A12" s="13" t="str">
        <x:v>WEAPON CONSTRUCTION RULES</x:v>
      </x:c>
      <x:c r="B12" s="14"/>
      <x:c r="C12" s="14"/>
      <x:c r="D12" s="14"/>
      <x:c r="E12" s="14"/>
      <x:c r="F12" s="14"/>
      <x:c r="G12" s="14"/>
      <x:c r="H12" s="14"/>
      <x:c r="I12" s="14"/>
      <x:c r="J12" s="15"/>
    </x:row>
    <x:row r="13" ht="25" customHeight="1">
      <x:c r="A13" s="58" t="str">
        <x:v>Rule</x:v>
      </x:c>
      <x:c r="B13" s="59" t="str">
        <x:v>Decision</x:v>
      </x:c>
      <x:c r="C13" s="59" t="str">
        <x:v>Balance effect</x:v>
      </x:c>
      <x:c r="D13" s="59" t="str"/>
      <x:c r="E13" s="59" t="str"/>
      <x:c r="F13" s="59" t="str"/>
      <x:c r="G13" s="59" t="str"/>
      <x:c r="H13" s="59" t="str"/>
      <x:c r="I13" s="59" t="str"/>
      <x:c r="J13" s="60" t="str"/>
    </x:row>
    <x:row r="14">
      <x:c r="A14" s="34" t="str">
        <x:v>Family coverage</x:v>
      </x:c>
      <x:c r="B14" s="34" t="str">
        <x:v>All 18 families receive Grey–Orange rows.</x:v>
      </x:c>
      <x:c r="C14" s="34" t="str">
        <x:v>No class waits several rarities for a usable family.</x:v>
      </x:c>
      <x:c r="D14" s="34" t="str"/>
      <x:c r="E14" s="34" t="str"/>
      <x:c r="F14" s="34" t="str"/>
      <x:c r="G14" s="34" t="str"/>
      <x:c r="H14" s="34" t="str"/>
      <x:c r="I14" s="34" t="str"/>
      <x:c r="J14" s="34" t="str"/>
    </x:row>
    <x:row r="15">
      <x:c r="A15" s="35" t="str">
        <x:v>Skill coverage</x:v>
      </x:c>
      <x:c r="B15" s="35" t="str">
        <x:v>All rarities grant Basic + Technique A + Technique B.</x:v>
      </x:c>
      <x:c r="C15" s="35" t="str">
        <x:v>Starter telemetry can exercise the complete loop.</x:v>
      </x:c>
      <x:c r="D15" s="35" t="str"/>
      <x:c r="E15" s="35" t="str"/>
      <x:c r="F15" s="35" t="str"/>
      <x:c r="G15" s="35" t="str"/>
      <x:c r="H15" s="35" t="str"/>
      <x:c r="I15" s="35" t="str"/>
      <x:c r="J15" s="35" t="str"/>
    </x:row>
    <x:row r="16">
      <x:c r="A16" s="35" t="str">
        <x:v>Starting weapons</x:v>
      </x:c>
      <x:c r="B16" s="35" t="str">
        <x:v>Map into a full family kit rather than granting Basic only.</x:v>
      </x:c>
      <x:c r="C16" s="35" t="str">
        <x:v>Removes the starter-versus-balanced functional disadvantage.</x:v>
      </x:c>
      <x:c r="D16" s="35" t="str"/>
      <x:c r="E16" s="35" t="str"/>
      <x:c r="F16" s="35" t="str"/>
      <x:c r="G16" s="35" t="str"/>
      <x:c r="H16" s="35" t="str"/>
      <x:c r="I16" s="35" t="str"/>
      <x:c r="J16" s="35" t="str"/>
    </x:row>
    <x:row r="17">
      <x:c r="A17" s="35" t="str">
        <x:v>Rarity</x:v>
      </x:c>
      <x:c r="B17" s="35" t="str">
        <x:v>Changes range, flat stats and named property only.</x:v>
      </x:c>
      <x:c r="C17" s="35" t="str">
        <x:v>Does not multiply action coefficient.</x:v>
      </x:c>
      <x:c r="D17" s="35" t="str"/>
      <x:c r="E17" s="35" t="str"/>
      <x:c r="F17" s="35" t="str"/>
      <x:c r="G17" s="35" t="str"/>
      <x:c r="H17" s="35" t="str"/>
      <x:c r="I17" s="35" t="str"/>
      <x:c r="J17" s="35" t="str"/>
    </x:row>
    <x:row r="18">
      <x:c r="A18" s="35" t="str">
        <x:v>Two-handed</x:v>
      </x:c>
      <x:c r="B18" s="35" t="str">
        <x:v>Uses both hand capacity and receives the published 2H range.</x:v>
      </x:c>
      <x:c r="C18" s="35" t="str">
        <x:v>No shield or Orb simultaneously.</x:v>
      </x:c>
      <x:c r="D18" s="35" t="str"/>
      <x:c r="E18" s="35" t="str"/>
      <x:c r="F18" s="35" t="str"/>
      <x:c r="G18" s="35" t="str"/>
      <x:c r="H18" s="35" t="str"/>
      <x:c r="I18" s="35" t="str"/>
      <x:c r="J18" s="35" t="str"/>
    </x:row>
    <x:row r="19">
      <x:c r="A19" s="35" t="str">
        <x:v>Dual wield</x:v>
      </x:c>
      <x:c r="B19" s="35" t="str">
        <x:v>Each normal hit uses the named attacking weapon; combination replaces Technique B.</x:v>
      </x:c>
      <x:c r="C19" s="35" t="str">
        <x:v>Prevents adding both full weapon ranges to every hit.</x:v>
      </x:c>
      <x:c r="D19" s="35" t="str"/>
      <x:c r="E19" s="35" t="str"/>
      <x:c r="F19" s="35" t="str"/>
      <x:c r="G19" s="35" t="str"/>
      <x:c r="H19" s="35" t="str"/>
      <x:c r="I19" s="35" t="str"/>
      <x:c r="J19" s="35" t="str"/>
    </x:row>
    <x:row r="20">
      <x:c r="A20" s="35" t="str">
        <x:v>Hybrid action</x:v>
      </x:c>
      <x:c r="B20" s="35" t="str">
        <x:v>Resolve explicit Martial and Magic portions separately.</x:v>
      </x:c>
      <x:c r="C20" s="35" t="str">
        <x:v>Flexibility pays a coefficient tax; both pools matter.</x:v>
      </x:c>
      <x:c r="D20" s="35" t="str"/>
      <x:c r="E20" s="35" t="str"/>
      <x:c r="F20" s="35" t="str"/>
      <x:c r="G20" s="35" t="str"/>
      <x:c r="H20" s="35" t="str"/>
      <x:c r="I20" s="35" t="str"/>
      <x:c r="J20" s="35" t="str"/>
    </x:row>
    <x:row r="21">
      <x:c r="A21" s="36" t="str">
        <x:v>Essential defence</x:v>
      </x:c>
      <x:c r="B21" s="36" t="str">
        <x:v>Plumage/off-hand provides a Grey-accessible defence action.</x:v>
      </x:c>
      <x:c r="C21" s="36" t="str">
        <x:v>Fortify/Ward and restoration become observable.</x:v>
      </x:c>
      <x:c r="D21" s="36" t="str"/>
      <x:c r="E21" s="36" t="str"/>
      <x:c r="F21" s="36" t="str"/>
      <x:c r="G21" s="36" t="str"/>
      <x:c r="H21" s="36" t="str"/>
      <x:c r="I21" s="36" t="str"/>
      <x:c r="J21" s="36" t="str"/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9" hidden="0" customWidth="1"/>
    <x:col min="5" max="5" width="31" hidden="0" customWidth="1"/>
    <x:col min="6" max="6" width="23" hidden="0" customWidth="1"/>
    <x:col min="7" max="7" width="9" hidden="0" customWidth="1"/>
    <x:col min="8" max="8" width="39" hidden="0" customWidth="1"/>
    <x:col min="9" max="9" width="25" hidden="0" customWidth="1"/>
    <x:col min="10" max="10" width="9" hidden="0" customWidth="1"/>
    <x:col min="11" max="11" width="47" hidden="0" customWidth="1"/>
  </x:cols>
  <x:sheetData>
    <x:row r="1" ht="34" customHeight="1">
      <x:c r="A1" s="3" t="str">
        <x:v>WEAPON FAMILY DISTRIBUTION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 ht="29" customHeight="1">
      <x:c r="A2" s="57" t="str">
        <x:v>Eighteen families with complete rarity coverage and two authored techniques each. Coefficients follow the AP budget and no action has a routine cooldown.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 ht="25" customHeight="1">
      <x:c r="A4" s="58" t="str">
        <x:v>Family</x:v>
      </x:c>
      <x:c r="B4" s="59" t="str">
        <x:v>Damage/scaling</x:v>
      </x:c>
      <x:c r="C4" s="59" t="str">
        <x:v>Band</x:v>
      </x:c>
      <x:c r="D4" s="59" t="str">
        <x:v>Hands</x:v>
      </x:c>
      <x:c r="E4" s="59" t="str">
        <x:v>Class access</x:v>
      </x:c>
      <x:c r="F4" s="59" t="str">
        <x:v>Technique A</x:v>
      </x:c>
      <x:c r="G4" s="59" t="str">
        <x:v>A AP</x:v>
      </x:c>
      <x:c r="H4" s="59" t="str">
        <x:v>A power/effect</x:v>
      </x:c>
      <x:c r="I4" s="59" t="str">
        <x:v>Technique B</x:v>
      </x:c>
      <x:c r="J4" s="59" t="str">
        <x:v>B AP</x:v>
      </x:c>
      <x:c r="K4" s="60" t="str">
        <x:v>B power/effect</x:v>
      </x:c>
    </x:row>
    <x:row r="5">
      <x:c r="A5" s="34" t="str">
        <x:v>Dagger Pinion</x:v>
      </x:c>
      <x:c r="B5" s="34" t="str">
        <x:v>Finesse / DEX</x:v>
      </x:c>
      <x:c r="C5" s="34" t="str">
        <x:v>Light 1H</x:v>
      </x:c>
      <x:c r="D5" s="34" t="n">
        <x:v>1</x:v>
      </x:c>
      <x:c r="E5" s="34" t="str">
        <x:v>Rogue</x:v>
      </x:c>
      <x:c r="F5" s="34" t="str">
        <x:v>Quick Pinion</x:v>
      </x:c>
      <x:c r="G5" s="34" t="n">
        <x:v>2</x:v>
      </x:c>
      <x:c r="H5" s="34" t="str">
        <x:v>100%; +10 Precision</x:v>
      </x:c>
      <x:c r="I5" s="34" t="str">
        <x:v>Pinion Flurry</x:v>
      </x:c>
      <x:c r="J5" s="34" t="n">
        <x:v>3</x:v>
      </x:c>
      <x:c r="K5" s="34" t="str">
        <x:v>125% total; 1 Bleed on Health</x:v>
      </x:c>
    </x:row>
    <x:row r="6">
      <x:c r="A6" s="35" t="str">
        <x:v>Talon Blade</x:v>
      </x:c>
      <x:c r="B6" s="35" t="str">
        <x:v>Finesse / DEX</x:v>
      </x:c>
      <x:c r="C6" s="35" t="str">
        <x:v>Standard 1H</x:v>
      </x:c>
      <x:c r="D6" s="35" t="n">
        <x:v>1</x:v>
      </x:c>
      <x:c r="E6" s="35" t="str">
        <x:v>Rogue / Bard</x:v>
      </x:c>
      <x:c r="F6" s="35" t="str">
        <x:v>Talon Cut</x:v>
      </x:c>
      <x:c r="G6" s="35" t="n">
        <x:v>2</x:v>
      </x:c>
      <x:c r="H6" s="35" t="str">
        <x:v>100%</x:v>
      </x:c>
      <x:c r="I6" s="35" t="str">
        <x:v>Rending Talon</x:v>
      </x:c>
      <x:c r="J6" s="35" t="n">
        <x:v>3</x:v>
      </x:c>
      <x:c r="K6" s="35" t="str">
        <x:v>125%; 1 Bleed on Health</x:v>
      </x:c>
    </x:row>
    <x:row r="7">
      <x:c r="A7" s="35" t="str">
        <x:v>Duel Sabre</x:v>
      </x:c>
      <x:c r="B7" s="35" t="str">
        <x:v>Finesse / DEX</x:v>
      </x:c>
      <x:c r="C7" s="35" t="str">
        <x:v>Standard 1H</x:v>
      </x:c>
      <x:c r="D7" s="35" t="n">
        <x:v>1</x:v>
      </x:c>
      <x:c r="E7" s="35" t="str">
        <x:v>Rogue / Bard</x:v>
      </x:c>
      <x:c r="F7" s="35" t="str">
        <x:v>Feint Slash</x:v>
      </x:c>
      <x:c r="G7" s="35" t="n">
        <x:v>2</x:v>
      </x:c>
      <x:c r="H7" s="35" t="str">
        <x:v>80%; +10 Dodge until next action</x:v>
      </x:c>
      <x:c r="I7" s="35" t="str">
        <x:v>Riposte Slash</x:v>
      </x:c>
      <x:c r="J7" s="35" t="n">
        <x:v>3</x:v>
      </x:c>
      <x:c r="K7" s="35" t="str">
        <x:v>155%; +15% if user Dodged</x:v>
      </x:c>
    </x:row>
    <x:row r="8">
      <x:c r="A8" s="35" t="str">
        <x:v>Hand Crossbow</x:v>
      </x:c>
      <x:c r="B8" s="35" t="str">
        <x:v>Finesse / DEX</x:v>
      </x:c>
      <x:c r="C8" s="35" t="str">
        <x:v>Standard 1H</x:v>
      </x:c>
      <x:c r="D8" s="35" t="n">
        <x:v>1</x:v>
      </x:c>
      <x:c r="E8" s="35" t="str">
        <x:v>Rogue / Bard</x:v>
      </x:c>
      <x:c r="F8" s="35" t="str">
        <x:v>Snap Bolt</x:v>
      </x:c>
      <x:c r="G8" s="35" t="n">
        <x:v>2</x:v>
      </x:c>
      <x:c r="H8" s="35" t="str">
        <x:v>105%</x:v>
      </x:c>
      <x:c r="I8" s="35" t="str">
        <x:v>Barbed Bolt</x:v>
      </x:c>
      <x:c r="J8" s="35" t="n">
        <x:v>3</x:v>
      </x:c>
      <x:c r="K8" s="35" t="str">
        <x:v>125%; 1 Crippled on Health</x:v>
      </x:c>
    </x:row>
    <x:row r="9">
      <x:c r="A9" s="35" t="str">
        <x:v>Bow</x:v>
      </x:c>
      <x:c r="B9" s="35" t="str">
        <x:v>Finesse / DEX</x:v>
      </x:c>
      <x:c r="C9" s="35" t="str">
        <x:v>Light 2H</x:v>
      </x:c>
      <x:c r="D9" s="35" t="n">
        <x:v>2</x:v>
      </x:c>
      <x:c r="E9" s="35" t="str">
        <x:v>Rogue / Bard</x:v>
      </x:c>
      <x:c r="F9" s="35" t="str">
        <x:v>Pinion Shot</x:v>
      </x:c>
      <x:c r="G9" s="35" t="n">
        <x:v>2</x:v>
      </x:c>
      <x:c r="H9" s="35" t="str">
        <x:v>105%</x:v>
      </x:c>
      <x:c r="I9" s="35" t="str">
        <x:v>Crippling Shot</x:v>
      </x:c>
      <x:c r="J9" s="35" t="n">
        <x:v>3</x:v>
      </x:c>
      <x:c r="K9" s="35" t="str">
        <x:v>120%; 2 Crippled on Health</x:v>
      </x:c>
    </x:row>
    <x:row r="10">
      <x:c r="A10" s="35" t="str">
        <x:v>Greatbow</x:v>
      </x:c>
      <x:c r="B10" s="35" t="str">
        <x:v>Finesse / DEX</x:v>
      </x:c>
      <x:c r="C10" s="35" t="str">
        <x:v>Heavy 2H</x:v>
      </x:c>
      <x:c r="D10" s="35" t="n">
        <x:v>2</x:v>
      </x:c>
      <x:c r="E10" s="35" t="str">
        <x:v>Knight / Brute</x:v>
      </x:c>
      <x:c r="F10" s="35" t="str">
        <x:v>Aimed Feather</x:v>
      </x:c>
      <x:c r="G10" s="35" t="n">
        <x:v>3</x:v>
      </x:c>
      <x:c r="H10" s="35" t="str">
        <x:v>160%; +10 Precision</x:v>
      </x:c>
      <x:c r="I10" s="35" t="str">
        <x:v>Skyfall Arrow</x:v>
      </x:c>
      <x:c r="J10" s="35" t="n">
        <x:v>4</x:v>
      </x:c>
      <x:c r="K10" s="35" t="str">
        <x:v>190%; ignore 4 Guard</x:v>
      </x:c>
    </x:row>
    <x:row r="11">
      <x:c r="A11" s="35" t="str">
        <x:v>Beak Hammer</x:v>
      </x:c>
      <x:c r="B11" s="35" t="str">
        <x:v>Strength / Might</x:v>
      </x:c>
      <x:c r="C11" s="35" t="str">
        <x:v>Heavy 1H</x:v>
      </x:c>
      <x:c r="D11" s="35" t="n">
        <x:v>1</x:v>
      </x:c>
      <x:c r="E11" s="35" t="str">
        <x:v>Knight / Brute</x:v>
      </x:c>
      <x:c r="F11" s="35" t="str">
        <x:v>Crushing Peck</x:v>
      </x:c>
      <x:c r="G11" s="35" t="n">
        <x:v>2</x:v>
      </x:c>
      <x:c r="H11" s="35" t="str">
        <x:v>85%; 1 Dazed on Health</x:v>
      </x:c>
      <x:c r="I11" s="35" t="str">
        <x:v>Fortifying Slam</x:v>
      </x:c>
      <x:c r="J11" s="35" t="n">
        <x:v>4</x:v>
      </x:c>
      <x:c r="K11" s="35" t="str">
        <x:v>145%; gain Fortify</x:v>
      </x:c>
    </x:row>
    <x:row r="12">
      <x:c r="A12" s="35" t="str">
        <x:v>Lance</x:v>
      </x:c>
      <x:c r="B12" s="35" t="str">
        <x:v>Strength / Might</x:v>
      </x:c>
      <x:c r="C12" s="35" t="str">
        <x:v>Light 2H</x:v>
      </x:c>
      <x:c r="D12" s="35" t="n">
        <x:v>2</x:v>
      </x:c>
      <x:c r="E12" s="35" t="str">
        <x:v>Knight / Brute</x:v>
      </x:c>
      <x:c r="F12" s="35" t="str">
        <x:v>Skyward Thrust</x:v>
      </x:c>
      <x:c r="G12" s="35" t="n">
        <x:v>3</x:v>
      </x:c>
      <x:c r="H12" s="35" t="str">
        <x:v>160%</x:v>
      </x:c>
      <x:c r="I12" s="35" t="str">
        <x:v>Piercing Charge</x:v>
      </x:c>
      <x:c r="J12" s="35" t="n">
        <x:v>4</x:v>
      </x:c>
      <x:c r="K12" s="35" t="str">
        <x:v>190%; ignore 4 Guard</x:v>
      </x:c>
    </x:row>
    <x:row r="13">
      <x:c r="A13" s="35" t="str">
        <x:v>Greatblade</x:v>
      </x:c>
      <x:c r="B13" s="35" t="str">
        <x:v>Strength / Might</x:v>
      </x:c>
      <x:c r="C13" s="35" t="str">
        <x:v>Heavy 2H</x:v>
      </x:c>
      <x:c r="D13" s="35" t="n">
        <x:v>2</x:v>
      </x:c>
      <x:c r="E13" s="35" t="str">
        <x:v>Knight / Brute</x:v>
      </x:c>
      <x:c r="F13" s="35" t="str">
        <x:v>Greatwing Slash</x:v>
      </x:c>
      <x:c r="G13" s="35" t="n">
        <x:v>3</x:v>
      </x:c>
      <x:c r="H13" s="35" t="str">
        <x:v>165%</x:v>
      </x:c>
      <x:c r="I13" s="35" t="str">
        <x:v>Sundering Wing</x:v>
      </x:c>
      <x:c r="J13" s="35" t="n">
        <x:v>4</x:v>
      </x:c>
      <x:c r="K13" s="35" t="str">
        <x:v>175%; 2 Fracture on Health</x:v>
      </x:c>
    </x:row>
    <x:row r="14">
      <x:c r="A14" s="35" t="str">
        <x:v>War Scythe</x:v>
      </x:c>
      <x:c r="B14" s="35" t="str">
        <x:v>Strength / Might</x:v>
      </x:c>
      <x:c r="C14" s="35" t="str">
        <x:v>Heavy 2H</x:v>
      </x:c>
      <x:c r="D14" s="35" t="n">
        <x:v>2</x:v>
      </x:c>
      <x:c r="E14" s="35" t="str">
        <x:v>Inquisitor / Brute</x:v>
      </x:c>
      <x:c r="F14" s="35" t="str">
        <x:v>Reaping Arc</x:v>
      </x:c>
      <x:c r="G14" s="35" t="n">
        <x:v>3</x:v>
      </x:c>
      <x:c r="H14" s="35" t="str">
        <x:v>125%; 20% Health-damage lifesteal</x:v>
      </x:c>
      <x:c r="I14" s="35" t="str">
        <x:v>Death’s Harvest</x:v>
      </x:c>
      <x:c r="J14" s="35" t="n">
        <x:v>4</x:v>
      </x:c>
      <x:c r="K14" s="35" t="str">
        <x:v>215%; +25% below 30% Health</x:v>
      </x:c>
    </x:row>
    <x:row r="15">
      <x:c r="A15" s="35" t="str">
        <x:v>Wand</x:v>
      </x:c>
      <x:c r="B15" s="35" t="str">
        <x:v>Magic / Focus</x:v>
      </x:c>
      <x:c r="C15" s="35" t="str">
        <x:v>Standard 1H</x:v>
      </x:c>
      <x:c r="D15" s="35" t="n">
        <x:v>1</x:v>
      </x:c>
      <x:c r="E15" s="35" t="str">
        <x:v>Mage / Siren / Inquisitor</x:v>
      </x:c>
      <x:c r="F15" s="35" t="str">
        <x:v>Arc Bolt</x:v>
      </x:c>
      <x:c r="G15" s="35" t="n">
        <x:v>2</x:v>
      </x:c>
      <x:c r="H15" s="35" t="str">
        <x:v>105%</x:v>
      </x:c>
      <x:c r="I15" s="35" t="str">
        <x:v>Arcane Ward</x:v>
      </x:c>
      <x:c r="J15" s="35" t="n">
        <x:v>4</x:v>
      </x:c>
      <x:c r="K15" s="35" t="str">
        <x:v>Gain Ward; no damage</x:v>
      </x:c>
    </x:row>
    <x:row r="16">
      <x:c r="A16" s="35" t="str">
        <x:v>Hexwood Wand</x:v>
      </x:c>
      <x:c r="B16" s="35" t="str">
        <x:v>Magic / Focus</x:v>
      </x:c>
      <x:c r="C16" s="35" t="str">
        <x:v>Light 1H</x:v>
      </x:c>
      <x:c r="D16" s="35" t="n">
        <x:v>1</x:v>
      </x:c>
      <x:c r="E16" s="35" t="str">
        <x:v>Mage / Siren</x:v>
      </x:c>
      <x:c r="F16" s="35" t="str">
        <x:v>Hex Needle</x:v>
      </x:c>
      <x:c r="G16" s="35" t="n">
        <x:v>2</x:v>
      </x:c>
      <x:c r="H16" s="35" t="str">
        <x:v>80%; 1 source ailment stack</x:v>
      </x:c>
      <x:c r="I16" s="35" t="str">
        <x:v>Withering Hex</x:v>
      </x:c>
      <x:c r="J16" s="35" t="n">
        <x:v>3</x:v>
      </x:c>
      <x:c r="K16" s="35" t="str">
        <x:v>110%; Minor Focus Down for 3 target turns</x:v>
      </x:c>
    </x:row>
    <x:row r="17">
      <x:c r="A17" s="35" t="str">
        <x:v>Focus Orb</x:v>
      </x:c>
      <x:c r="B17" s="35" t="str">
        <x:v>Magic / Focus</x:v>
      </x:c>
      <x:c r="C17" s="35" t="str">
        <x:v>Catalyst 1H</x:v>
      </x:c>
      <x:c r="D17" s="35" t="n">
        <x:v>1</x:v>
      </x:c>
      <x:c r="E17" s="35" t="str">
        <x:v>Mage / Siren / Inquisitor / Bard</x:v>
      </x:c>
      <x:c r="F17" s="35" t="str">
        <x:v>Orb Pulse</x:v>
      </x:c>
      <x:c r="G17" s="35" t="n">
        <x:v>2</x:v>
      </x:c>
      <x:c r="H17" s="35" t="str">
        <x:v>70%; 2 focus stacks on Health</x:v>
      </x:c>
      <x:c r="I17" s="35" t="str">
        <x:v>Orb Ward</x:v>
      </x:c>
      <x:c r="J17" s="35" t="n">
        <x:v>4</x:v>
      </x:c>
      <x:c r="K17" s="35" t="str">
        <x:v>Gain Ward and matching resistance</x:v>
      </x:c>
    </x:row>
    <x:row r="18">
      <x:c r="A18" s="35" t="str">
        <x:v>Bell Sceptre</x:v>
      </x:c>
      <x:c r="B18" s="35" t="str">
        <x:v>Magic / Focus</x:v>
      </x:c>
      <x:c r="C18" s="35" t="str">
        <x:v>Standard 1H</x:v>
      </x:c>
      <x:c r="D18" s="35" t="n">
        <x:v>1</x:v>
      </x:c>
      <x:c r="E18" s="35" t="str">
        <x:v>Mage / Inquisitor / Bard</x:v>
      </x:c>
      <x:c r="F18" s="35" t="str">
        <x:v>Resonant Toll</x:v>
      </x:c>
      <x:c r="G18" s="35" t="n">
        <x:v>2</x:v>
      </x:c>
      <x:c r="H18" s="35" t="str">
        <x:v>100%</x:v>
      </x:c>
      <x:c r="I18" s="35" t="str">
        <x:v>Harmonic Renewal</x:v>
      </x:c>
      <x:c r="J18" s="35" t="n">
        <x:v>3</x:v>
      </x:c>
      <x:c r="K18" s="35" t="str">
        <x:v>Restore both pools; no damage</x:v>
      </x:c>
    </x:row>
    <x:row r="19">
      <x:c r="A19" s="35" t="str">
        <x:v>Staff</x:v>
      </x:c>
      <x:c r="B19" s="35" t="str">
        <x:v>Magic / Focus</x:v>
      </x:c>
      <x:c r="C19" s="35" t="str">
        <x:v>Light 2H</x:v>
      </x:c>
      <x:c r="D19" s="35" t="n">
        <x:v>2</x:v>
      </x:c>
      <x:c r="E19" s="35" t="str">
        <x:v>Mage / Siren / Inquisitor</x:v>
      </x:c>
      <x:c r="F19" s="35" t="str">
        <x:v>Runic Sweep</x:v>
      </x:c>
      <x:c r="G19" s="35" t="n">
        <x:v>3</x:v>
      </x:c>
      <x:c r="H19" s="35" t="str">
        <x:v>155%</x:v>
      </x:c>
      <x:c r="I19" s="35" t="str">
        <x:v>Grand Ward</x:v>
      </x:c>
      <x:c r="J19" s="35" t="n">
        <x:v>4</x:v>
      </x:c>
      <x:c r="K19" s="35" t="str">
        <x:v>Gain strong Ward; no damage</x:v>
      </x:c>
    </x:row>
    <x:row r="20">
      <x:c r="A20" s="35" t="str">
        <x:v>Runic Grimoire</x:v>
      </x:c>
      <x:c r="B20" s="35" t="str">
        <x:v>Magic / Focus</x:v>
      </x:c>
      <x:c r="C20" s="35" t="str">
        <x:v>Light 2H</x:v>
      </x:c>
      <x:c r="D20" s="35" t="n">
        <x:v>2</x:v>
      </x:c>
      <x:c r="E20" s="35" t="str">
        <x:v>Mage / Inquisitor</x:v>
      </x:c>
      <x:c r="F20" s="35" t="str">
        <x:v>Inscribed Burst</x:v>
      </x:c>
      <x:c r="G20" s="35" t="n">
        <x:v>3</x:v>
      </x:c>
      <x:c r="H20" s="35" t="str">
        <x:v>120% + selected rune</x:v>
      </x:c>
      <x:c r="I20" s="35" t="str">
        <x:v>Runic Bastion</x:v>
      </x:c>
      <x:c r="J20" s="35" t="n">
        <x:v>5</x:v>
      </x:c>
      <x:c r="K20" s="35" t="str">
        <x:v>Fortify + Ward; no damage</x:v>
      </x:c>
    </x:row>
    <x:row r="21">
      <x:c r="A21" s="35" t="str">
        <x:v>Bard Song</x:v>
      </x:c>
      <x:c r="B21" s="35" t="str">
        <x:v>Hybrid / DEX+FOC</x:v>
      </x:c>
      <x:c r="C21" s="35" t="str">
        <x:v>Catalyst 1H</x:v>
      </x:c>
      <x:c r="D21" s="35" t="n">
        <x:v>1</x:v>
      </x:c>
      <x:c r="E21" s="35" t="str">
        <x:v>Bard</x:v>
      </x:c>
      <x:c r="F21" s="35" t="str">
        <x:v>Rallying Chorus</x:v>
      </x:c>
      <x:c r="G21" s="35" t="n">
        <x:v>2</x:v>
      </x:c>
      <x:c r="H21" s="35" t="str">
        <x:v>70% + Minor chosen offence Up for 3 owner turns</x:v>
      </x:c>
      <x:c r="I21" s="35" t="str">
        <x:v>Resonant Refrain</x:v>
      </x:c>
      <x:c r="J21" s="35" t="n">
        <x:v>3</x:v>
      </x:c>
      <x:c r="K21" s="35" t="str">
        <x:v>100% + restore Magic Armour</x:v>
      </x:c>
    </x:row>
    <x:row r="22">
      <x:c r="A22" s="36" t="str">
        <x:v>Lament Song</x:v>
      </x:c>
      <x:c r="B22" s="36" t="str">
        <x:v>Magic / Focus</x:v>
      </x:c>
      <x:c r="C22" s="36" t="str">
        <x:v>Catalyst 1H</x:v>
      </x:c>
      <x:c r="D22" s="36" t="n">
        <x:v>1</x:v>
      </x:c>
      <x:c r="E22" s="36" t="str">
        <x:v>Bard / Siren</x:v>
      </x:c>
      <x:c r="F22" s="36" t="str">
        <x:v>Mourning Note</x:v>
      </x:c>
      <x:c r="G22" s="36" t="n">
        <x:v>2</x:v>
      </x:c>
      <x:c r="H22" s="36" t="str">
        <x:v>80% + Minor Resolve Down for 3 target turns</x:v>
      </x:c>
      <x:c r="I22" s="36" t="str">
        <x:v>Dirge of Fracture</x:v>
      </x:c>
      <x:c r="J22" s="36" t="n">
        <x:v>3</x:v>
      </x:c>
      <x:c r="K22" s="36" t="str">
        <x:v>115% + Major Resolve Down for 2 target turns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4" hidden="0" customWidth="1"/>
    <x:col min="4" max="4" width="22" hidden="0" customWidth="1"/>
    <x:col min="5" max="5" width="31" hidden="0" customWidth="1"/>
    <x:col min="6" max="6" width="24" hidden="0" customWidth="1"/>
    <x:col min="7" max="7" width="39" hidden="0" customWidth="1"/>
    <x:col min="8" max="8" width="29" hidden="0" customWidth="1"/>
    <x:col min="9" max="9" width="15" hidden="0" customWidth="1"/>
  </x:cols>
  <x:sheetData>
    <x:row r="1" ht="34" customHeight="1">
      <x:c r="A1" s="3" t="str">
        <x:v>EQUIPMENT REWORK — SIX VISIBLE SLOTS</x:v>
      </x:c>
      <x:c r="B1" s="56"/>
      <x:c r="C1" s="56"/>
      <x:c r="D1" s="56"/>
      <x:c r="E1" s="56"/>
      <x:c r="F1" s="56"/>
      <x:c r="G1" s="56"/>
      <x:c r="H1" s="56"/>
      <x:c r="I1" s="56"/>
    </x:row>
    <x:row r="2" ht="29" customHeight="1">
      <x:c r="A2" s="57" t="str">
        <x:v>Each slot has one job. Weapons create offence; Plumage and off-hands create protection; supporting slots shape identity without flooding the action bar.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5" customHeight="1">
      <x:c r="A4" s="58" t="str">
        <x:v>Slot</x:v>
      </x:c>
      <x:c r="B4" s="59" t="str">
        <x:v>Capacity</x:v>
      </x:c>
      <x:c r="C4" s="59" t="str">
        <x:v>Primary job</x:v>
      </x:c>
      <x:c r="D4" s="59" t="str">
        <x:v>May grant active?</x:v>
      </x:c>
      <x:c r="E4" s="59" t="str">
        <x:v>Stat emphasis</x:v>
      </x:c>
      <x:c r="F4" s="59" t="str">
        <x:v>Protection share</x:v>
      </x:c>
      <x:c r="G4" s="59" t="str">
        <x:v>Prohibited behaviour</x:v>
      </x:c>
      <x:c r="H4" s="59" t="str">
        <x:v>Example choice</x:v>
      </x:c>
      <x:c r="I4" s="60" t="str">
        <x:v>State</x:v>
      </x:c>
    </x:row>
    <x:row r="5">
      <x:c r="A5" s="34" t="str">
        <x:v>Main Hand</x:v>
      </x:c>
      <x:c r="B5" s="34" t="n">
        <x:v>1</x:v>
      </x:c>
      <x:c r="C5" s="34" t="str">
        <x:v>Weapon range + Techniques A/B</x:v>
      </x:c>
      <x:c r="D5" s="34" t="str">
        <x:v>Yes: weapon kit</x:v>
      </x:c>
      <x:c r="E5" s="34" t="str">
        <x:v>Might/DEX/Focus within budget</x:v>
      </x:c>
      <x:c r="F5" s="34" t="str">
        <x:v>None except named weapon</x:v>
      </x:c>
      <x:c r="G5" s="34" t="str">
        <x:v>No global damage multiplier</x:v>
      </x:c>
      <x:c r="H5" s="34" t="str">
        <x:v>Talon Blade</x:v>
      </x:c>
      <x:c r="I5" s="34" t="str">
        <x:v>Reworked</x:v>
      </x:c>
    </x:row>
    <x:row r="6">
      <x:c r="A6" s="35" t="str">
        <x:v>Off Hand</x:v>
      </x:c>
      <x:c r="B6" s="35" t="n">
        <x:v>1</x:v>
      </x:c>
      <x:c r="C6" s="35" t="str">
        <x:v>Second 1H weapon, Shield or Orb</x:v>
      </x:c>
      <x:c r="D6" s="35" t="str">
        <x:v>At most one replacement/defence action</x:v>
      </x:c>
      <x:c r="E6" s="35" t="str">
        <x:v>Defence or hybrid enabler</x:v>
      </x:c>
      <x:c r="F6" s="35" t="str">
        <x:v>Shield/Orb only</x:v>
      </x:c>
      <x:c r="G6" s="35" t="str">
        <x:v>Cannot stack a second full action bar</x:v>
      </x:c>
      <x:c r="H6" s="35" t="str">
        <x:v>Shield / Focus Orb</x:v>
      </x:c>
      <x:c r="I6" s="35" t="str">
        <x:v>Reworked</x:v>
      </x:c>
    </x:row>
    <x:row r="7">
      <x:c r="A7" s="35" t="str">
        <x:v>Plumage</x:v>
      </x:c>
      <x:c r="B7" s="35" t="n">
        <x:v>1</x:v>
      </x:c>
      <x:c r="C7" s="35" t="str">
        <x:v>Primary Armour/Magic Armour source</x:v>
      </x:c>
      <x:c r="D7" s="35" t="str">
        <x:v>Yes: one defence action from Grey</x:v>
      </x:c>
      <x:c r="E7" s="35" t="str">
        <x:v>Guard/Resolve/Vitality</x:v>
      </x:c>
      <x:c r="F7" s="35" t="str">
        <x:v>About 70% of worn pools</x:v>
      </x:c>
      <x:c r="G7" s="35" t="str">
        <x:v>No offensive skill library</x:v>
      </x:c>
      <x:c r="H7" s="35" t="str">
        <x:v>Light/Balanced/Heavy</x:v>
      </x:c>
      <x:c r="I7" s="35" t="str">
        <x:v>Reworked</x:v>
      </x:c>
    </x:row>
    <x:row r="8">
      <x:c r="A8" s="35" t="str">
        <x:v>Headgear</x:v>
      </x:c>
      <x:c r="B8" s="35" t="n">
        <x:v>1</x:v>
      </x:c>
      <x:c r="C8" s="35" t="str">
        <x:v>Precision, Guard/Resolve and resistance</x:v>
      </x:c>
      <x:c r="D8" s="35" t="str">
        <x:v>Passive only</x:v>
      </x:c>
      <x:c r="E8" s="35" t="str">
        <x:v>Precision/defence</x:v>
      </x:c>
      <x:c r="F8" s="35" t="str">
        <x:v>About 20%</x:v>
      </x:c>
      <x:c r="G8" s="35" t="str">
        <x:v>No attack skill</x:v>
      </x:c>
      <x:c r="H8" s="35" t="str">
        <x:v>Keen Sight Hood</x:v>
      </x:c>
      <x:c r="I8" s="35" t="str">
        <x:v>Reworked</x:v>
      </x:c>
    </x:row>
    <x:row r="9">
      <x:c r="A9" s="35" t="str">
        <x:v>Anklets (pair)</x:v>
      </x:c>
      <x:c r="B9" s="35" t="n">
        <x:v>1</x:v>
      </x:c>
      <x:c r="C9" s="35" t="str">
        <x:v>Agility, Dodge and mobility</x:v>
      </x:c>
      <x:c r="D9" s="35" t="str">
        <x:v>Passive only</x:v>
      </x:c>
      <x:c r="E9" s="35" t="str">
        <x:v>Agility</x:v>
      </x:c>
      <x:c r="F9" s="35" t="str">
        <x:v>About 10%</x:v>
      </x:c>
      <x:c r="G9" s="35" t="str">
        <x:v>No two separate stat-stick slots</x:v>
      </x:c>
      <x:c r="H9" s="35" t="str">
        <x:v>Raptor Anklets</x:v>
      </x:c>
      <x:c r="I9" s="35" t="str">
        <x:v>Collapsed</x:v>
      </x:c>
    </x:row>
    <x:row r="10">
      <x:c r="A10" s="36" t="str">
        <x:v>Necklace</x:v>
      </x:c>
      <x:c r="B10" s="36" t="n">
        <x:v>1</x:v>
      </x:c>
      <x:c r="C10" s="36" t="str">
        <x:v>Affinity, ailment and build conversion</x:v>
      </x:c>
      <x:c r="D10" s="36" t="str">
        <x:v>Passive or replaces Bird Utility</x:v>
      </x:c>
      <x:c r="E10" s="36" t="str">
        <x:v>Focus/secondary</x:v>
      </x:c>
      <x:c r="F10" s="36" t="str">
        <x:v>Normally none</x:v>
      </x:c>
      <x:c r="G10" s="36" t="str">
        <x:v>No unconditional core multiplier</x:v>
      </x:c>
      <x:c r="H10" s="36" t="str">
        <x:v>Stormglass Charm</x:v>
      </x:c>
      <x:c r="I10" s="36" t="str">
        <x:v>Reworked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</x:row>
    <x:row r="12" ht="24" customHeight="1">
      <x:c r="A12" s="13" t="str">
        <x:v>WHOLE-LOADOUT BUDGET</x:v>
      </x:c>
      <x:c r="B12" s="14"/>
      <x:c r="C12" s="14"/>
      <x:c r="D12" s="14"/>
      <x:c r="E12" s="14"/>
      <x:c r="F12" s="14"/>
      <x:c r="G12" s="14"/>
      <x:c r="H12" s="14"/>
      <x:c r="I12" s="15"/>
    </x:row>
    <x:row r="13" ht="25" customHeight="1">
      <x:c r="A13" s="58" t="str">
        <x:v>Rarity</x:v>
      </x:c>
      <x:c r="B13" s="59" t="str">
        <x:v>Flat core-stat budget</x:v>
      </x:c>
      <x:c r="C13" s="59" t="str">
        <x:v>Light total protection</x:v>
      </x:c>
      <x:c r="D13" s="59" t="str">
        <x:v>Balanced total protection</x:v>
      </x:c>
      <x:c r="E13" s="59" t="str">
        <x:v>Heavy total protection</x:v>
      </x:c>
      <x:c r="F13" s="59" t="str">
        <x:v>Named properties</x:v>
      </x:c>
      <x:c r="G13" s="59" t="str">
        <x:v>Skill access</x:v>
      </x:c>
      <x:c r="H13" s="59" t="str">
        <x:v>Rule</x:v>
      </x:c>
      <x:c r="I13" s="60" t="str">
        <x:v>State</x:v>
      </x:c>
    </x:row>
    <x:row r="14">
      <x:c r="A14" s="34" t="str">
        <x:v>Grey</x:v>
      </x:c>
      <x:c r="B14" s="34" t="n">
        <x:v>6</x:v>
      </x:c>
      <x:c r="C14" s="34" t="n">
        <x:v>20</x:v>
      </x:c>
      <x:c r="D14" s="34" t="n">
        <x:v>28</x:v>
      </x:c>
      <x:c r="E14" s="34" t="n">
        <x:v>36</x:v>
      </x:c>
      <x:c r="F14" s="34" t="n">
        <x:v>0</x:v>
      </x:c>
      <x:c r="G14" s="34" t="str">
        <x:v>Full base actions</x:v>
      </x:c>
      <x:c r="H14" s="34" t="str">
        <x:v>No essential mechanic locked</x:v>
      </x:c>
      <x:c r="I14" s="34" t="str">
        <x:v>Prototype</x:v>
      </x:c>
    </x:row>
    <x:row r="15">
      <x:c r="A15" s="35" t="str">
        <x:v>Green</x:v>
      </x:c>
      <x:c r="B15" s="35" t="n">
        <x:v>9</x:v>
      </x:c>
      <x:c r="C15" s="35" t="n">
        <x:v>24</x:v>
      </x:c>
      <x:c r="D15" s="35" t="n">
        <x:v>34</x:v>
      </x:c>
      <x:c r="E15" s="35" t="n">
        <x:v>43</x:v>
      </x:c>
      <x:c r="F15" s="35" t="n">
        <x:v>1</x:v>
      </x:c>
      <x:c r="G15" s="35" t="str">
        <x:v>Same actions</x:v>
      </x:c>
      <x:c r="H15" s="35" t="str">
        <x:v>Named property is simple</x:v>
      </x:c>
      <x:c r="I15" s="35" t="str">
        <x:v>Prototype</x:v>
      </x:c>
    </x:row>
    <x:row r="16">
      <x:c r="A16" s="35" t="str">
        <x:v>Blue</x:v>
      </x:c>
      <x:c r="B16" s="35" t="n">
        <x:v>12</x:v>
      </x:c>
      <x:c r="C16" s="35" t="n">
        <x:v>29</x:v>
      </x:c>
      <x:c r="D16" s="35" t="n">
        <x:v>41</x:v>
      </x:c>
      <x:c r="E16" s="35" t="n">
        <x:v>52</x:v>
      </x:c>
      <x:c r="F16" s="35" t="n">
        <x:v>1</x:v>
      </x:c>
      <x:c r="G16" s="35" t="str">
        <x:v>Same actions</x:v>
      </x:c>
      <x:c r="H16" s="35" t="str">
        <x:v>No coefficient multiplier</x:v>
      </x:c>
      <x:c r="I16" s="35" t="str">
        <x:v>Prototype</x:v>
      </x:c>
    </x:row>
    <x:row r="17">
      <x:c r="A17" s="35" t="str">
        <x:v>Purple</x:v>
      </x:c>
      <x:c r="B17" s="35" t="n">
        <x:v>16</x:v>
      </x:c>
      <x:c r="C17" s="35" t="n">
        <x:v>35</x:v>
      </x:c>
      <x:c r="D17" s="35" t="n">
        <x:v>49</x:v>
      </x:c>
      <x:c r="E17" s="35" t="n">
        <x:v>62</x:v>
      </x:c>
      <x:c r="F17" s="35" t="n">
        <x:v>2</x:v>
      </x:c>
      <x:c r="G17" s="35" t="str">
        <x:v>Same actions</x:v>
      </x:c>
      <x:c r="H17" s="35" t="str">
        <x:v>May add base-ailment resistance</x:v>
      </x:c>
      <x:c r="I17" s="35" t="str">
        <x:v>Prototype</x:v>
      </x:c>
    </x:row>
    <x:row r="18">
      <x:c r="A18" s="35" t="str">
        <x:v>Gold</x:v>
      </x:c>
      <x:c r="B18" s="35" t="n">
        <x:v>20</x:v>
      </x:c>
      <x:c r="C18" s="35" t="n">
        <x:v>42</x:v>
      </x:c>
      <x:c r="D18" s="35" t="n">
        <x:v>59</x:v>
      </x:c>
      <x:c r="E18" s="35" t="n">
        <x:v>74</x:v>
      </x:c>
      <x:c r="F18" s="35" t="n">
        <x:v>2</x:v>
      </x:c>
      <x:c r="G18" s="35" t="str">
        <x:v>Same actions</x:v>
      </x:c>
      <x:c r="H18" s="35" t="str">
        <x:v>May add one resolved-state Ward</x:v>
      </x:c>
      <x:c r="I18" s="35" t="str">
        <x:v>Prototype</x:v>
      </x:c>
    </x:row>
    <x:row r="19">
      <x:c r="A19" s="36" t="str">
        <x:v>Orange</x:v>
      </x:c>
      <x:c r="B19" s="36" t="n">
        <x:v>24</x:v>
      </x:c>
      <x:c r="C19" s="36" t="n">
        <x:v>50</x:v>
      </x:c>
      <x:c r="D19" s="36" t="n">
        <x:v>70</x:v>
      </x:c>
      <x:c r="E19" s="36" t="n">
        <x:v>88</x:v>
      </x:c>
      <x:c r="F19" s="36" t="n">
        <x:v>3</x:v>
      </x:c>
      <x:c r="G19" s="36" t="str">
        <x:v>Same actions</x:v>
      </x:c>
      <x:c r="H19" s="36" t="str">
        <x:v>Unique interaction; not raw multiplier stacking</x:v>
      </x:c>
      <x:c r="I19" s="36" t="str">
        <x:v>Prototype</x:v>
      </x:c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</x:row>
    <x:row r="21" ht="24" customHeight="1">
      <x:c r="A21" s="13" t="str">
        <x:v>DEFENCE ACTIONS — AVAILABLE FROM GREY</x:v>
      </x:c>
      <x:c r="B21" s="14"/>
      <x:c r="C21" s="14"/>
      <x:c r="D21" s="14"/>
      <x:c r="E21" s="14"/>
      <x:c r="F21" s="14"/>
      <x:c r="G21" s="14"/>
      <x:c r="H21" s="14"/>
      <x:c r="I21" s="15"/>
    </x:row>
    <x:row r="22" ht="25" customHeight="1">
      <x:c r="A22" s="58" t="str">
        <x:v>Source</x:v>
      </x:c>
      <x:c r="B22" s="59" t="str">
        <x:v>Action</x:v>
      </x:c>
      <x:c r="C22" s="59" t="str">
        <x:v>AP</x:v>
      </x:c>
      <x:c r="D22" s="59" t="str">
        <x:v>Effect budget</x:v>
      </x:c>
      <x:c r="E22" s="59" t="str">
        <x:v>Cooldown</x:v>
      </x:c>
      <x:c r="F22" s="59" t="str">
        <x:v>Why it cannot loop</x:v>
      </x:c>
      <x:c r="G22" s="59" t="str">
        <x:v>Upgrade path</x:v>
      </x:c>
      <x:c r="H22" s="59" t="str">
        <x:v>Telemetry event</x:v>
      </x:c>
      <x:c r="I22" s="60" t="str">
        <x:v>State</x:v>
      </x:c>
    </x:row>
    <x:row r="23">
      <x:c r="A23" s="34" t="str">
        <x:v>Light Plumage</x:v>
      </x:c>
      <x:c r="B23" s="34" t="str">
        <x:v>Featherstep</x:v>
      </x:c>
      <x:c r="C23" s="34" t="n">
        <x:v>2</x:v>
      </x:c>
      <x:c r="D23" s="34" t="str">
        <x:v>Restore small lower pool + Minor Agility Up for 3 owner turns</x:v>
      </x:c>
      <x:c r="E23" s="34" t="n">
        <x:v>0</x:v>
      </x:c>
      <x:c r="F23" s="34" t="str">
        <x:v>Restores less than equal incoming pressure</x:v>
      </x:c>
      <x:c r="G23" s="34" t="str">
        <x:v>Amount scales by rarity</x:v>
      </x:c>
      <x:c r="H23" s="34" t="str">
        <x:v>restore + buff</x:v>
      </x:c>
      <x:c r="I23" s="34" t="str">
        <x:v>Prototype</x:v>
      </x:c>
    </x:row>
    <x:row r="24">
      <x:c r="A24" s="35" t="str">
        <x:v>Balanced Plumage</x:v>
      </x:c>
      <x:c r="B24" s="35" t="str">
        <x:v>Rebalance</x:v>
      </x:c>
      <x:c r="C24" s="35" t="n">
        <x:v>2</x:v>
      </x:c>
      <x:c r="D24" s="35" t="str">
        <x:v>Restore both pools modestly</x:v>
      </x:c>
      <x:c r="E24" s="35" t="n">
        <x:v>0</x:v>
      </x:c>
      <x:c r="F24" s="35" t="str">
        <x:v>Split restoration is inefficient under focus fire</x:v>
      </x:c>
      <x:c r="G24" s="35" t="str">
        <x:v>Amount scales by rarity</x:v>
      </x:c>
      <x:c r="H24" s="35" t="str">
        <x:v>restoreProtection</x:v>
      </x:c>
      <x:c r="I24" s="35" t="str">
        <x:v>Prototype</x:v>
      </x:c>
    </x:row>
    <x:row r="25">
      <x:c r="A25" s="35" t="str">
        <x:v>Heavy Plumage</x:v>
      </x:c>
      <x:c r="B25" s="35" t="str">
        <x:v>Brace</x:v>
      </x:c>
      <x:c r="C25" s="35" t="n">
        <x:v>2</x:v>
      </x:c>
      <x:c r="D25" s="35" t="str">
        <x:v>Restore Armour or Magic Armour by armour type</x:v>
      </x:c>
      <x:c r="E25" s="35" t="n">
        <x:v>0</x:v>
      </x:c>
      <x:c r="F25" s="35" t="str">
        <x:v>Net restoration below 3 AP expected pressure</x:v>
      </x:c>
      <x:c r="G25" s="35" t="str">
        <x:v>Amount scales by rarity</x:v>
      </x:c>
      <x:c r="H25" s="35" t="str">
        <x:v>restoreProtection</x:v>
      </x:c>
      <x:c r="I25" s="35" t="str">
        <x:v>Prototype</x:v>
      </x:c>
    </x:row>
    <x:row r="26">
      <x:c r="A26" s="35" t="str">
        <x:v>Shield</x:v>
      </x:c>
      <x:c r="B26" s="35" t="str">
        <x:v>Fortify</x:v>
      </x:c>
      <x:c r="C26" s="35" t="n">
        <x:v>4</x:v>
      </x:c>
      <x:c r="D26" s="35" t="str">
        <x:v>Add Armour and temporary max for 2 turns</x:v>
      </x:c>
      <x:c r="E26" s="35" t="n">
        <x:v>0</x:v>
      </x:c>
      <x:c r="F26" s="35" t="str">
        <x:v>4 AP cannot repeat after normal 3 AP recovery</x:v>
      </x:c>
      <x:c r="G26" s="35" t="str">
        <x:v>Amount scales by rarity</x:v>
      </x:c>
      <x:c r="H26" s="35" t="str">
        <x:v>fortify</x:v>
      </x:c>
      <x:c r="I26" s="35" t="str">
        <x:v>Prototype</x:v>
      </x:c>
    </x:row>
    <x:row r="27">
      <x:c r="A27" s="36" t="str">
        <x:v>Focus Orb / warding focus</x:v>
      </x:c>
      <x:c r="B27" s="36" t="str">
        <x:v>Ward</x:v>
      </x:c>
      <x:c r="C27" s="36" t="n">
        <x:v>4</x:v>
      </x:c>
      <x:c r="D27" s="36" t="str">
        <x:v>Add Magic Armour and temporary max for 2 turns</x:v>
      </x:c>
      <x:c r="E27" s="36" t="n">
        <x:v>0</x:v>
      </x:c>
      <x:c r="F27" s="36" t="str">
        <x:v>4 AP cannot repeat after normal recovery</x:v>
      </x:c>
      <x:c r="G27" s="36" t="str">
        <x:v>Amount scales by rarity</x:v>
      </x:c>
      <x:c r="H27" s="36" t="str">
        <x:v>ward</x:v>
      </x:c>
      <x:c r="I27" s="36" t="str">
        <x:v>Prototype</x:v>
      </x:c>
    </x:row>
  </x:sheetData>
  <x:mergeCells>
    <x:mergeCell ref="A1:I1"/>
    <x:mergeCell ref="A2:I2"/>
    <x:mergeCell ref="A12:I12"/>
    <x:mergeCell ref="A21:I2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8" hidden="0" customWidth="1"/>
    <x:col min="4" max="4" width="37" hidden="0" customWidth="1"/>
    <x:col min="5" max="5" width="26" hidden="0" customWidth="1"/>
    <x:col min="6" max="6" width="23" hidden="0" customWidth="1"/>
    <x:col min="7" max="7" width="38" hidden="0" customWidth="1"/>
    <x:col min="8" max="8" width="37" hidden="0" customWidth="1"/>
    <x:col min="9" max="9" width="14" hidden="0" customWidth="1"/>
  </x:cols>
  <x:sheetData>
    <x:row r="1" ht="34" customHeight="1">
      <x:c r="A1" s="3" t="str">
        <x:v>DEFENCE, STATUS &amp; ANTI-STALL RULES</x:v>
      </x:c>
      <x:c r="B1" s="56"/>
      <x:c r="C1" s="56"/>
      <x:c r="D1" s="56"/>
      <x:c r="E1" s="56"/>
      <x:c r="F1" s="56"/>
      <x:c r="G1" s="56"/>
      <x:c r="H1" s="56"/>
      <x:c r="I1" s="56"/>
    </x:row>
    <x:row r="2" ht="29" customHeight="1">
      <x:c r="A2" s="57" t="str">
        <x:v>Longer fights must make protection and ailments relevant without allowing permanent defence or hard-control loops.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5" customHeight="1">
      <x:c r="A4" s="58" t="str">
        <x:v>System</x:v>
      </x:c>
      <x:c r="B4" s="59" t="str">
        <x:v>AP</x:v>
      </x:c>
      <x:c r="C4" s="59" t="str">
        <x:v>Rule</x:v>
      </x:c>
      <x:c r="D4" s="59" t="str">
        <x:v>Numerical guardrail</x:v>
      </x:c>
      <x:c r="E4" s="59" t="str">
        <x:v>Gate</x:v>
      </x:c>
      <x:c r="F4" s="59" t="str">
        <x:v>Repeat rule</x:v>
      </x:c>
      <x:c r="G4" s="59" t="str">
        <x:v>Telemetry requirement</x:v>
      </x:c>
      <x:c r="H4" s="59" t="str">
        <x:v>Failure signal</x:v>
      </x:c>
      <x:c r="I4" s="60" t="str">
        <x:v>State</x:v>
      </x:c>
    </x:row>
    <x:row r="5">
      <x:c r="A5" s="34" t="str">
        <x:v>Restoration</x:v>
      </x:c>
      <x:c r="B5" s="34" t="n">
        <x:v>2</x:v>
      </x:c>
      <x:c r="C5" s="34" t="str">
        <x:v>Heal current pool to normal maximum only.</x:v>
      </x:c>
      <x:c r="D5" s="34" t="str">
        <x:v>Restore ≤35% of expected 3 AP incoming pressure</x:v>
      </x:c>
      <x:c r="E5" s="34" t="str">
        <x:v>None</x:v>
      </x:c>
      <x:c r="F5" s="34" t="str">
        <x:v>Repeatable</x:v>
      </x:c>
      <x:c r="G5" s="34" t="str">
        <x:v>Used in 10–35% of eligible defensive turns</x:v>
      </x:c>
      <x:c r="H5" s="34" t="str">
        <x:v>Net protection never declines</x:v>
      </x:c>
      <x:c r="I5" s="34" t="str">
        <x:v>Prototype</x:v>
      </x:c>
    </x:row>
    <x:row r="6">
      <x:c r="A6" s="35" t="str">
        <x:v>Fortify / Ward</x:v>
      </x:c>
      <x:c r="B6" s="35" t="n">
        <x:v>4</x:v>
      </x:c>
      <x:c r="C6" s="35" t="str">
        <x:v>Add full amount to current and temporary maximum for 2 turns.</x:v>
      </x:c>
      <x:c r="D6" s="35" t="str">
        <x:v>Gain ≤75% of one expected enemy turn</x:v>
      </x:c>
      <x:c r="E6" s="35" t="str">
        <x:v>None</x:v>
      </x:c>
      <x:c r="F6" s="35" t="str">
        <x:v>Affordable normally every second turn</x:v>
      </x:c>
      <x:c r="G6" s="35" t="str">
        <x:v>At least one use in ≥20% of eligible long fights</x:v>
      </x:c>
      <x:c r="H6" s="35" t="str">
        <x:v>Counter remains 0</x:v>
      </x:c>
      <x:c r="I6" s="35" t="str">
        <x:v>Prototype</x:v>
      </x:c>
    </x:row>
    <x:row r="7">
      <x:c r="A7" s="35" t="str">
        <x:v>Ailment application</x:v>
      </x:c>
      <x:c r="B7" s="35" t="str">
        <x:v>2–4</x:v>
      </x:c>
      <x:c r="C7" s="35" t="str">
        <x:v>Requires matching pool at zero or hit breaks it and damages Health.</x:v>
      </x:c>
      <x:c r="D7" s="35" t="str">
        <x:v>Max 2 stacks/action; 4/turn</x:v>
      </x:c>
      <x:c r="E7" s="35" t="str">
        <x:v>Armour or Magic Armour</x:v>
      </x:c>
      <x:c r="F7" s="35" t="str">
        <x:v>Repeatable within caps</x:v>
      </x:c>
      <x:c r="G7" s="35" t="str">
        <x:v>ailments.ok &gt;0 in every eligible test pack</x:v>
      </x:c>
      <x:c r="H7" s="35" t="str">
        <x:v>Counter remains 0</x:v>
      </x:c>
      <x:c r="I7" s="35" t="str">
        <x:v>Retained</x:v>
      </x:c>
    </x:row>
    <x:row r="8">
      <x:c r="A8" s="35" t="str">
        <x:v>Hard control</x:v>
      </x:c>
      <x:c r="B8" s="35" t="str">
        <x:v>Resolved state</x:v>
      </x:c>
      <x:c r="C8" s="35" t="str">
        <x:v>Requires 5 stacks; ordinary actions never apply directly.</x:v>
      </x:c>
      <x:c r="D8" s="35" t="str">
        <x:v>First possible Standard resolution round 3+</x:v>
      </x:c>
      <x:c r="E8" s="35" t="str">
        <x:v>Protection + buildup</x:v>
      </x:c>
      <x:c r="F8" s="35" t="str">
        <x:v>Control Resistance after Frozen/Paralysed</x:v>
      </x:c>
      <x:c r="G8" s="35" t="str">
        <x:v>No repeated skipped-turn lock</x:v>
      </x:c>
      <x:c r="H8" s="35" t="str">
        <x:v>Control before round 3</x:v>
      </x:c>
      <x:c r="I8" s="35" t="str">
        <x:v>Retained</x:v>
      </x:c>
    </x:row>
    <x:row r="9">
      <x:c r="A9" s="35" t="str">
        <x:v>Lifesteal</x:v>
      </x:c>
      <x:c r="B9" s="35" t="str">
        <x:v>3–4</x:v>
      </x:c>
      <x:c r="C9" s="35" t="str">
        <x:v>Heal from actual Health damage only.</x:v>
      </x:c>
      <x:c r="D9" s="35" t="str">
        <x:v>Normally ≤20%</x:v>
      </x:c>
      <x:c r="E9" s="35" t="str">
        <x:v>Must damage Health</x:v>
      </x:c>
      <x:c r="F9" s="35" t="str">
        <x:v>Repeatable</x:v>
      </x:c>
      <x:c r="G9" s="35" t="str">
        <x:v>Healing event and source damage both logged</x:v>
      </x:c>
      <x:c r="H9" s="35" t="str">
        <x:v>Healing from protection damage</x:v>
      </x:c>
      <x:c r="I9" s="35" t="str">
        <x:v>Retained</x:v>
      </x:c>
    </x:row>
    <x:row r="10">
      <x:c r="A10" s="36" t="str">
        <x:v>Anti-stall</x:v>
      </x:c>
      <x:c r="B10" s="36" t="str">
        <x:v>—</x:v>
      </x:c>
      <x:c r="C10" s="36" t="str">
        <x:v>If both birds produce zero net Health/protection progress for 3 rounds, flag the build/test.</x:v>
      </x:c>
      <x:c r="D10" s="36" t="str">
        <x:v>Diagnostic first; no hidden enrage</x:v>
      </x:c>
      <x:c r="E10" s="36" t="str">
        <x:v>—</x:v>
      </x:c>
      <x:c r="F10" s="36" t="str">
        <x:v>—</x:v>
      </x:c>
      <x:c r="G10" s="36" t="str">
        <x:v>stallWarning increments</x:v>
      </x:c>
      <x:c r="H10" s="36" t="str">
        <x:v>10+ rounds from restoration loop</x:v>
      </x:c>
      <x:c r="I10" s="36" t="str">
        <x:v>New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</x:row>
    <x:row r="12" ht="24" customHeight="1">
      <x:c r="A12" s="13" t="str">
        <x:v>SINGLE HIT-ROLL TELEMETRY</x:v>
      </x:c>
      <x:c r="B12" s="14"/>
      <x:c r="C12" s="14"/>
      <x:c r="D12" s="14"/>
      <x:c r="E12" s="14"/>
      <x:c r="F12" s="14"/>
      <x:c r="G12" s="14"/>
      <x:c r="H12" s="14"/>
      <x:c r="I12" s="15"/>
    </x:row>
    <x:row r="13" ht="25" customHeight="1">
      <x:c r="A13" s="58" t="str">
        <x:v>Step</x:v>
      </x:c>
      <x:c r="B13" s="59" t="str">
        <x:v>Calculation</x:v>
      </x:c>
      <x:c r="C13" s="59" t="str">
        <x:v>Logged result</x:v>
      </x:c>
      <x:c r="D13" s="59" t="str">
        <x:v>Why</x:v>
      </x:c>
      <x:c r="E13" s="59" t="str"/>
      <x:c r="F13" s="59" t="str"/>
      <x:c r="G13" s="59" t="str"/>
      <x:c r="H13" s="59" t="str"/>
      <x:c r="I13" s="60" t="str"/>
    </x:row>
    <x:row r="14">
      <x:c r="A14" s="34" t="n">
        <x:v>1</x:v>
      </x:c>
      <x:c r="B14" s="34" t="str">
        <x:v>Base success boundary = Final Precision</x:v>
      </x:c>
      <x:c r="C14" s="34" t="str">
        <x:v>Diagnostic only</x:v>
      </x:c>
      <x:c r="D14" s="34" t="str">
        <x:v>Shows weapon/skill accuracy before target avoidance.</x:v>
      </x:c>
      <x:c r="E14" s="34" t="str"/>
      <x:c r="F14" s="34" t="str"/>
      <x:c r="G14" s="34" t="str"/>
      <x:c r="H14" s="34" t="str"/>
      <x:c r="I14" s="34" t="str"/>
    </x:row>
    <x:row r="15">
      <x:c r="A15" s="35" t="n">
        <x:v>2</x:v>
      </x:c>
      <x:c r="B15" s="35" t="str">
        <x:v>Final Hit Chance = clamp(Precision − Dodge, 60, 95)</x:v>
      </x:c>
      <x:c r="C15" s="35" t="str">
        <x:v>Runtime success chance</x:v>
      </x:c>
      <x:c r="D15" s="35" t="str">
        <x:v>Combines accuracy and avoidance once.</x:v>
      </x:c>
      <x:c r="E15" s="35" t="str"/>
      <x:c r="F15" s="35" t="str"/>
      <x:c r="G15" s="35" t="str"/>
      <x:c r="H15" s="35" t="str"/>
      <x:c r="I15" s="35" t="str"/>
    </x:row>
    <x:row r="16">
      <x:c r="A16" s="35" t="n">
        <x:v>3</x:v>
      </x:c>
      <x:c r="B16" s="35" t="str">
        <x:v>Roll ≤ Final Hit Chance</x:v>
      </x:c>
      <x:c r="C16" s="35" t="str">
        <x:v>Hit</x:v>
      </x:c>
      <x:c r="D16" s="35" t="str">
        <x:v>Resolve damage.</x:v>
      </x:c>
      <x:c r="E16" s="35" t="str"/>
      <x:c r="F16" s="35" t="str"/>
      <x:c r="G16" s="35" t="str"/>
      <x:c r="H16" s="35" t="str"/>
      <x:c r="I16" s="35" t="str"/>
    </x:row>
    <x:row r="17">
      <x:c r="A17" s="35" t="n">
        <x:v>4</x:v>
      </x:c>
      <x:c r="B17" s="35" t="str">
        <x:v>Final Hit Chance &lt; roll ≤ Base Precision</x:v>
      </x:c>
      <x:c r="C17" s="35" t="str">
        <x:v>Dodge-converted miss</x:v>
      </x:c>
      <x:c r="D17" s="35" t="str">
        <x:v>Allows Dodge telemetry without a second random roll.</x:v>
      </x:c>
      <x:c r="E17" s="35" t="str"/>
      <x:c r="F17" s="35" t="str"/>
      <x:c r="G17" s="35" t="str"/>
      <x:c r="H17" s="35" t="str"/>
      <x:c r="I17" s="35" t="str"/>
    </x:row>
    <x:row r="18">
      <x:c r="A18" s="36" t="n">
        <x:v>5</x:v>
      </x:c>
      <x:c r="B18" s="36" t="str">
        <x:v>Roll &gt; Base Precision</x:v>
      </x:c>
      <x:c r="C18" s="36" t="str">
        <x:v>Precision miss</x:v>
      </x:c>
      <x:c r="D18" s="36" t="str">
        <x:v>Allows Precision telemetry without double avoidance.</x:v>
      </x:c>
      <x:c r="E18" s="36" t="str"/>
      <x:c r="F18" s="36" t="str"/>
      <x:c r="G18" s="36" t="str"/>
      <x:c r="H18" s="36" t="str"/>
      <x:c r="I18" s="36" t="str"/>
    </x:row>
  </x:sheetData>
  <x:mergeCells>
    <x:mergeCell ref="A1:I1"/>
    <x:mergeCell ref="A2:I2"/>
    <x:mergeCell ref="A12:I1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2" hidden="0" customWidth="1"/>
    <x:col min="5" max="5" width="19" hidden="0" customWidth="1"/>
    <x:col min="6" max="6" width="17" hidden="0" customWidth="1"/>
    <x:col min="7" max="7" width="35" hidden="0" customWidth="1"/>
    <x:col min="8" max="8" width="20" hidden="0" customWidth="1"/>
    <x:col min="9" max="9" width="14" hidden="0" customWidth="1"/>
  </x:cols>
  <x:sheetData>
    <x:row r="1" ht="34" customHeight="1">
      <x:c r="A1" s="3" t="str">
        <x:v>ENEMY CONSTRUCTION &amp; STORY BALANCE</x:v>
      </x:c>
      <x:c r="B1" s="56"/>
      <x:c r="C1" s="56"/>
      <x:c r="D1" s="56"/>
      <x:c r="E1" s="56"/>
      <x:c r="F1" s="56"/>
      <x:c r="G1" s="56"/>
      <x:c r="H1" s="56"/>
      <x:c r="I1" s="56"/>
    </x:row>
    <x:row r="2" ht="29" customHeight="1">
      <x:c r="A2" s="57" t="str">
        <x:v>Standard uses exact player rules. Story difficulty uses visibly weaker gear completeness and less efficient decisions—not secret damage multipliers.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5" customHeight="1">
      <x:c r="A4" s="58" t="str">
        <x:v>Mode</x:v>
      </x:c>
      <x:c r="B4" s="59" t="str">
        <x:v>Species/progression</x:v>
      </x:c>
      <x:c r="C4" s="59" t="str">
        <x:v>Equipment budget</x:v>
      </x:c>
      <x:c r="D4" s="59" t="str">
        <x:v>AI AP efficiency</x:v>
      </x:c>
      <x:c r="E4" s="59" t="str">
        <x:v>Target player win</x:v>
      </x:c>
      <x:c r="F4" s="59" t="str">
        <x:v>Target rounds</x:v>
      </x:c>
      <x:c r="G4" s="59" t="str">
        <x:v>Visible rule</x:v>
      </x:c>
      <x:c r="H4" s="59" t="str">
        <x:v>Hidden multipliers</x:v>
      </x:c>
      <x:c r="I4" s="60" t="str">
        <x:v>State</x:v>
      </x:c>
    </x:row>
    <x:row r="5">
      <x:c r="A5" s="34" t="str">
        <x:v>Story starter</x:v>
      </x:c>
      <x:c r="B5" s="34" t="str">
        <x:v>Same species or suitable lower-threat species</x:v>
      </x:c>
      <x:c r="C5" s="34" t="str">
        <x:v>75–85% complete; worn/basic named kit</x:v>
      </x:c>
      <x:c r="D5" s="34" t="str">
        <x:v>70–80%; may leave 1 AP or miss a setup</x:v>
      </x:c>
      <x:c r="E5" s="34" t="str">
        <x:v>65–80%</x:v>
      </x:c>
      <x:c r="F5" s="34" t="str">
        <x:v>4–7</x:v>
      </x:c>
      <x:c r="G5" s="34" t="str">
        <x:v>“Worn” equipment shown in inspection</x:v>
      </x:c>
      <x:c r="H5" s="34" t="str">
        <x:v>None</x:v>
      </x:c>
      <x:c r="I5" s="34" t="str">
        <x:v>Prototype</x:v>
      </x:c>
    </x:row>
    <x:row r="6">
      <x:c r="A6" s="35" t="str">
        <x:v>Story later</x:v>
      </x:c>
      <x:c r="B6" s="35" t="str">
        <x:v>Up to one milestone below or 85–90% gear budget</x:v>
      </x:c>
      <x:c r="C6" s="35" t="str">
        <x:v>One rarity below when available</x:v>
      </x:c>
      <x:c r="D6" s="35" t="str">
        <x:v>75–85%</x:v>
      </x:c>
      <x:c r="E6" s="35" t="str">
        <x:v>60–75%</x:v>
      </x:c>
      <x:c r="F6" s="35" t="str">
        <x:v>4–7</x:v>
      </x:c>
      <x:c r="G6" s="35" t="str">
        <x:v>Enemy level and equipment visible</x:v>
      </x:c>
      <x:c r="H6" s="35" t="str">
        <x:v>None</x:v>
      </x:c>
      <x:c r="I6" s="35" t="str">
        <x:v>Prototype</x:v>
      </x:c>
    </x:row>
    <x:row r="7">
      <x:c r="A7" s="35" t="str">
        <x:v>Standard</x:v>
      </x:c>
      <x:c r="B7" s="35" t="str">
        <x:v>Exact same milestone</x:v>
      </x:c>
      <x:c r="C7" s="35" t="str">
        <x:v>100% legal same-rarity loadout</x:v>
      </x:c>
      <x:c r="D7" s="35" t="str">
        <x:v>90–100% competent</x:v>
      </x:c>
      <x:c r="E7" s="35" t="str">
        <x:v>45–55% mirror</x:v>
      </x:c>
      <x:c r="F7" s="35" t="str">
        <x:v>5–7</x:v>
      </x:c>
      <x:c r="G7" s="35" t="str">
        <x:v>Full loadout visible</x:v>
      </x:c>
      <x:c r="H7" s="35" t="str">
        <x:v>None</x:v>
      </x:c>
      <x:c r="I7" s="35" t="str">
        <x:v>Locked</x:v>
      </x:c>
    </x:row>
    <x:row r="8">
      <x:c r="A8" s="35" t="str">
        <x:v>Veteran</x:v>
      </x:c>
      <x:c r="B8" s="35" t="str">
        <x:v>Same milestone / synergistic legal kit</x:v>
      </x:c>
      <x:c r="C8" s="35" t="str">
        <x:v>100% synergistic budget</x:v>
      </x:c>
      <x:c r="D8" s="35" t="str">
        <x:v>95–100%</x:v>
      </x:c>
      <x:c r="E8" s="35" t="str">
        <x:v>35–50%</x:v>
      </x:c>
      <x:c r="F8" s="35" t="str">
        <x:v>6–8</x:v>
      </x:c>
      <x:c r="G8" s="35" t="str">
        <x:v>Veteran trait visible</x:v>
      </x:c>
      <x:c r="H8" s="35" t="str">
        <x:v>None</x:v>
      </x:c>
      <x:c r="I8" s="35" t="str">
        <x:v>Prototype</x:v>
      </x:c>
    </x:row>
    <x:row r="9">
      <x:c r="A9" s="35" t="str">
        <x:v>Elite</x:v>
      </x:c>
      <x:c r="B9" s="35" t="str">
        <x:v>Curated same-tier + one budgeted rule</x:v>
      </x:c>
      <x:c r="C9" s="35" t="str">
        <x:v>100% + explicit named permission</x:v>
      </x:c>
      <x:c r="D9" s="35" t="str">
        <x:v>Scripted competence</x:v>
      </x:c>
      <x:c r="E9" s="35" t="str">
        <x:v>Encounter-specific</x:v>
      </x:c>
      <x:c r="F9" s="35" t="str">
        <x:v>7–9</x:v>
      </x:c>
      <x:c r="G9" s="35" t="str">
        <x:v>Elite rule and telegraph visible</x:v>
      </x:c>
      <x:c r="H9" s="35" t="str">
        <x:v>None</x:v>
      </x:c>
      <x:c r="I9" s="35" t="str">
        <x:v>Prototype</x:v>
      </x:c>
    </x:row>
    <x:row r="10">
      <x:c r="A10" s="36" t="str">
        <x:v>Boss</x:v>
      </x:c>
      <x:c r="B10" s="36" t="str">
        <x:v>Explicit phase budget</x:v>
      </x:c>
      <x:c r="C10" s="36" t="str">
        <x:v>Unique authored legal budget</x:v>
      </x:c>
      <x:c r="D10" s="36" t="str">
        <x:v>Phase script</x:v>
      </x:c>
      <x:c r="E10" s="36" t="str">
        <x:v>Encounter-specific</x:v>
      </x:c>
      <x:c r="F10" s="36" t="str">
        <x:v>3–5 per phase</x:v>
      </x:c>
      <x:c r="G10" s="36" t="str">
        <x:v>Phase Health/actions/telegraphs</x:v>
      </x:c>
      <x:c r="H10" s="36" t="str">
        <x:v>No universal</x:v>
      </x:c>
      <x:c r="I10" s="36" t="str">
        <x:v>Prototype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</x:row>
    <x:row r="12" ht="24" customHeight="1">
      <x:c r="A12" s="13" t="str">
        <x:v>STANDARD AI PRIORITY</x:v>
      </x:c>
      <x:c r="B12" s="14"/>
      <x:c r="C12" s="14"/>
      <x:c r="D12" s="14"/>
      <x:c r="E12" s="14"/>
      <x:c r="F12" s="14"/>
      <x:c r="G12" s="14"/>
      <x:c r="H12" s="14"/>
      <x:c r="I12" s="15"/>
    </x:row>
    <x:row r="13" ht="25" customHeight="1">
      <x:c r="A13" s="58" t="str">
        <x:v>Priority</x:v>
      </x:c>
      <x:c r="B13" s="59" t="str">
        <x:v>Question</x:v>
      </x:c>
      <x:c r="C13" s="59" t="str">
        <x:v>Rule</x:v>
      </x:c>
      <x:c r="D13" s="59" t="str">
        <x:v>Required logging</x:v>
      </x:c>
      <x:c r="E13" s="59" t="str"/>
      <x:c r="F13" s="59" t="str"/>
      <x:c r="G13" s="59" t="str"/>
      <x:c r="H13" s="59" t="str"/>
      <x:c r="I13" s="60" t="str"/>
    </x:row>
    <x:row r="14">
      <x:c r="A14" s="34" t="n">
        <x:v>1</x:v>
      </x:c>
      <x:c r="B14" s="34" t="str">
        <x:v>Can a reliable action defeat now?</x:v>
      </x:c>
      <x:c r="C14" s="34" t="str">
        <x:v>Use the highest hit-chance lethal line.</x:v>
      </x:c>
      <x:c r="D14" s="34" t="str">
        <x:v>lethalConsidered / actionChosen</x:v>
      </x:c>
      <x:c r="E14" s="34" t="str"/>
      <x:c r="F14" s="34" t="str"/>
      <x:c r="G14" s="34" t="str"/>
      <x:c r="H14" s="34" t="str"/>
      <x:c r="I14" s="34" t="str"/>
    </x:row>
    <x:row r="15">
      <x:c r="A15" s="35" t="n">
        <x:v>2</x:v>
      </x:c>
      <x:c r="B15" s="35" t="str">
        <x:v>Can protection be broken with a useful follow-up?</x:v>
      </x:c>
      <x:c r="C15" s="35" t="str">
        <x:v>Prefer a break that preserves or spends AP efficiently.</x:v>
      </x:c>
      <x:c r="D15" s="35" t="str">
        <x:v>poolBreakPlan</x:v>
      </x:c>
      <x:c r="E15" s="35" t="str"/>
      <x:c r="F15" s="35" t="str"/>
      <x:c r="G15" s="35" t="str"/>
      <x:c r="H15" s="35" t="str"/>
      <x:c r="I15" s="35" t="str"/>
    </x:row>
    <x:row r="16">
      <x:c r="A16" s="35" t="n">
        <x:v>3</x:v>
      </x:c>
      <x:c r="B16" s="35" t="str">
        <x:v>Would defence prevent a credible defeat?</x:v>
      </x:c>
      <x:c r="C16" s="35" t="str">
        <x:v>Use restoration/Fortify/Ward only if expected survival improves.</x:v>
      </x:c>
      <x:c r="D16" s="35" t="str">
        <x:v>defenceUtility</x:v>
      </x:c>
      <x:c r="E16" s="35" t="str"/>
      <x:c r="F16" s="35" t="str"/>
      <x:c r="G16" s="35" t="str"/>
      <x:c r="H16" s="35" t="str"/>
      <x:c r="I16" s="35" t="str"/>
    </x:row>
    <x:row r="17">
      <x:c r="A17" s="35" t="n">
        <x:v>4</x:v>
      </x:c>
      <x:c r="B17" s="35" t="str">
        <x:v>Can a status resolve before its setup expires?</x:v>
      </x:c>
      <x:c r="C17" s="35" t="str">
        <x:v>Use the setup only when protection and stack timing allow it.</x:v>
      </x:c>
      <x:c r="D17" s="35" t="str">
        <x:v>statusPlan</x:v>
      </x:c>
      <x:c r="E17" s="35" t="str"/>
      <x:c r="F17" s="35" t="str"/>
      <x:c r="G17" s="35" t="str"/>
      <x:c r="H17" s="35" t="str"/>
      <x:c r="I17" s="35" t="str"/>
    </x:row>
    <x:row r="18">
      <x:c r="A18" s="35" t="n">
        <x:v>5</x:v>
      </x:c>
      <x:c r="B18" s="35" t="str">
        <x:v>Otherwise</x:v>
      </x:c>
      <x:c r="C18" s="35" t="str">
        <x:v>Choose among legal actions within 5% expected value.</x:v>
      </x:c>
      <x:c r="D18" s="35" t="str">
        <x:v>expectedValue / randomTieBreak</x:v>
      </x:c>
      <x:c r="E18" s="35" t="str"/>
      <x:c r="F18" s="35" t="str"/>
      <x:c r="G18" s="35" t="str"/>
      <x:c r="H18" s="35" t="str"/>
      <x:c r="I18" s="35" t="str"/>
    </x:row>
    <x:row r="19">
      <x:c r="A19" s="35" t="str">
        <x:v>Boundary</x:v>
      </x:c>
      <x:c r="B19" s="35" t="str">
        <x:v>No future RNG or hidden player information</x:v>
      </x:c>
      <x:c r="C19" s="35" t="str">
        <x:v>AI sees only public combat state and its own authored plan.</x:v>
      </x:c>
      <x:c r="D19" s="35" t="str">
        <x:v>seed</x:v>
      </x:c>
      <x:c r="E19" s="35" t="str"/>
      <x:c r="F19" s="35" t="str"/>
      <x:c r="G19" s="35" t="str"/>
      <x:c r="H19" s="35" t="str"/>
      <x:c r="I19" s="35" t="str"/>
    </x:row>
    <x:row r="20">
      <x:c r="A20" s="36" t="str">
        <x:v>Story variation</x:v>
      </x:c>
      <x:c r="B20" s="36" t="str">
        <x:v>Intentionally lower AP efficiency</x:v>
      </x:c>
      <x:c r="C20" s="36" t="str">
        <x:v>Do not change its underlying damage formula.</x:v>
      </x:c>
      <x:c r="D20" s="36" t="str">
        <x:v>unusedAPReason</x:v>
      </x:c>
      <x:c r="E20" s="36" t="str"/>
      <x:c r="F20" s="36" t="str"/>
      <x:c r="G20" s="36" t="str"/>
      <x:c r="H20" s="36" t="str"/>
      <x:c r="I20" s="36" t="str"/>
    </x:row>
  </x:sheetData>
  <x:mergeCells>
    <x:mergeCell ref="A1:I1"/>
    <x:mergeCell ref="A2:I2"/>
    <x:mergeCell ref="A12:I1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39" hidden="0" customWidth="1"/>
    <x:col min="4" max="4" width="29" hidden="0" customWidth="1"/>
    <x:col min="5" max="5" width="31" hidden="0" customWidth="1"/>
    <x:col min="6" max="6" width="39" hidden="0" customWidth="1"/>
    <x:col min="7" max="7" width="18" hidden="0" customWidth="1"/>
    <x:col min="8" max="8" width="44" hidden="0" customWidth="1"/>
  </x:cols>
  <x:sheetData>
    <x:row r="1" ht="34" customHeight="1">
      <x:c r="A1" s="3" t="str">
        <x:v>V2 EXPECTATION LAB</x:v>
      </x:c>
      <x:c r="B1" s="56"/>
      <x:c r="C1" s="56"/>
      <x:c r="D1" s="56"/>
      <x:c r="E1" s="56"/>
      <x:c r="F1" s="56"/>
      <x:c r="G1" s="56"/>
      <x:c r="H1" s="56"/>
    </x:row>
    <x:row r="2" ht="29" customHeight="1">
      <x:c r="A2" s="57" t="str">
        <x:v>Yellow cells are editable. The model estimates one damage action and a simple duel duration; seeded runtime telemetry remains the final authority.</x:v>
      </x:c>
      <x:c r="B2" s="57"/>
      <x:c r="C2" s="57"/>
      <x:c r="D2" s="57"/>
      <x:c r="E2" s="57"/>
      <x:c r="F2" s="57"/>
      <x:c r="G2" s="57"/>
      <x:c r="H2" s="5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5" customHeight="1">
      <x:c r="A4" s="58" t="str">
        <x:v>ATTACKER</x:v>
      </x:c>
      <x:c r="B4" s="60" t="str">
        <x:v>Value</x:v>
      </x:c>
      <x:c r="C4" s="27"/>
      <x:c r="D4" s="58" t="str">
        <x:v>DEFENDER</x:v>
      </x:c>
      <x:c r="E4" s="60" t="str">
        <x:v>Value</x:v>
      </x:c>
      <x:c r="F4" s="27"/>
      <x:c r="G4" s="27"/>
      <x:c r="H4" s="27"/>
    </x:row>
    <x:row r="5">
      <x:c r="A5" s="34" t="str">
        <x:v>Weapon minimum</x:v>
      </x:c>
      <x:c r="B5" s="47" t="n">
        <x:v>3</x:v>
      </x:c>
      <x:c r="C5" s="27"/>
      <x:c r="D5" s="34" t="str">
        <x:v>Size Base Health</x:v>
      </x:c>
      <x:c r="E5" s="47" t="n">
        <x:v>128</x:v>
      </x:c>
      <x:c r="F5" s="27"/>
      <x:c r="G5" s="27"/>
      <x:c r="H5" s="27"/>
    </x:row>
    <x:row r="6">
      <x:c r="A6" s="35" t="str">
        <x:v>Weapon maximum</x:v>
      </x:c>
      <x:c r="B6" s="48" t="n">
        <x:v>4</x:v>
      </x:c>
      <x:c r="C6" s="27"/>
      <x:c r="D6" s="35" t="str">
        <x:v>Vitality</x:v>
      </x:c>
      <x:c r="E6" s="48" t="n">
        <x:v>3</x:v>
      </x:c>
      <x:c r="F6" s="27"/>
      <x:c r="G6" s="27"/>
      <x:c r="H6" s="27"/>
    </x:row>
    <x:row r="7">
      <x:c r="A7" s="35" t="str">
        <x:v>Scaling stat</x:v>
      </x:c>
      <x:c r="B7" s="48" t="n">
        <x:v>9</x:v>
      </x:c>
      <x:c r="C7" s="27"/>
      <x:c r="D7" s="35" t="str">
        <x:v>Level</x:v>
      </x:c>
      <x:c r="E7" s="48" t="n">
        <x:v>1</x:v>
      </x:c>
      <x:c r="F7" s="27"/>
      <x:c r="G7" s="27"/>
      <x:c r="H7" s="27"/>
    </x:row>
    <x:row r="8">
      <x:c r="A8" s="35" t="str">
        <x:v>AP cost</x:v>
      </x:c>
      <x:c r="B8" s="48" t="n">
        <x:v>3</x:v>
      </x:c>
      <x:c r="C8" s="27"/>
      <x:c r="D8" s="35" t="str">
        <x:v>Matching protection</x:v>
      </x:c>
      <x:c r="E8" s="48" t="n">
        <x:v>20</x:v>
      </x:c>
      <x:c r="F8" s="27"/>
      <x:c r="G8" s="27"/>
      <x:c r="H8" s="27"/>
    </x:row>
    <x:row r="9">
      <x:c r="A9" s="35" t="str">
        <x:v>Action coefficient</x:v>
      </x:c>
      <x:c r="B9" s="48" t="n">
        <x:v>1.55</x:v>
      </x:c>
      <x:c r="C9" s="27"/>
      <x:c r="D9" s="35" t="str">
        <x:v>Defence stat</x:v>
      </x:c>
      <x:c r="E9" s="48" t="n">
        <x:v>4</x:v>
      </x:c>
      <x:c r="F9" s="27"/>
      <x:c r="G9" s="27"/>
      <x:c r="H9" s="27"/>
    </x:row>
    <x:row r="10">
      <x:c r="A10" s="35" t="str">
        <x:v>Final Precision</x:v>
      </x:c>
      <x:c r="B10" s="48" t="n">
        <x:v>89</x:v>
      </x:c>
      <x:c r="C10" s="27"/>
      <x:c r="D10" s="35" t="str">
        <x:v>Agility</x:v>
      </x:c>
      <x:c r="E10" s="48" t="n">
        <x:v>9</x:v>
      </x:c>
      <x:c r="F10" s="27"/>
      <x:c r="G10" s="27"/>
      <x:c r="H10" s="27"/>
    </x:row>
    <x:row r="11">
      <x:c r="A11" s="35" t="str">
        <x:v>Critical Chance</x:v>
      </x:c>
      <x:c r="B11" s="50" t="n">
        <x:v>0.1</x:v>
      </x:c>
      <x:c r="C11" s="27"/>
      <x:c r="D11" s="35" t="str">
        <x:v>Explicit Dodge</x:v>
      </x:c>
      <x:c r="E11" s="50" t="n">
        <x:v>0</x:v>
      </x:c>
      <x:c r="F11" s="27"/>
      <x:c r="G11" s="27"/>
      <x:c r="H11" s="27"/>
    </x:row>
    <x:row r="12">
      <x:c r="A12" s="35" t="str">
        <x:v>Ferocity</x:v>
      </x:c>
      <x:c r="B12" s="48" t="n">
        <x:v>1.55</x:v>
      </x:c>
      <x:c r="C12" s="27"/>
      <x:c r="D12" s="35" t="str">
        <x:v>Target low rounds</x:v>
      </x:c>
      <x:c r="E12" s="48" t="n">
        <x:v>5</x:v>
      </x:c>
      <x:c r="F12" s="27"/>
      <x:c r="G12" s="27"/>
      <x:c r="H12" s="27"/>
    </x:row>
    <x:row r="13">
      <x:c r="A13" s="35" t="str">
        <x:v>Affinity</x:v>
      </x:c>
      <x:c r="B13" s="51" t="n">
        <x:v>1</x:v>
      </x:c>
      <x:c r="C13" s="27"/>
      <x:c r="D13" s="35" t="str">
        <x:v>Target high rounds</x:v>
      </x:c>
      <x:c r="E13" s="48" t="n">
        <x:v>7</x:v>
      </x:c>
      <x:c r="F13" s="27"/>
      <x:c r="G13" s="27"/>
      <x:c r="H13" s="27"/>
    </x:row>
    <x:row r="14">
      <x:c r="A14" s="35" t="str">
        <x:v>Flat penetration</x:v>
      </x:c>
      <x:c r="B14" s="51" t="n">
        <x:v>0</x:v>
      </x:c>
      <x:c r="C14" s="27"/>
      <x:c r="D14" s="35" t="str">
        <x:v>Old weapon damage</x:v>
      </x:c>
      <x:c r="E14" s="48" t="n">
        <x:v>3</x:v>
      </x:c>
      <x:c r="F14" s="27"/>
      <x:c r="G14" s="27"/>
      <x:c r="H14" s="27"/>
    </x:row>
    <x:row r="15">
      <x:c r="A15" s="35" t="str">
        <x:v>Percent penetration</x:v>
      </x:c>
      <x:c r="B15" s="50" t="n">
        <x:v>0</x:v>
      </x:c>
      <x:c r="C15" s="27"/>
      <x:c r="D15" s="35" t="str">
        <x:v>Old stat</x:v>
      </x:c>
      <x:c r="E15" s="48" t="n">
        <x:v>8</x:v>
      </x:c>
      <x:c r="F15" s="27"/>
      <x:c r="G15" s="27"/>
      <x:c r="H15" s="27"/>
    </x:row>
    <x:row r="16">
      <x:c r="A16" s="35" t="str">
        <x:v>Actions per round</x:v>
      </x:c>
      <x:c r="B16" s="48" t="n">
        <x:v>1</x:v>
      </x:c>
      <x:c r="C16" s="27"/>
      <x:c r="D16" s="35" t="str">
        <x:v>Old stat after level</x:v>
      </x:c>
      <x:c r="E16" s="48" t="n">
        <x:v>9</x:v>
      </x:c>
      <x:c r="F16" s="27"/>
      <x:c r="G16" s="27"/>
      <x:c r="H16" s="27"/>
    </x:row>
    <x:row r="17">
      <x:c r="A17" s="36" t="str">
        <x:v>Sustain per round</x:v>
      </x:c>
      <x:c r="B17" s="49" t="n">
        <x:v>0</x:v>
      </x:c>
      <x:c r="C17" s="27"/>
      <x:c r="D17" s="36" t="str">
        <x:v>Old coefficient %</x:v>
      </x:c>
      <x:c r="E17" s="49" t="n">
        <x:v>100</x:v>
      </x:c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 ht="24" customHeight="1">
      <x:c r="A19" s="13" t="str">
        <x:v>V2 OUTPUTS</x:v>
      </x:c>
      <x:c r="B19" s="14"/>
      <x:c r="C19" s="14"/>
      <x:c r="D19" s="14"/>
      <x:c r="E19" s="14"/>
      <x:c r="F19" s="14"/>
      <x:c r="G19" s="14"/>
      <x:c r="H19" s="15"/>
    </x:row>
    <x:row r="20" ht="24" customHeight="1">
      <x:c r="A20" s="58" t="str">
        <x:v>Metric</x:v>
      </x:c>
      <x:c r="B20" s="59" t="str">
        <x:v>Result</x:v>
      </x:c>
      <x:c r="C20" s="60" t="str">
        <x:v>Meaning</x:v>
      </x:c>
      <x:c r="D20" s="27"/>
      <x:c r="E20" s="13" t="str">
        <x:v>LEVEL-UP VISIBILITY CHECK</x:v>
      </x:c>
      <x:c r="F20" s="14"/>
      <x:c r="G20" s="14"/>
      <x:c r="H20" s="15"/>
    </x:row>
    <x:row r="21" ht="25" customHeight="1">
      <x:c r="A21" s="34" t="str">
        <x:v>Average weapon roll</x:v>
      </x:c>
      <x:c r="B21" s="52" t="n">
        <x:f>AVERAGE(B5:B6)</x:f>
        <x:v>3.5</x:v>
      </x:c>
      <x:c r="C21" s="34" t="str">
        <x:v>Mean weapon value</x:v>
      </x:c>
      <x:c r="D21" s="27"/>
      <x:c r="E21" s="58" t="str">
        <x:v>Metric</x:v>
      </x:c>
      <x:c r="F21" s="59" t="str">
        <x:v>Formula</x:v>
      </x:c>
      <x:c r="G21" s="59" t="str">
        <x:v>Result</x:v>
      </x:c>
      <x:c r="H21" s="60" t="str">
        <x:v>Reading</x:v>
      </x:c>
    </x:row>
    <x:row r="22">
      <x:c r="A22" s="35" t="str">
        <x:v>Attack Power</x:v>
      </x:c>
      <x:c r="B22" s="53" t="n">
        <x:f>B21+2*B7</x:f>
        <x:v>21.5</x:v>
      </x:c>
      <x:c r="C22" s="35" t="str">
        <x:v>Weapon + 2×stat</x:v>
      </x:c>
      <x:c r="D22" s="27"/>
      <x:c r="E22" s="34" t="str">
        <x:v>Old damage before</x:v>
      </x:c>
      <x:c r="F22" s="34" t="str">
        <x:v>Weapon × (1 + stat×2.5%)</x:v>
      </x:c>
      <x:c r="G22" s="52" t="n">
        <x:f>E14*(1+E15*2.5%)</x:f>
        <x:v>3.5999999999999996</x:v>
      </x:c>
      <x:c r="H22" s="34" t="str"/>
    </x:row>
    <x:row r="23">
      <x:c r="A23" s="35" t="str">
        <x:v>Raw action damage</x:v>
      </x:c>
      <x:c r="B23" s="53" t="n">
        <x:f>B22*B9</x:f>
        <x:v>33.325</x:v>
      </x:c>
      <x:c r="C23" s="35" t="str">
        <x:v>Attack Power × action coefficient</x:v>
      </x:c>
      <x:c r="D23" s="27"/>
      <x:c r="E23" s="35" t="str">
        <x:v>Old damage after +1 stat</x:v>
      </x:c>
      <x:c r="F23" s="35" t="str">
        <x:v>Weapon × (1 + new stat×2.5%)</x:v>
      </x:c>
      <x:c r="G23" s="53" t="n">
        <x:f>E14*(1+E16*2.5%)</x:f>
        <x:v>3.6750000000000003</x:v>
      </x:c>
      <x:c r="H23" s="35" t="str"/>
    </x:row>
    <x:row r="24">
      <x:c r="A24" s="35" t="str">
        <x:v>Final Dodge</x:v>
      </x:c>
      <x:c r="B24" s="54" t="n">
        <x:f>MIN(50%,E10*0.5%+E11)</x:f>
        <x:v>0.045</x:v>
      </x:c>
      <x:c r="C24" s="35" t="str">
        <x:v>Agility×0.5% + explicit</x:v>
      </x:c>
      <x:c r="D24" s="27"/>
      <x:c r="E24" s="35" t="str">
        <x:v>Old gain</x:v>
      </x:c>
      <x:c r="F24" s="35" t="str">
        <x:v>After − before</x:v>
      </x:c>
      <x:c r="G24" s="53" t="n">
        <x:f>G23-G22</x:f>
        <x:v>0.07500000000000062</x:v>
      </x:c>
      <x:c r="H24" s="35" t="str">
        <x:v>Often disappears when shown as whole damage</x:v>
      </x:c>
    </x:row>
    <x:row r="25">
      <x:c r="A25" s="35" t="str">
        <x:v>Final Hit Chance</x:v>
      </x:c>
      <x:c r="B25" s="54" t="n">
        <x:f>MAX(60%,MIN(95%,B10/100-B24))</x:f>
        <x:v>0.845</x:v>
      </x:c>
      <x:c r="C25" s="35" t="str">
        <x:v>Precision − Dodge, clamped 60–95%</x:v>
      </x:c>
      <x:c r="D25" s="27"/>
      <x:c r="E25" s="35" t="str">
        <x:v>New 2 AP damage before</x:v>
      </x:c>
      <x:c r="F25" s="35" t="str">
        <x:v>(Weapon + 2×stat) × 100%</x:v>
      </x:c>
      <x:c r="G25" s="53" t="n">
        <x:f>E14+2*E15</x:f>
        <x:v>19</x:v>
      </x:c>
      <x:c r="H25" s="35" t="str"/>
    </x:row>
    <x:row r="26">
      <x:c r="A26" s="35" t="str">
        <x:v>Effective defence</x:v>
      </x:c>
      <x:c r="B26" s="53" t="n">
        <x:f>MAX(0,(E9-B14)*(1-B15))</x:f>
        <x:v>4</x:v>
      </x:c>
      <x:c r="C26" s="35" t="str">
        <x:v>Flat pen then percent pen</x:v>
      </x:c>
      <x:c r="D26" s="27"/>
      <x:c r="E26" s="35" t="str">
        <x:v>New 2 AP damage after</x:v>
      </x:c>
      <x:c r="F26" s="35" t="str">
        <x:v>(Weapon + 2×new stat) × 100%</x:v>
      </x:c>
      <x:c r="G26" s="53" t="n">
        <x:f>E14+2*E16</x:f>
        <x:v>21</x:v>
      </x:c>
      <x:c r="H26" s="35" t="str"/>
    </x:row>
    <x:row r="27">
      <x:c r="A27" s="35" t="str">
        <x:v>Mitigation</x:v>
      </x:c>
      <x:c r="B27" s="54" t="n">
        <x:f>MIN(75%,(B26*2.5)/(100+B26*2.5))</x:f>
        <x:v>0.09090909090909091</x:v>
      </x:c>
      <x:c r="C27" s="35" t="str">
        <x:v>Diminishing, capped 75%</x:v>
      </x:c>
      <x:c r="D27" s="27"/>
      <x:c r="E27" s="35" t="str">
        <x:v>New gain</x:v>
      </x:c>
      <x:c r="F27" s="35" t="str">
        <x:v>After − before</x:v>
      </x:c>
      <x:c r="G27" s="53" t="n">
        <x:f>G26-G25</x:f>
        <x:v>2</x:v>
      </x:c>
      <x:c r="H27" s="35" t="str">
        <x:v>Guaranteed +2 raw before defence</x:v>
      </x:c>
    </x:row>
    <x:row r="28">
      <x:c r="A28" s="35" t="str">
        <x:v>Expected landed damage</x:v>
      </x:c>
      <x:c r="B28" s="53" t="n">
        <x:f>B23*B13*(1-B27)*(1+B11*(B12-1))</x:f>
        <x:v>31.961704545454545</x:v>
      </x:c>
      <x:c r="C28" s="35" t="str">
        <x:v>Includes average Critical multiplier</x:v>
      </x:c>
      <x:c r="D28" s="27"/>
      <x:c r="E28" s="36" t="str">
        <x:v>Improvement ratio</x:v>
      </x:c>
      <x:c r="F28" s="36" t="str">
        <x:v>New gain ÷ old gain</x:v>
      </x:c>
      <x:c r="G28" s="55" t="n">
        <x:f>G27/G24</x:f>
        <x:v>26.666666666666444</x:v>
      </x:c>
      <x:c r="H28" s="36" t="str">
        <x:v>Shows how much more visible progression becomes</x:v>
      </x:c>
    </x:row>
    <x:row r="29">
      <x:c r="A29" s="35" t="str">
        <x:v>Expected damage/action</x:v>
      </x:c>
      <x:c r="B29" s="53" t="n">
        <x:f>B28*B25</x:f>
        <x:v>27.007640340909088</x:v>
      </x:c>
      <x:c r="C29" s="35" t="str">
        <x:v>Includes hit chance</x:v>
      </x:c>
      <x:c r="D29" s="27"/>
      <x:c r="E29" s="27"/>
      <x:c r="F29" s="27"/>
      <x:c r="G29" s="27"/>
      <x:c r="H29" s="27"/>
    </x:row>
    <x:row r="30">
      <x:c r="A30" s="35" t="str">
        <x:v>Maximum Health</x:v>
      </x:c>
      <x:c r="B30" s="53" t="n">
        <x:f>E5+5*E6+5*(E7-1)</x:f>
        <x:v>143</x:v>
      </x:c>
      <x:c r="C30" s="35" t="str">
        <x:v>Size + 5×VIT + 5×(Level−1)</x:v>
      </x:c>
      <x:c r="D30" s="27"/>
      <x:c r="E30" s="27"/>
      <x:c r="F30" s="27"/>
      <x:c r="G30" s="27"/>
      <x:c r="H30" s="27"/>
    </x:row>
    <x:row r="31">
      <x:c r="A31" s="35" t="str">
        <x:v>Effective durability</x:v>
      </x:c>
      <x:c r="B31" s="53" t="n">
        <x:f>B30+E8</x:f>
        <x:v>163</x:v>
      </x:c>
      <x:c r="C31" s="35" t="str">
        <x:v>Health + matching pool</x:v>
      </x:c>
      <x:c r="D31" s="27"/>
      <x:c r="E31" s="27"/>
      <x:c r="F31" s="27"/>
      <x:c r="G31" s="27"/>
      <x:c r="H31" s="27"/>
    </x:row>
    <x:row r="32">
      <x:c r="A32" s="35" t="str">
        <x:v>Net pressure/round</x:v>
      </x:c>
      <x:c r="B32" s="53" t="n">
        <x:f>MAX(0.01,B29*B16-B17)</x:f>
        <x:v>27.007640340909088</x:v>
      </x:c>
      <x:c r="C32" s="35" t="str">
        <x:v>Expected action damage minus sustain</x:v>
      </x:c>
      <x:c r="D32" s="27"/>
      <x:c r="E32" s="27"/>
      <x:c r="F32" s="27"/>
      <x:c r="G32" s="27"/>
      <x:c r="H32" s="27"/>
    </x:row>
    <x:row r="33">
      <x:c r="A33" s="35" t="str">
        <x:v>Estimated rounds</x:v>
      </x:c>
      <x:c r="B33" s="53" t="n">
        <x:f>B31/B32</x:f>
        <x:v>6.035329186204401</x:v>
      </x:c>
      <x:c r="C33" s="35" t="str">
        <x:v>Durability ÷ net pressure</x:v>
      </x:c>
      <x:c r="D33" s="27"/>
      <x:c r="E33" s="27"/>
      <x:c r="F33" s="27"/>
      <x:c r="G33" s="27"/>
      <x:c r="H33" s="27"/>
    </x:row>
    <x:row r="34">
      <x:c r="A34" s="36" t="str">
        <x:v>Target result</x:v>
      </x:c>
      <x:c r="B34" s="55" t="str">
        <x:f>IF(AND(B33&gt;=E12,B33&lt;=E13),"PASS",IF(B33&lt;E12,"TOO FAST","TOO SLOW"))</x:f>
        <x:v>PASS</x:v>
      </x:c>
      <x:c r="C34" s="36" t="str">
        <x:v>PASS at 5–7 rounds</x:v>
      </x:c>
      <x:c r="D34" s="27"/>
      <x:c r="E34" s="27"/>
      <x:c r="F34" s="27"/>
      <x:c r="G34" s="27"/>
      <x:c r="H34" s="27"/>
    </x:row>
  </x:sheetData>
  <x:mergeCells>
    <x:mergeCell ref="A1:H1"/>
    <x:mergeCell ref="A2:H2"/>
    <x:mergeCell ref="A19:H19"/>
    <x:mergeCell ref="E20:H20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42" hidden="0" customWidth="1"/>
    <x:col min="4" max="4" width="43" hidden="0" customWidth="1"/>
    <x:col min="5" max="5" width="15" hidden="0" customWidth="1"/>
    <x:col min="6" max="6" width="17" hidden="0" customWidth="1"/>
    <x:col min="7" max="7" width="14" hidden="0" customWidth="1"/>
    <x:col min="8" max="8" width="40" hidden="0" customWidth="1"/>
  </x:cols>
  <x:sheetData>
    <x:row r="1" ht="34" customHeight="1">
      <x:c r="A1" s="3" t="str">
        <x:v>IMPLEMENTATION &amp; TELEMETRY GATES</x:v>
      </x:c>
      <x:c r="B1" s="56"/>
      <x:c r="C1" s="56"/>
      <x:c r="D1" s="56"/>
      <x:c r="E1" s="56"/>
      <x:c r="F1" s="56"/>
      <x:c r="G1" s="56"/>
      <x:c r="H1" s="56"/>
    </x:row>
    <x:row r="2" ht="29" customHeight="1">
      <x:c r="A2" s="57" t="str">
        <x:v>Do not tune individual weapons against a runtime that is still using the old formula or failing to execute structured defence/status effects.</x:v>
      </x:c>
      <x:c r="B2" s="57"/>
      <x:c r="C2" s="57"/>
      <x:c r="D2" s="57"/>
      <x:c r="E2" s="57"/>
      <x:c r="F2" s="57"/>
      <x:c r="G2" s="57"/>
      <x:c r="H2" s="5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5" customHeight="1">
      <x:c r="A4" s="58" t="str">
        <x:v>Phase</x:v>
      </x:c>
      <x:c r="B4" s="59" t="str">
        <x:v>Work</x:v>
      </x:c>
      <x:c r="C4" s="59" t="str">
        <x:v>Required test</x:v>
      </x:c>
      <x:c r="D4" s="59" t="str">
        <x:v>Pass gate</x:v>
      </x:c>
      <x:c r="E4" s="59" t="str">
        <x:v>Do not proceed if</x:v>
      </x:c>
      <x:c r="F4" s="59" t="str">
        <x:v>Owner</x:v>
      </x:c>
      <x:c r="G4" s="59" t="str">
        <x:v>State</x:v>
      </x:c>
      <x:c r="H4" s="60" t="str">
        <x:v>Notes</x:v>
      </x:c>
    </x:row>
    <x:row r="5">
      <x:c r="A5" s="34" t="n">
        <x:v>1</x:v>
      </x:c>
      <x:c r="B5" s="34" t="str">
        <x:v>Replace Attack Power, Max Health, single hit roll and rounding.</x:v>
      </x:c>
      <x:c r="C5" s="34" t="str">
        <x:v>Unit tests with +1 stat and Tiny/Giant examples.</x:v>
      </x:c>
      <x:c r="D5" s="34" t="str">
        <x:v>Exact expected whole damage/Health</x:v>
      </x:c>
      <x:c r="E5" s="34" t="str">
        <x:v>Any old 2.5% damage path remains</x:v>
      </x:c>
      <x:c r="F5" s="34" t="str">
        <x:v>Runtime</x:v>
      </x:c>
      <x:c r="G5" s="34" t="str">
        <x:v>Required</x:v>
      </x:c>
      <x:c r="H5" s="34" t="str">
        <x:v>Foundation</x:v>
      </x:c>
    </x:row>
    <x:row r="6">
      <x:c r="A6" s="35" t="n">
        <x:v>2</x:v>
      </x:c>
      <x:c r="B6" s="35" t="str">
        <x:v>Remove ordinary cooldowns, normalize AP, and migrate stat tiers/durations.</x:v>
      </x:c>
      <x:c r="C6" s="35" t="str">
        <x:v>AP cadence plus 3-turn setup-flow tests.</x:v>
      </x:c>
      <x:c r="D6" s="35" t="str">
        <x:v>No AP below 0; Ultimate requires meter; paid setup enables at least two payoffs</x:v>
      </x:c>
      <x:c r="E6" s="35" t="str">
        <x:v>Cooldown blocks ordinary skill or paid Minor/Major utility lasts one turn</x:v>
      </x:c>
      <x:c r="F6" s="35" t="str">
        <x:v>Runtime/data</x:v>
      </x:c>
      <x:c r="G6" s="35" t="str">
        <x:v>Required</x:v>
      </x:c>
      <x:c r="H6" s="35" t="str">
        <x:v>Keep per-turn/per-battle flags</x:v>
      </x:c>
    </x:row>
    <x:row r="7">
      <x:c r="A7" s="35" t="n">
        <x:v>3</x:v>
      </x:c>
      <x:c r="B7" s="35" t="str">
        <x:v>Migrate Barn Owl to Rogue.</x:v>
      </x:c>
      <x:c r="C7" s="35" t="str">
        <x:v>Class, stats, Precision, gear access, perk and save migration.</x:v>
      </x:c>
      <x:c r="D7" s="35" t="str">
        <x:v>All six data surfaces agree</x:v>
      </x:c>
      <x:c r="E7" s="35" t="str">
        <x:v>Any Mage-only action remains equipped</x:v>
      </x:c>
      <x:c r="F7" s="35" t="str">
        <x:v>Data/runtime</x:v>
      </x:c>
      <x:c r="G7" s="35" t="str">
        <x:v>Required</x:v>
      </x:c>
      <x:c r="H7" s="35" t="str">
        <x:v>Snowy Owl remains Mage</x:v>
      </x:c>
    </x:row>
    <x:row r="8">
      <x:c r="A8" s="35" t="n">
        <x:v>4</x:v>
      </x:c>
      <x:c r="B8" s="35" t="str">
        <x:v>Publish all weapon families at all rarities.</x:v>
      </x:c>
      <x:c r="C8" s="35" t="str">
        <x:v>18 families × 6 rarities = 108 base rows.</x:v>
      </x:c>
      <x:c r="D8" s="35" t="str">
        <x:v>Every row has Basic + A + B</x:v>
      </x:c>
      <x:c r="E8" s="35" t="str">
        <x:v>Any starter has Basic only</x:v>
      </x:c>
      <x:c r="F8" s="35" t="str">
        <x:v>Content</x:v>
      </x:c>
      <x:c r="G8" s="35" t="str">
        <x:v>Required</x:v>
      </x:c>
      <x:c r="H8" s="35" t="str">
        <x:v>Named variants follow</x:v>
      </x:c>
    </x:row>
    <x:row r="9">
      <x:c r="A9" s="35" t="n">
        <x:v>5</x:v>
      </x:c>
      <x:c r="B9" s="35" t="str">
        <x:v>Replace equipment slots and defence actions.</x:v>
      </x:c>
      <x:c r="C9" s="35" t="str">
        <x:v>Starter tests deliberately choose restoration/Fortify/Ward.</x:v>
      </x:c>
      <x:c r="D9" s="35" t="str">
        <x:v>Counters &gt;0 and action chosen rationally</x:v>
      </x:c>
      <x:c r="E9" s="35" t="str">
        <x:v>Counter stays 0</x:v>
      </x:c>
      <x:c r="F9" s="35" t="str">
        <x:v>Content/AI</x:v>
      </x:c>
      <x:c r="G9" s="35" t="str">
        <x:v>Required</x:v>
      </x:c>
      <x:c r="H9" s="35" t="str">
        <x:v>Verify structured handlers</x:v>
      </x:c>
    </x:row>
    <x:row r="10">
      <x:c r="A10" s="35" t="n">
        <x:v>6</x:v>
      </x:c>
      <x:c r="B10" s="35" t="str">
        <x:v>Run Story telemetry.</x:v>
      </x:c>
      <x:c r="C10" s="35" t="str">
        <x:v>Same 105 matchups × at least 200 runs.</x:v>
      </x:c>
      <x:c r="D10" s="35" t="str">
        <x:v>Player win 65–80%; typical 4–7 rounds</x:v>
      </x:c>
      <x:c r="E10" s="35" t="str">
        <x:v>Any class below 50% or above 90%</x:v>
      </x:c>
      <x:c r="F10" s="35" t="str">
        <x:v>Balance</x:v>
      </x:c>
      <x:c r="G10" s="35" t="str">
        <x:v>Pending</x:v>
      </x:c>
      <x:c r="H10" s="35" t="str">
        <x:v>Use fixed seeds plus random seeds</x:v>
      </x:c>
    </x:row>
    <x:row r="11">
      <x:c r="A11" s="35" t="n">
        <x:v>7</x:v>
      </x:c>
      <x:c r="B11" s="35" t="str">
        <x:v>Run Standard telemetry.</x:v>
      </x:c>
      <x:c r="C11" s="35" t="str">
        <x:v>Mirrors, cross-class, affinity and size extremes.</x:v>
      </x:c>
      <x:c r="D11" s="35" t="str">
        <x:v>Mirrors 45–55%; normal 5–7 rounds</x:v>
      </x:c>
      <x:c r="E11" s="35" t="str">
        <x:v>Small/large matchup below 35/above 65 without hard-counter reason</x:v>
      </x:c>
      <x:c r="F11" s="35" t="str">
        <x:v>Balance</x:v>
      </x:c>
      <x:c r="G11" s="35" t="str">
        <x:v>Pending</x:v>
      </x:c>
      <x:c r="H11" s="35" t="str">
        <x:v>Track first actor</x:v>
      </x:c>
    </x:row>
    <x:row r="12">
      <x:c r="A12" s="35" t="n">
        <x:v>8</x:v>
      </x:c>
      <x:c r="B12" s="35" t="str">
        <x:v>Tune buffs, ailments and sustain.</x:v>
      </x:c>
      <x:c r="C12" s="35" t="str">
        <x:v>Eligible build packs with setup/payoff tracking.</x:v>
      </x:c>
      <x:c r="D12" s="35" t="str">
        <x:v>Buff recast interval ≥3 turns; ailments/Fortify/Ward &gt;0; no control before R3</x:v>
      </x:c>
      <x:c r="E12" s="35" t="str">
        <x:v>Maintenance utility dominates every turn or creates infinite loop</x:v>
      </x:c>
      <x:c r="F12" s="35" t="str">
        <x:v>Balance</x:v>
      </x:c>
      <x:c r="G12" s="35" t="str">
        <x:v>Pending</x:v>
      </x:c>
      <x:c r="H12" s="35" t="str">
        <x:v>Tune magnitude before extending further</x:v>
      </x:c>
    </x:row>
    <x:row r="13">
      <x:c r="A13" s="36" t="n">
        <x:v>9</x:v>
      </x:c>
      <x:c r="B13" s="36" t="str">
        <x:v>Integrate master.</x:v>
      </x:c>
      <x:c r="C13" s="36" t="str">
        <x:v>Search formula/prose conflicts and structured validation.</x:v>
      </x:c>
      <x:c r="D13" s="36" t="str">
        <x:v>One authoritative rule per mechanic</x:v>
      </x:c>
      <x:c r="E13" s="36" t="str">
        <x:v>Legacy rule still imports</x:v>
      </x:c>
      <x:c r="F13" s="36" t="str">
        <x:v>Data</x:v>
      </x:c>
      <x:c r="G13" s="36" t="str">
        <x:v>Pending</x:v>
      </x:c>
      <x:c r="H13" s="36" t="str">
        <x:v>Preserve macro-enabled original</x:v>
      </x:c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 ht="24" customHeight="1">
      <x:c r="A15" s="13" t="str">
        <x:v>NEXT TELEMETRY FIELDS</x:v>
      </x:c>
      <x:c r="B15" s="14"/>
      <x:c r="C15" s="14"/>
      <x:c r="D15" s="14"/>
      <x:c r="E15" s="14"/>
      <x:c r="F15" s="14"/>
      <x:c r="G15" s="14"/>
      <x:c r="H15" s="15"/>
    </x:row>
    <x:row r="16" ht="25" customHeight="1">
      <x:c r="A16" s="58" t="str">
        <x:v>Field</x:v>
      </x:c>
      <x:c r="B16" s="59" t="str">
        <x:v>Why</x:v>
      </x:c>
      <x:c r="C16" s="59" t="str">
        <x:v>Required grouping</x:v>
      </x:c>
      <x:c r="D16" s="59" t="str">
        <x:v>Warning threshold</x:v>
      </x:c>
      <x:c r="E16" s="59" t="str"/>
      <x:c r="F16" s="59" t="str"/>
      <x:c r="G16" s="59" t="str"/>
      <x:c r="H16" s="60" t="str"/>
    </x:row>
    <x:row r="17">
      <x:c r="A17" s="34" t="str">
        <x:v>playerWin</x:v>
      </x:c>
      <x:c r="B17" s="34" t="str">
        <x:v>Difficulty outcome</x:v>
      </x:c>
      <x:c r="C17" s="34" t="str">
        <x:v>class/tier/loadout/size</x:v>
      </x:c>
      <x:c r="D17" s="34" t="str">
        <x:v>Story &lt;50% or &gt;90%; Standard mirror outside 45–55%</x:v>
      </x:c>
      <x:c r="E17" s="34" t="str"/>
      <x:c r="F17" s="34" t="str"/>
      <x:c r="G17" s="34" t="str"/>
      <x:c r="H17" s="34" t="str"/>
    </x:row>
    <x:row r="18">
      <x:c r="A18" s="35" t="str">
        <x:v>rounds</x:v>
      </x:c>
      <x:c r="B18" s="35" t="str">
        <x:v>Pacing</x:v>
      </x:c>
      <x:c r="C18" s="35" t="str">
        <x:v>mode/class/tier</x:v>
      </x:c>
      <x:c r="D18" s="35" t="str">
        <x:v>Normal median outside 5–7</x:v>
      </x:c>
      <x:c r="E18" s="35" t="str"/>
      <x:c r="F18" s="35" t="str"/>
      <x:c r="G18" s="35" t="str"/>
      <x:c r="H18" s="35" t="str"/>
    </x:row>
    <x:row r="19">
      <x:c r="A19" s="35" t="str">
        <x:v>unusedAP</x:v>
      </x:c>
      <x:c r="B19" s="35" t="str">
        <x:v>AI/player efficiency</x:v>
      </x:c>
      <x:c r="C19" s="35" t="str">
        <x:v>actor/action/reason</x:v>
      </x:c>
      <x:c r="D19" s="35" t="str">
        <x:v>Standard average &gt;0.5/turn</x:v>
      </x:c>
      <x:c r="E19" s="35" t="str"/>
      <x:c r="F19" s="35" t="str"/>
      <x:c r="G19" s="35" t="str"/>
      <x:c r="H19" s="35" t="str"/>
    </x:row>
    <x:row r="20">
      <x:c r="A20" s="35" t="str">
        <x:v>actionChosen</x:v>
      </x:c>
      <x:c r="B20" s="35" t="str">
        <x:v>Skill distribution</x:v>
      </x:c>
      <x:c r="C20" s="35" t="str">
        <x:v>skill/source/AP</x:v>
      </x:c>
      <x:c r="D20" s="35" t="str">
        <x:v>Any equipped core action never selected</x:v>
      </x:c>
      <x:c r="E20" s="35" t="str"/>
      <x:c r="F20" s="35" t="str"/>
      <x:c r="G20" s="35" t="str"/>
      <x:c r="H20" s="35" t="str"/>
    </x:row>
    <x:row r="21">
      <x:c r="A21" s="35" t="str">
        <x:v>fortify / ward</x:v>
      </x:c>
      <x:c r="B21" s="35" t="str">
        <x:v>Defence reachability</x:v>
      </x:c>
      <x:c r="C21" s="35" t="str">
        <x:v>source/tier/decision</x:v>
      </x:c>
      <x:c r="D21" s="35" t="str">
        <x:v>Zero in eligible pack</x:v>
      </x:c>
      <x:c r="E21" s="35" t="str"/>
      <x:c r="F21" s="35" t="str"/>
      <x:c r="G21" s="35" t="str"/>
      <x:c r="H21" s="35" t="str"/>
    </x:row>
    <x:row r="22">
      <x:c r="A22" s="35" t="str">
        <x:v>ailmentAttempt / ok / gated</x:v>
      </x:c>
      <x:c r="B22" s="35" t="str">
        <x:v>Status reachability</x:v>
      </x:c>
      <x:c r="C22" s="35" t="str">
        <x:v>ailment/pool/round</x:v>
      </x:c>
      <x:c r="D22" s="35" t="str">
        <x:v>ok=0 in eligible pack</x:v>
      </x:c>
      <x:c r="E22" s="35" t="str"/>
      <x:c r="F22" s="35" t="str"/>
      <x:c r="G22" s="35" t="str"/>
      <x:c r="H22" s="35" t="str"/>
    </x:row>
    <x:row r="23">
      <x:c r="A23" s="35" t="str">
        <x:v>damage source</x:v>
      </x:c>
      <x:c r="B23" s="35" t="str">
        <x:v>Progression attribution</x:v>
      </x:c>
      <x:c r="C23" s="35" t="str">
        <x:v>weapon/stat/coefficient/crit/affinity</x:v>
      </x:c>
      <x:c r="D23" s="35" t="str">
        <x:v>Cannot reconcile final damage</x:v>
      </x:c>
      <x:c r="E23" s="35" t="str"/>
      <x:c r="F23" s="35" t="str"/>
      <x:c r="G23" s="35" t="str"/>
      <x:c r="H23" s="35" t="str"/>
    </x:row>
    <x:row r="24">
      <x:c r="A24" s="35" t="str">
        <x:v>effectiveDurability</x:v>
      </x:c>
      <x:c r="B24" s="35" t="str">
        <x:v>Size/loadout balance</x:v>
      </x:c>
      <x:c r="C24" s="35" t="str">
        <x:v>bird/size/tier</x:v>
      </x:c>
      <x:c r="D24" s="35" t="str">
        <x:v>Same-tier normal ratio &gt;1.65</x:v>
      </x:c>
      <x:c r="E24" s="35" t="str"/>
      <x:c r="F24" s="35" t="str"/>
      <x:c r="G24" s="35" t="str"/>
      <x:c r="H24" s="35" t="str"/>
    </x:row>
    <x:row r="25">
      <x:c r="A25" s="36" t="str">
        <x:v>firstActorWin</x:v>
      </x:c>
      <x:c r="B25" s="36" t="str">
        <x:v>Initiative advantage</x:v>
      </x:c>
      <x:c r="C25" s="36" t="str">
        <x:v>matchup/order</x:v>
      </x:c>
      <x:c r="D25" s="36" t="str">
        <x:v>&gt;55% Standard after paired order</x:v>
      </x:c>
      <x:c r="E25" s="36" t="str"/>
      <x:c r="F25" s="36" t="str"/>
      <x:c r="G25" s="36" t="str"/>
      <x:c r="H25" s="36" t="str"/>
    </x:row>
  </x:sheetData>
  <x:mergeCells>
    <x:mergeCell ref="A1:H1"/>
    <x:mergeCell ref="A2:H2"/>
    <x:mergeCell ref="A15:H15"/>
  </x:mergeCells>
  <x:pageMargins left="0.7" right="0.7" top="0.75" bottom="0.75" header="0.3" footer="0.3"/>
</x:worksheet>
</file>