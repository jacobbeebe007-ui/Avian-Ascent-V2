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83ee9a44f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22c6d0a38954248"/>
    <x:sheet xmlns:r="http://schemas.openxmlformats.org/officeDocument/2006/relationships" name="Current Rules" sheetId="2" r:id="Rfaff9131f9d441a3"/>
    <x:sheet xmlns:r="http://schemas.openxmlformats.org/officeDocument/2006/relationships" name="Bird &amp; Classes" sheetId="3" r:id="R89dfef8cf71a4fd5"/>
    <x:sheet xmlns:r="http://schemas.openxmlformats.org/officeDocument/2006/relationships" name="Affinities &amp; Ailments" sheetId="4" r:id="R64d6d08689a44729"/>
    <x:sheet xmlns:r="http://schemas.openxmlformats.org/officeDocument/2006/relationships" name="Stat Definitions" sheetId="5" r:id="R992f6ed61207485a"/>
    <x:sheet xmlns:r="http://schemas.openxmlformats.org/officeDocument/2006/relationships" name="Effect Tiers" sheetId="6" r:id="R95b400fbd61e405a"/>
    <x:sheet xmlns:r="http://schemas.openxmlformats.org/officeDocument/2006/relationships" name="Data Lists" sheetId="7" r:id="Re66b58ddf31d4aab"/>
    <x:sheet xmlns:r="http://schemas.openxmlformats.org/officeDocument/2006/relationships" name="Class Perks" sheetId="8" r:id="R0656b37083c64945"/>
    <x:sheet xmlns:r="http://schemas.openxmlformats.org/officeDocument/2006/relationships" name="Bird Stats" sheetId="9" r:id="R27aff1cd8b104f1f"/>
    <x:sheet xmlns:r="http://schemas.openxmlformats.org/officeDocument/2006/relationships" name="Bird Abilities" sheetId="10" r:id="R2e1fb452244f4d16"/>
    <x:sheet xmlns:r="http://schemas.openxmlformats.org/officeDocument/2006/relationships" name="Scaling Model" sheetId="11" r:id="R070200513522441c"/>
    <x:sheet xmlns:r="http://schemas.openxmlformats.org/officeDocument/2006/relationships" name="Progression Rules" sheetId="12" r:id="Ra4081d59c2cc4ac4"/>
    <x:sheet xmlns:r="http://schemas.openxmlformats.org/officeDocument/2006/relationships" name="Progression Data" sheetId="13" r:id="R476a5a208aaa414e"/>
    <x:sheet xmlns:r="http://schemas.openxmlformats.org/officeDocument/2006/relationships" name="Bird Progression" sheetId="14" r:id="R0a0549d378254a63"/>
    <x:sheet xmlns:r="http://schemas.openxmlformats.org/officeDocument/2006/relationships" name="Equipment Budget Grid" sheetId="15" r:id="R44dd47e7b9fa4ea1"/>
    <x:sheet xmlns:r="http://schemas.openxmlformats.org/officeDocument/2006/relationships" name="Recovery &amp; Defence" sheetId="16" r:id="R6dbca3b996aa437a"/>
    <x:sheet xmlns:r="http://schemas.openxmlformats.org/officeDocument/2006/relationships" name="Enemy Scaling" sheetId="17" r:id="Rf98ab475eb644900"/>
    <x:sheet xmlns:r="http://schemas.openxmlformats.org/officeDocument/2006/relationships" name="Combination Techniques" sheetId="18" r:id="R5d6493a219bf44a5"/>
    <x:sheet xmlns:r="http://schemas.openxmlformats.org/officeDocument/2006/relationships" name="Ailment Arsenal" sheetId="19" r:id="Ra49298049b8049c0"/>
    <x:sheet xmlns:r="http://schemas.openxmlformats.org/officeDocument/2006/relationships" name="Weapon Damage Ranges" sheetId="20" r:id="Rc89d47b5175f48b5"/>
    <x:sheet xmlns:r="http://schemas.openxmlformats.org/officeDocument/2006/relationships" name="NPC Equipment Rules" sheetId="21" r:id="Rb381f5eec1be4644"/>
    <x:sheet xmlns:r="http://schemas.openxmlformats.org/officeDocument/2006/relationships" name="Passives &amp; Perks" sheetId="22" r:id="R19ecc131ae25468e"/>
    <x:sheet xmlns:r="http://schemas.openxmlformats.org/officeDocument/2006/relationships" name="Equipment Dashboard" sheetId="23" r:id="R83b2447ec7a949fa"/>
    <x:sheet xmlns:r="http://schemas.openxmlformats.org/officeDocument/2006/relationships" name="Core Rules" sheetId="24" r:id="Re9931878885d4be1"/>
    <x:sheet xmlns:r="http://schemas.openxmlformats.org/officeDocument/2006/relationships" name="Equipment Slots" sheetId="25" r:id="Rcf1abe0b9ea8448e"/>
    <x:sheet xmlns:r="http://schemas.openxmlformats.org/officeDocument/2006/relationships" name="Rarity &amp; Budgets" sheetId="26" r:id="Rcb6645edc5954528"/>
    <x:sheet xmlns:r="http://schemas.openxmlformats.org/officeDocument/2006/relationships" name="Weapon Families" sheetId="27" r:id="R3ea572f0da004ee4"/>
    <x:sheet xmlns:r="http://schemas.openxmlformats.org/officeDocument/2006/relationships" name="Weapons Catalogue" sheetId="28" r:id="R0233f5cfcedf4a4f"/>
    <x:sheet xmlns:r="http://schemas.openxmlformats.org/officeDocument/2006/relationships" name="Armour-Plumage" sheetId="29" r:id="R4808d3066b30492e"/>
    <x:sheet xmlns:r="http://schemas.openxmlformats.org/officeDocument/2006/relationships" name="Helmets" sheetId="30" r:id="Rf6267757c4684868"/>
    <x:sheet xmlns:r="http://schemas.openxmlformats.org/officeDocument/2006/relationships" name="Shields" sheetId="31" r:id="R77fd0a96bcf444c1"/>
    <x:sheet xmlns:r="http://schemas.openxmlformats.org/officeDocument/2006/relationships" name="Accessories" sheetId="32" r:id="R1a39cd01e06b43c3"/>
    <x:sheet xmlns:r="http://schemas.openxmlformats.org/officeDocument/2006/relationships" name="Set Bonuses" sheetId="33" r:id="R20707a2cd8df499a"/>
    <x:sheet xmlns:r="http://schemas.openxmlformats.org/officeDocument/2006/relationships" name="Materials &amp; Infusions" sheetId="34" r:id="R2ca32ed8dd7145a0"/>
    <x:sheet xmlns:r="http://schemas.openxmlformats.org/officeDocument/2006/relationships" name="Ailment Gates" sheetId="35" r:id="Rf921122caef246bd"/>
    <x:sheet xmlns:r="http://schemas.openxmlformats.org/officeDocument/2006/relationships" name="Unified Catalogue" sheetId="36" r:id="R903208ac543d4b42"/>
    <x:sheet xmlns:r="http://schemas.openxmlformats.org/officeDocument/2006/relationships" name="Damage Calculator" sheetId="37" r:id="Rc772f6a528834ad1"/>
    <x:sheet xmlns:r="http://schemas.openxmlformats.org/officeDocument/2006/relationships" name="Armour Simulator" sheetId="38" r:id="R14025031f00a40c5"/>
    <x:sheet xmlns:r="http://schemas.openxmlformats.org/officeDocument/2006/relationships" name="Skill Rules" sheetId="39" r:id="R8b4abcad927d42ac"/>
    <x:sheet xmlns:r="http://schemas.openxmlformats.org/officeDocument/2006/relationships" name="Weapon Skill Library" sheetId="40" r:id="R8d4f7d03e7994d80"/>
    <x:sheet xmlns:r="http://schemas.openxmlformats.org/officeDocument/2006/relationships" name="Equipment Skill Library" sheetId="41" r:id="Rd023053d55b24b73"/>
    <x:sheet xmlns:r="http://schemas.openxmlformats.org/officeDocument/2006/relationships" name="Fortify &amp; Ward" sheetId="42" r:id="Rb0c4934d6712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5"/>
      <x:color rgb="FFFFFFFF"/>
      <x:name val="Carlito"/>
    </x:font>
    <x:font>
      <x:i/>
      <x:sz val="11"/>
      <x:color rgb="FF1F2937"/>
      <x:name val="Carlito"/>
    </x:font>
    <x:font>
      <x:i/>
      <x:sz val="11"/>
      <x:name val="Carlito"/>
    </x:font>
    <x:font>
      <x:b/>
      <x:sz val="17"/>
      <x:color rgb="FFFFFFFF"/>
      <x:name val="Carlito"/>
    </x:font>
    <x:font>
      <x:i/>
      <x:sz val="11"/>
      <x:color rgb="FF0F172A"/>
      <x:name val="Carlito"/>
    </x:font>
    <x:font>
      <x:b/>
      <x:sz val="14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A6F77"/>
      </x:patternFill>
    </x:fill>
    <x:fill>
      <x:patternFill patternType="solid">
        <x:fgColor rgb="FF315B7D"/>
      </x:patternFill>
    </x:fill>
    <x:fill>
      <x:patternFill patternType="solid">
        <x:fgColor rgb="FF24344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2937"/>
      </x:patternFill>
    </x:fill>
    <x:fill>
      <x:patternFill patternType="solid">
        <x:fgColor rgb="FFF1F5F9"/>
      </x:patternFill>
    </x:fill>
    <x:fill>
      <x:patternFill patternType="solid">
        <x:fgColor rgb="FF334155"/>
      </x:patternFill>
    </x:fill>
    <x:fill>
      <x:patternFill patternType="solid">
        <x:fgColor rgb="FF475569"/>
      </x:patternFill>
    </x:fill>
    <x:fill>
      <x:patternFill patternType="solid">
        <x:fgColor rgb="FF243447"/>
      </x:patternFill>
    </x:fill>
    <x:fill>
      <x:patternFill patternType="solid">
        <x:fgColor rgb="FF4A6572"/>
      </x:patternFill>
    </x:fill>
    <x:fill>
      <x:patternFill patternType="solid">
        <x:fgColor rgb="FF7F1D1D"/>
      </x:patternFill>
    </x:fill>
    <x:fill>
      <x:patternFill patternType="solid">
        <x:fgColor rgb="FF991B1B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left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xfId="0" applyNumberFormat="1" applyFont="1" applyFill="1" applyBorder="0"/>
    <x:xf numFmtId="0" fontId="8" fillId="9" xfId="0" applyNumberFormat="1" applyFont="1" applyFill="1" applyBorder="0" applyAlignment="1">
      <x:alignment wrapText="1"/>
    </x:xf>
    <x:xf numFmtId="0" fontId="8" fillId="9" xfId="0" applyNumberFormat="1" applyFont="1" applyFill="1" applyBorder="0" applyAlignment="1">
      <x:alignment horizontal="center" wrapText="1"/>
    </x:xf>
    <x:xf numFmtId="0" fontId="8" fillId="9" xfId="0" applyNumberFormat="1" applyFont="1" applyFill="1" applyBorder="0" applyAlignment="1">
      <x:alignment horizontal="center" vertical="center" wrapText="1"/>
    </x:xf>
    <x:xf numFmtId="0" fontId="2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/>
    <x:xf numFmtId="0" fontId="9" fillId="10" xfId="0" applyNumberFormat="1" applyFont="1" applyFill="1" applyBorder="0" applyAlignment="1">
      <x:alignment wrapText="1"/>
    </x:xf>
    <x:xf numFmtId="0" fontId="9" fillId="10" xfId="0" applyNumberFormat="1" applyFont="1" applyFill="1" applyBorder="0"/>
    <x:xf numFmtId="0" fontId="9" fillId="10" xfId="0" applyNumberFormat="1" applyFont="1" applyFill="1" applyBorder="0" applyAlignment="1">
      <x:alignment vertical="center" wrapText="1"/>
    </x:xf>
    <x:xf numFmtId="0" fontId="3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xfId="0" applyNumberFormat="1" applyFont="1" applyFill="1" applyBorder="0" applyAlignment="1">
      <x:alignment wrapText="1"/>
    </x:xf>
    <x:xf numFmtId="0" fontId="3" fillId="11" xfId="0" applyNumberFormat="1" applyFont="1" applyFill="1" applyBorder="0"/>
    <x:xf numFmtId="0" fontId="3" fillId="11" xfId="0" applyNumberFormat="1" applyFont="1" applyFill="1" applyBorder="0" applyAlignment="1">
      <x:alignment horizontal="center" wrapText="1"/>
    </x:xf>
    <x:xf numFmtId="0" fontId="3" fillId="11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wrapText="1"/>
    </x:xf>
    <x:xf numFmtId="0" fontId="8" fillId="9" xfId="0" applyNumberFormat="1" applyFont="1" applyFill="1" applyBorder="0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xfId="0" applyNumberFormat="1" applyFont="1" applyFill="1" applyBorder="0" applyAlignment="1">
      <x:alignment vertical="center"/>
    </x:xf>
    <x:xf numFmtId="0" fontId="3" fillId="11" borderId="0" xfId="0" applyNumberFormat="1" applyFont="1" applyFill="1" applyBorder="1" applyAlignment="1">
      <x:alignment vertical="center" wrapText="1"/>
    </x:xf>
    <x:xf numFmtId="0" fontId="3" fillId="11" xfId="0" applyNumberFormat="1" applyFont="1" applyFill="1" applyBorder="0" applyAlignment="1">
      <x:alignment vertical="center" wrapText="1"/>
    </x:xf>
    <x:xf numFmtId="0" fontId="4" fillId="0" xfId="0" applyNumberFormat="1" applyFont="1" applyFill="1" applyBorder="0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horizontal="center"/>
    </x:xf>
    <x:xf numFmtId="0" fontId="10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3" fillId="14" borderId="0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81ccea01f45d4" /><Relationship Type="http://schemas.openxmlformats.org/officeDocument/2006/relationships/theme" Target="/xl/theme/theme1.xml" Id="R5681ad21977c4a26" /><Relationship Type="http://schemas.openxmlformats.org/officeDocument/2006/relationships/sharedStrings" Target="/xl/sharedStrings.xml" Id="Rbaf22dec5716479a" /><Relationship Type="http://schemas.openxmlformats.org/officeDocument/2006/relationships/worksheet" Target="/xl/worksheets/sheet1.xml" Id="R822c6d0a38954248" /><Relationship Type="http://schemas.openxmlformats.org/officeDocument/2006/relationships/worksheet" Target="/xl/worksheets/sheet2.xml" Id="Rfaff9131f9d441a3" /><Relationship Type="http://schemas.openxmlformats.org/officeDocument/2006/relationships/worksheet" Target="/xl/worksheets/sheet3.xml" Id="R89dfef8cf71a4fd5" /><Relationship Type="http://schemas.openxmlformats.org/officeDocument/2006/relationships/worksheet" Target="/xl/worksheets/sheet4.xml" Id="R64d6d08689a44729" /><Relationship Type="http://schemas.openxmlformats.org/officeDocument/2006/relationships/worksheet" Target="/xl/worksheets/sheet5.xml" Id="R992f6ed61207485a" /><Relationship Type="http://schemas.openxmlformats.org/officeDocument/2006/relationships/worksheet" Target="/xl/worksheets/sheet6.xml" Id="R95b400fbd61e405a" /><Relationship Type="http://schemas.openxmlformats.org/officeDocument/2006/relationships/worksheet" Target="/xl/worksheets/sheet7.xml" Id="Re66b58ddf31d4aab" /><Relationship Type="http://schemas.openxmlformats.org/officeDocument/2006/relationships/worksheet" Target="/xl/worksheets/sheet8.xml" Id="R0656b37083c64945" /><Relationship Type="http://schemas.openxmlformats.org/officeDocument/2006/relationships/worksheet" Target="/xl/worksheets/sheet9.xml" Id="R27aff1cd8b104f1f" /><Relationship Type="http://schemas.openxmlformats.org/officeDocument/2006/relationships/worksheet" Target="/xl/worksheets/sheet10.xml" Id="R2e1fb452244f4d16" /><Relationship Type="http://schemas.openxmlformats.org/officeDocument/2006/relationships/worksheet" Target="/xl/worksheets/sheet11.xml" Id="R070200513522441c" /><Relationship Type="http://schemas.openxmlformats.org/officeDocument/2006/relationships/worksheet" Target="/xl/worksheets/sheet12.xml" Id="Ra4081d59c2cc4ac4" /><Relationship Type="http://schemas.openxmlformats.org/officeDocument/2006/relationships/worksheet" Target="/xl/worksheets/sheet13.xml" Id="R476a5a208aaa414e" /><Relationship Type="http://schemas.openxmlformats.org/officeDocument/2006/relationships/worksheet" Target="/xl/worksheets/sheet14.xml" Id="R0a0549d378254a63" /><Relationship Type="http://schemas.openxmlformats.org/officeDocument/2006/relationships/worksheet" Target="/xl/worksheets/sheet15.xml" Id="R44dd47e7b9fa4ea1" /><Relationship Type="http://schemas.openxmlformats.org/officeDocument/2006/relationships/worksheet" Target="/xl/worksheets/sheet16.xml" Id="R6dbca3b996aa437a" /><Relationship Type="http://schemas.openxmlformats.org/officeDocument/2006/relationships/worksheet" Target="/xl/worksheets/sheet17.xml" Id="Rf98ab475eb644900" /><Relationship Type="http://schemas.openxmlformats.org/officeDocument/2006/relationships/worksheet" Target="/xl/worksheets/sheet18.xml" Id="R5d6493a219bf44a5" /><Relationship Type="http://schemas.openxmlformats.org/officeDocument/2006/relationships/worksheet" Target="/xl/worksheets/sheet19.xml" Id="Ra49298049b8049c0" /><Relationship Type="http://schemas.openxmlformats.org/officeDocument/2006/relationships/worksheet" Target="/xl/worksheets/sheet20.xml" Id="Rc89d47b5175f48b5" /><Relationship Type="http://schemas.openxmlformats.org/officeDocument/2006/relationships/worksheet" Target="/xl/worksheets/sheet21.xml" Id="Rb381f5eec1be4644" /><Relationship Type="http://schemas.openxmlformats.org/officeDocument/2006/relationships/worksheet" Target="/xl/worksheets/sheet22.xml" Id="R19ecc131ae25468e" /><Relationship Type="http://schemas.openxmlformats.org/officeDocument/2006/relationships/worksheet" Target="/xl/worksheets/sheet23.xml" Id="R83b2447ec7a949fa" /><Relationship Type="http://schemas.openxmlformats.org/officeDocument/2006/relationships/worksheet" Target="/xl/worksheets/sheet24.xml" Id="Re9931878885d4be1" /><Relationship Type="http://schemas.openxmlformats.org/officeDocument/2006/relationships/worksheet" Target="/xl/worksheets/sheet25.xml" Id="Rcf1abe0b9ea8448e" /><Relationship Type="http://schemas.openxmlformats.org/officeDocument/2006/relationships/worksheet" Target="/xl/worksheets/sheet26.xml" Id="Rcb6645edc5954528" /><Relationship Type="http://schemas.openxmlformats.org/officeDocument/2006/relationships/worksheet" Target="/xl/worksheets/sheet27.xml" Id="R3ea572f0da004ee4" /><Relationship Type="http://schemas.openxmlformats.org/officeDocument/2006/relationships/worksheet" Target="/xl/worksheets/sheet28.xml" Id="R0233f5cfcedf4a4f" /><Relationship Type="http://schemas.openxmlformats.org/officeDocument/2006/relationships/worksheet" Target="/xl/worksheets/sheet29.xml" Id="R4808d3066b30492e" /><Relationship Type="http://schemas.openxmlformats.org/officeDocument/2006/relationships/worksheet" Target="/xl/worksheets/sheet30.xml" Id="Rf6267757c4684868" /><Relationship Type="http://schemas.openxmlformats.org/officeDocument/2006/relationships/worksheet" Target="/xl/worksheets/sheet31.xml" Id="R77fd0a96bcf444c1" /><Relationship Type="http://schemas.openxmlformats.org/officeDocument/2006/relationships/worksheet" Target="/xl/worksheets/sheet32.xml" Id="R1a39cd01e06b43c3" /><Relationship Type="http://schemas.openxmlformats.org/officeDocument/2006/relationships/worksheet" Target="/xl/worksheets/sheet33.xml" Id="R20707a2cd8df499a" /><Relationship Type="http://schemas.openxmlformats.org/officeDocument/2006/relationships/worksheet" Target="/xl/worksheets/sheet34.xml" Id="R2ca32ed8dd7145a0" /><Relationship Type="http://schemas.openxmlformats.org/officeDocument/2006/relationships/worksheet" Target="/xl/worksheets/sheet35.xml" Id="Rf921122caef246bd" /><Relationship Type="http://schemas.openxmlformats.org/officeDocument/2006/relationships/worksheet" Target="/xl/worksheets/sheet36.xml" Id="R903208ac543d4b42" /><Relationship Type="http://schemas.openxmlformats.org/officeDocument/2006/relationships/worksheet" Target="/xl/worksheets/sheet37.xml" Id="Rc772f6a528834ad1" /><Relationship Type="http://schemas.openxmlformats.org/officeDocument/2006/relationships/worksheet" Target="/xl/worksheets/sheet38.xml" Id="R14025031f00a40c5" /><Relationship Type="http://schemas.openxmlformats.org/officeDocument/2006/relationships/worksheet" Target="/xl/worksheets/sheet39.xml" Id="R8b4abcad927d42ac" /><Relationship Type="http://schemas.openxmlformats.org/officeDocument/2006/relationships/worksheet" Target="/xl/worksheets/sheet40.xml" Id="R8d4f7d03e7994d80" /><Relationship Type="http://schemas.openxmlformats.org/officeDocument/2006/relationships/worksheet" Target="/xl/worksheets/sheet41.xml" Id="Rd023053d55b24b73" /><Relationship Type="http://schemas.openxmlformats.org/officeDocument/2006/relationships/worksheet" Target="/xl/worksheets/sheet42.xml" Id="Rb0c4934d671248c1" /></Relationships>
</file>

<file path=xl/tables/table1.xml><?xml version="1.0" encoding="utf-8"?>
<x:table xmlns:x="http://schemas.openxmlformats.org/spreadsheetml/2006/main" id="2" name="GithubPassivesPerksTable" displayName="GithubPassivesPerksTable" ref="A4:J56" headerRowCount="1">
  <x:tableColumns count="10">
    <x:tableColumn id="1" name="Bird Name"/>
    <x:tableColumn id="2" name="Passive Name"/>
    <x:tableColumn id="3" name="Simple Passive Effect"/>
    <x:tableColumn id="4" name="Trigger / Timing"/>
    <x:tableColumn id="5" name="Benefit Type"/>
    <x:tableColumn id="6" name="Ability Alignment Notes"/>
    <x:tableColumn id="7" name="Balance Note"/>
    <x:tableColumn id="8" name="Class Perk"/>
    <x:tableColumn id="9" name="Class Perk Effect"/>
    <x:tableColumn id="10" name="Overflow Effe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.xml" Id="R600b59c07d3647d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32" hidden="0" customWidth="1"/>
    <x:col min="4" max="4" width="16" hidden="0" customWidth="1"/>
    <x:col min="5" max="5" width="45" hidden="0" customWidth="1"/>
  </x:cols>
  <x:sheetData>
    <x:row r="1">
      <x:c r="A1" s="40" t="str">
        <x:v>Avian Ascent — Current Master Systems</x:v>
      </x:c>
      <x:c r="B1" s="40"/>
      <x:c r="C1" s="40"/>
      <x:c r="D1" s="40"/>
      <x:c r="E1" s="40"/>
    </x:row>
    <x:row r="2">
      <x:c r="A2" s="10" t="str">
        <x:v>Current bird, class, progression and combat data combined with Equipment System v1.2 restoration, Fortify, Ward and cooldown rules.</x:v>
      </x:c>
      <x:c r="B2" s="10"/>
      <x:c r="C2" s="10"/>
      <x:c r="D2" s="10"/>
      <x:c r="E2" s="10"/>
    </x:row>
    <x:row r="3">
      <x:c r="A3"/>
      <x:c r="B3"/>
      <x:c r="C3"/>
      <x:c r="D3"/>
      <x:c r="E3"/>
    </x:row>
    <x:row r="4">
      <x:c r="A4" s="17" t="str">
        <x:v>Area</x:v>
      </x:c>
      <x:c r="B4" s="17" t="str">
        <x:v>Current Rule / Data</x:v>
      </x:c>
      <x:c r="C4" s="17" t="str">
        <x:v>Primary Sheet</x:v>
      </x:c>
      <x:c r="D4" s="17" t="str">
        <x:v>Status</x:v>
      </x:c>
      <x:c r="E4" s="17" t="str">
        <x:v>Notes</x:v>
      </x:c>
    </x:row>
    <x:row r="5">
      <x:c r="A5" s="24" t="str">
        <x:v>Core rules</x:v>
      </x:c>
      <x:c r="B5" s="24" t="str">
        <x:v>Current combat, stat, defence and equipment foundations</x:v>
      </x:c>
      <x:c r="C5" s="24" t="str">
        <x:v>Current Rules; Core Rules</x:v>
      </x:c>
      <x:c r="D5" s="24" t="str">
        <x:v>CURRENT</x:v>
      </x:c>
      <x:c r="E5" s="24" t="str">
        <x:v>Use the v1.2 Core Rules where equipment-specific wording overlaps.</x:v>
      </x:c>
    </x:row>
    <x:row r="6">
      <x:c r="A6" s="24" t="str">
        <x:v>Birds and classes</x:v>
      </x:c>
      <x:c r="B6" s="24" t="str">
        <x:v>Class identities, bird allocations and class perks</x:v>
      </x:c>
      <x:c r="C6" s="24" t="str">
        <x:v>Bird &amp; Classes; Bird Stats; Class Perks</x:v>
      </x:c>
      <x:c r="D6" s="24" t="str">
        <x:v>CURRENT</x:v>
      </x:c>
      <x:c r="E6" s="24" t="str">
        <x:v>Active playable data.</x:v>
      </x:c>
    </x:row>
    <x:row r="7">
      <x:c r="A7" s="24" t="str">
        <x:v>Passives and innate abilities</x:v>
      </x:c>
      <x:c r="B7" s="24" t="str">
        <x:v>Implemented species passives, utilities and bird abilities</x:v>
      </x:c>
      <x:c r="C7" s="24" t="str">
        <x:v>Passives &amp; Perks; Bird Abilities</x:v>
      </x:c>
      <x:c r="D7" s="24" t="str">
        <x:v>CURRENT</x:v>
      </x:c>
      <x:c r="E7" s="24" t="str">
        <x:v>Older passive audits and implementation tabs removed.</x:v>
      </x:c>
    </x:row>
    <x:row r="8">
      <x:c r="A8" s="24" t="str">
        <x:v>Affinities and ailments</x:v>
      </x:c>
      <x:c r="B8" s="24" t="str">
        <x:v>Current affinity interactions, ailment rules and equipment ailment gates</x:v>
      </x:c>
      <x:c r="C8" s="24" t="str">
        <x:v>Affinities &amp; Ailments; Ailment Arsenal; Ailment Gates</x:v>
      </x:c>
      <x:c r="D8" s="24" t="str">
        <x:v>CURRENT</x:v>
      </x:c>
      <x:c r="E8" s="24" t="str">
        <x:v>Use Ailment Gates for equipment application restrictions.</x:v>
      </x:c>
    </x:row>
    <x:row r="9">
      <x:c r="A9" s="24" t="str">
        <x:v>Progression</x:v>
      </x:c>
      <x:c r="B9" s="24" t="str">
        <x:v>Bird, equipment and enemy scaling rules</x:v>
      </x:c>
      <x:c r="C9" s="24" t="str">
        <x:v>Progression Rules; Progression Data; Bird Progression; Enemy Scaling</x:v>
      </x:c>
      <x:c r="D9" s="24" t="str">
        <x:v>CURRENT</x:v>
      </x:c>
      <x:c r="E9" s="24" t="str">
        <x:v>Current progression and NPC scaling data.</x:v>
      </x:c>
    </x:row>
    <x:row r="10">
      <x:c r="A10" s="24" t="str">
        <x:v>Equipment catalogue</x:v>
      </x:c>
      <x:c r="B10" s="24" t="str">
        <x:v>Latest weapons, armour, helmets, shields and accessories</x:v>
      </x:c>
      <x:c r="C10" s="24" t="str">
        <x:v>Unified Catalogue</x:v>
      </x:c>
      <x:c r="D10" s="24" t="str">
        <x:v>CURRENT</x:v>
      </x:c>
      <x:c r="E10" s="24" t="str">
        <x:v>Individual catalogue sheets remain for easier filtering and editing.</x:v>
      </x:c>
    </x:row>
    <x:row r="11">
      <x:c r="A11" s="24" t="str">
        <x:v>Weapon skills</x:v>
      </x:c>
      <x:c r="B11" s="24" t="str">
        <x:v>Two granted skills per weapon family plus Natural Strike</x:v>
      </x:c>
      <x:c r="C11" s="24" t="str">
        <x:v>Weapon Skill Library; Skill Rules</x:v>
      </x:c>
      <x:c r="D11" s="24" t="str">
        <x:v>CURRENT</x:v>
      </x:c>
      <x:c r="E11" s="24" t="str">
        <x:v>Skill 1 is generally 2 EN; Skill 2 is generally 3 EN.</x:v>
      </x:c>
    </x:row>
    <x:row r="12">
      <x:c r="A12" s="24" t="str">
        <x:v>Equipment skills</x:v>
      </x:c>
      <x:c r="B12" s="24" t="str">
        <x:v>Defensive and accessory-granted skills</x:v>
      </x:c>
      <x:c r="C12" s="24" t="str">
        <x:v>Equipment Skill Library</x:v>
      </x:c>
      <x:c r="D12" s="24" t="str">
        <x:v>CURRENT</x:v>
      </x:c>
      <x:c r="E12" s="24" t="str">
        <x:v>Uses Armour, Magic Armour, Fortify and Ward terminology.</x:v>
      </x:c>
    </x:row>
    <x:row r="13">
      <x:c r="A13" s="24" t="str">
        <x:v>Restoration</x:v>
      </x:c>
      <x:c r="B13" s="24" t="str">
        <x:v>Restoration heals only to normal maximum with shorter cooldowns</x:v>
      </x:c>
      <x:c r="C13" s="24" t="str">
        <x:v>Fortify &amp; Ward; Skill Rules</x:v>
      </x:c>
      <x:c r="D13" s="24" t="str">
        <x:v>CURRENT</x:v>
      </x:c>
      <x:c r="E13" s="24" t="str">
        <x:v>Standard baseline: 2 EN and 1-turn cooldown.</x:v>
      </x:c>
    </x:row>
    <x:row r="14">
      <x:c r="A14" s="41" t="str">
        <x:v>Fortify and Ward</x:v>
      </x:c>
      <x:c r="B14" s="41" t="str">
        <x:v>Heal protection and raise the temporary maximum by the same amount</x:v>
      </x:c>
      <x:c r="C14" s="41" t="str">
        <x:v>Fortify &amp; Ward</x:v>
      </x:c>
      <x:c r="D14" s="41" t="str">
        <x:v>CURRENT</x:v>
      </x:c>
      <x:c r="E14" s="41" t="str">
        <x:v>Standard baseline: 3 EN, 2-turn duration and 2-turn cooldown.</x:v>
      </x:c>
    </x:row>
    <x:row r="15">
      <x:c r="A15" s="79" t="str">
        <x:v>Calculators</x:v>
      </x:c>
      <x:c r="B15" s="79" t="str">
        <x:v>Current damage and armour testing tools</x:v>
      </x:c>
      <x:c r="C15" s="79" t="str">
        <x:v>Damage Calculator; Armour Simulator</x:v>
      </x:c>
      <x:c r="D15" s="79" t="str">
        <x:v>CURRENT</x:v>
      </x:c>
      <x:c r="E15" s="79" t="str">
        <x:v>Legacy loadout and battle tools removed because they used superseded data.</x:v>
      </x:c>
    </x:row>
    <x:row r="16">
      <x:c r="A16" s="41" t="str">
        <x:v>Physical ailments</x:v>
      </x:c>
      <x:c r="B16" s="41" t="str">
        <x:v>Fracture → Shattered</x:v>
      </x:c>
      <x:c r="C16" s="41" t="str">
        <x:v>Affinities &amp; Ailments; Ailment Gates</x:v>
      </x:c>
      <x:c r="D16" s="41" t="str">
        <x:v>CURRENT</x:v>
      </x:c>
      <x:c r="E16" s="41" t="str">
        <x:v>Greatblade and heavy-breaker identity.</x:v>
      </x:c>
    </x:row>
    <x:row r="17">
      <x:c r="A17" s="41" t="str">
        <x:v>Physical ailments</x:v>
      </x:c>
      <x:c r="B17" s="41" t="str">
        <x:v>Crippled → Immobilised</x:v>
      </x:c>
      <x:c r="C17" s="41" t="str">
        <x:v>Affinities &amp; Ailments; Ailment Gates</x:v>
      </x:c>
      <x:c r="D17" s="41" t="str">
        <x:v>CURRENT</x:v>
      </x:c>
      <x:c r="E17" s="41" t="str">
        <x:v>Bow and evasive-control identity.</x:v>
      </x:c>
    </x:row>
    <x:row r="18">
      <x:c r="A18" s="41" t="str">
        <x:v>Physical ailments</x:v>
      </x:c>
      <x:c r="B18" s="41" t="str">
        <x:v>Dazed → Concussed</x:v>
      </x:c>
      <x:c r="C18" s="41" t="str">
        <x:v>Affinities &amp; Ailments; Ailment Gates</x:v>
      </x:c>
      <x:c r="D18" s="41" t="str">
        <x:v>CURRENT</x:v>
      </x:c>
      <x:c r="E18" s="41" t="str">
        <x:v>Beak Hammer and blunt-impact identity.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58" hidden="0" customWidth="1"/>
    <x:col min="4" max="4" width="14" hidden="0" customWidth="1"/>
    <x:col min="5" max="5" width="10" hidden="0" customWidth="1"/>
    <x:col min="6" max="6" width="38" hidden="0" customWidth="1"/>
    <x:col min="7" max="7" width="46" hidden="0" customWidth="1"/>
  </x:cols>
  <x:sheetData>
    <x:row r="1">
      <x:c r="A1" s="4" t="str">
        <x:v>Current Rules Register</x:v>
      </x:c>
      <x:c r="B1" s="4"/>
      <x:c r="C1" s="4"/>
      <x:c r="D1" s="4"/>
      <x:c r="E1" s="4"/>
      <x:c r="F1" s="4"/>
      <x:c r="G1" s="4"/>
    </x:row>
    <x:row r="2">
      <x:c r="A2" s="10" t="str">
        <x:v>The active v0.8 rules. Older conflicting values in legacy snapshots are superseded by this register.</x:v>
      </x:c>
      <x:c r="B2" s="10"/>
      <x:c r="C2" s="10"/>
      <x:c r="D2" s="10"/>
      <x:c r="E2" s="10"/>
      <x:c r="F2" s="10"/>
      <x:c r="G2" s="10"/>
    </x:row>
    <x:row r="3">
      <x:c r="A3"/>
      <x:c r="B3"/>
      <x:c r="C3"/>
      <x:c r="D3"/>
      <x:c r="E3"/>
      <x:c r="F3"/>
      <x:c r="G3"/>
    </x:row>
    <x:row r="4">
      <x:c r="A4" s="17" t="str">
        <x:v>Rule ID</x:v>
      </x:c>
      <x:c r="B4" s="17" t="str">
        <x:v>Category</x:v>
      </x:c>
      <x:c r="C4" s="17" t="str">
        <x:v>Current Rule</x:v>
      </x:c>
      <x:c r="D4" s="17" t="str">
        <x:v>Status</x:v>
      </x:c>
      <x:c r="E4" s="17" t="str">
        <x:v>Version</x:v>
      </x:c>
      <x:c r="F4" s="17" t="str">
        <x:v>Implemented In</x:v>
      </x:c>
      <x:c r="G4" s="17" t="str">
        <x:v>Design Note</x:v>
      </x:c>
    </x:row>
    <x:row r="5">
      <x:c r="A5" s="24" t="str">
        <x:v>R-STAT-001</x:v>
      </x:c>
      <x:c r="B5" s="24" t="str">
        <x:v>Vitality</x:v>
      </x:c>
      <x:c r="C5" s="24" t="str">
        <x:v>Each +1 Vitality increases maximum health by 5% of Base Health.</x:v>
      </x:c>
      <x:c r="D5" s="24" t="str">
        <x:v>Confirmed</x:v>
      </x:c>
      <x:c r="E5" s="24" t="str">
        <x:v>0.8</x:v>
      </x:c>
      <x:c r="F5" s="24" t="str">
        <x:v>Stat Definitions; Scaling Model</x:v>
      </x:c>
      <x:c r="G5" s="24" t="str">
        <x:v>Apply after determining the bird’s developed Base Health.</x:v>
      </x:c>
    </x:row>
    <x:row r="6">
      <x:c r="A6" s="24" t="str">
        <x:v>R-STAT-002</x:v>
      </x:c>
      <x:c r="B6" s="24" t="str">
        <x:v>Might</x:v>
      </x:c>
      <x:c r="C6" s="24" t="str">
        <x:v>Each +1 Might adds 2.5 percentage points to Physical Strength weapon damage.</x:v>
      </x:c>
      <x:c r="D6" s="24" t="str">
        <x:v>Confirmed</x:v>
      </x:c>
      <x:c r="E6" s="24" t="str">
        <x:v>0.8</x:v>
      </x:c>
      <x:c r="F6" s="24" t="str">
        <x:v>Stat Definitions; Skill Library</x:v>
      </x:c>
      <x:c r="G6" s="24" t="str">
        <x:v>Additive with Skill Power.</x:v>
      </x:c>
    </x:row>
    <x:row r="7">
      <x:c r="A7" s="24" t="str">
        <x:v>R-STAT-003</x:v>
      </x:c>
      <x:c r="B7" s="24" t="str">
        <x:v>Dexterity</x:v>
      </x:c>
      <x:c r="C7" s="24" t="str">
        <x:v>Each +1 Dexterity adds 2.5 percentage points to Physical Finesse weapon damage.</x:v>
      </x:c>
      <x:c r="D7" s="24" t="str">
        <x:v>Confirmed</x:v>
      </x:c>
      <x:c r="E7" s="24" t="str">
        <x:v>0.8</x:v>
      </x:c>
      <x:c r="F7" s="24" t="str">
        <x:v>Stat Definitions; Skill Library</x:v>
      </x:c>
      <x:c r="G7" s="24" t="str">
        <x:v>Rogue, bow, crossbow and finesse weapons use Dexterity.</x:v>
      </x:c>
    </x:row>
    <x:row r="8">
      <x:c r="A8" s="24" t="str">
        <x:v>R-STAT-004</x:v>
      </x:c>
      <x:c r="B8" s="24" t="str">
        <x:v>Focus</x:v>
      </x:c>
      <x:c r="C8" s="24" t="str">
        <x:v>Each +1 Focus adds 2.5 percentage points to Magic weapon damage.</x:v>
      </x:c>
      <x:c r="D8" s="24" t="str">
        <x:v>Confirmed</x:v>
      </x:c>
      <x:c r="E8" s="24" t="str">
        <x:v>0.8</x:v>
      </x:c>
      <x:c r="F8" s="24" t="str">
        <x:v>Stat Definitions; Skill Library</x:v>
      </x:c>
      <x:c r="G8" s="24" t="str">
        <x:v>Additive with Skill Power.</x:v>
      </x:c>
    </x:row>
    <x:row r="9">
      <x:c r="A9" s="24" t="str">
        <x:v>R-STAT-005</x:v>
      </x:c>
      <x:c r="B9" s="24" t="str">
        <x:v>Agility</x:v>
      </x:c>
      <x:c r="C9" s="24" t="str">
        <x:v>Higher Agility acts first; each point grants 0.5% Dodge, capped at 50%.</x:v>
      </x:c>
      <x:c r="D9" s="24" t="str">
        <x:v>Confirmed</x:v>
      </x:c>
      <x:c r="E9" s="24" t="str">
        <x:v>0.8</x:v>
      </x:c>
      <x:c r="F9" s="24" t="str">
        <x:v>Stat Definitions; Loadout Builder</x:v>
      </x:c>
      <x:c r="G9" s="24" t="str">
        <x:v>Agility does not increase normal damage.</x:v>
      </x:c>
    </x:row>
    <x:row r="10">
      <x:c r="A10" s="24" t="str">
        <x:v>R-DEF-001</x:v>
      </x:c>
      <x:c r="B10" s="24" t="str">
        <x:v>Guard</x:v>
      </x:c>
      <x:c r="C10" s="24" t="str">
        <x:v>Guard creates Physical mitigation rating at 2.5 rating per point.</x:v>
      </x:c>
      <x:c r="D10" s="24" t="str">
        <x:v>Confirmed</x:v>
      </x:c>
      <x:c r="E10" s="24" t="str">
        <x:v>0.8</x:v>
      </x:c>
      <x:c r="F10" s="24" t="str">
        <x:v>Recovery &amp; Defence</x:v>
      </x:c>
      <x:c r="G10" s="24" t="str">
        <x:v>Use diminishing returns.</x:v>
      </x:c>
    </x:row>
    <x:row r="11">
      <x:c r="A11" s="24" t="str">
        <x:v>R-DEF-002</x:v>
      </x:c>
      <x:c r="B11" s="24" t="str">
        <x:v>Resolve</x:v>
      </x:c>
      <x:c r="C11" s="24" t="str">
        <x:v>Resolve creates Magic mitigation rating at 2.5 rating per point.</x:v>
      </x:c>
      <x:c r="D11" s="24" t="str">
        <x:v>Confirmed</x:v>
      </x:c>
      <x:c r="E11" s="24" t="str">
        <x:v>0.8</x:v>
      </x:c>
      <x:c r="F11" s="24" t="str">
        <x:v>Recovery &amp; Defence</x:v>
      </x:c>
      <x:c r="G11" s="24" t="str">
        <x:v>Use diminishing returns.</x:v>
      </x:c>
    </x:row>
    <x:row r="12">
      <x:c r="A12" s="24" t="str">
        <x:v>R-DEF-003</x:v>
      </x:c>
      <x:c r="B12" s="24" t="str">
        <x:v>Mitigation</x:v>
      </x:c>
      <x:c r="C12" s="24" t="str">
        <x:v>Mitigation = Rating ÷ (100 + Rating), capped at 75%.</x:v>
      </x:c>
      <x:c r="D12" s="24" t="str">
        <x:v>Confirmed</x:v>
      </x:c>
      <x:c r="E12" s="24" t="str">
        <x:v>0.8</x:v>
      </x:c>
      <x:c r="F12" s="24" t="str">
        <x:v>Recovery &amp; Defence; Damage Lab</x:v>
      </x:c>
      <x:c r="G12" s="24" t="str">
        <x:v>Penetration reduces the flat defence first.</x:v>
      </x:c>
    </x:row>
    <x:row r="13">
      <x:c r="A13" s="24" t="str">
        <x:v>R-EFF-001</x:v>
      </x:c>
      <x:c r="B13" s="24" t="str">
        <x:v>Effect Tiers</x:v>
      </x:c>
      <x:c r="C13" s="24" t="str">
        <x:v>Minor ±4, Moderate ±10, Major ±20 flat stat.</x:v>
      </x:c>
      <x:c r="D13" s="24" t="str">
        <x:v>Confirmed</x:v>
      </x:c>
      <x:c r="E13" s="24" t="str">
        <x:v>0.8</x:v>
      </x:c>
      <x:c r="F13" s="24" t="str">
        <x:v>Effect Tiers</x:v>
      </x:c>
      <x:c r="G13" s="24" t="str">
        <x:v>Strongest same-direction tier applies.</x:v>
      </x:c>
    </x:row>
    <x:row r="14">
      <x:c r="A14" s="24" t="str">
        <x:v>R-WPN-001</x:v>
      </x:c>
      <x:c r="B14" s="24" t="str">
        <x:v>Weapon Damage</x:v>
      </x:c>
      <x:c r="C14" s="24" t="str">
        <x:v>Every damaging weapon has a minimum and maximum damage range.</x:v>
      </x:c>
      <x:c r="D14" s="24" t="str">
        <x:v>Confirmed</x:v>
      </x:c>
      <x:c r="E14" s="24" t="str">
        <x:v>0.8</x:v>
      </x:c>
      <x:c r="F14" s="24" t="str">
        <x:v>Weapon Damage Ranges; Equipment Catalogue</x:v>
      </x:c>
      <x:c r="G14" s="24" t="str">
        <x:v>Non-weapons have no weapon range.</x:v>
      </x:c>
    </x:row>
    <x:row r="15">
      <x:c r="A15" s="24" t="str">
        <x:v>R-WPN-002</x:v>
      </x:c>
      <x:c r="B15" s="24" t="str">
        <x:v>Skill Power</x:v>
      </x:c>
      <x:c r="C15" s="24" t="str">
        <x:v>Raw Damage = Weapon Damage × ((Skill Power + Scaling Stat × 2.5) ÷ 100).</x:v>
      </x:c>
      <x:c r="D15" s="24" t="str">
        <x:v>Confirmed</x:v>
      </x:c>
      <x:c r="E15" s="24" t="str">
        <x:v>0.8</x:v>
      </x:c>
      <x:c r="F15" s="24" t="str">
        <x:v>Skill &amp; EN Rules; Damage Lab</x:v>
      </x:c>
      <x:c r="G15" s="24" t="str">
        <x:v>Stat and Skill Power are additive.</x:v>
      </x:c>
    </x:row>
    <x:row r="16">
      <x:c r="A16" s="24" t="str">
        <x:v>R-WPN-003</x:v>
      </x:c>
      <x:c r="B16" s="24" t="str">
        <x:v>Rarity</x:v>
      </x:c>
      <x:c r="C16" s="24" t="str">
        <x:v>Rarity improves weapon range, flat stats and item effects; it does not multiply the skill coefficient.</x:v>
      </x:c>
      <x:c r="D16" s="24" t="str">
        <x:v>Confirmed</x:v>
      </x:c>
      <x:c r="E16" s="24" t="str">
        <x:v>0.8</x:v>
      </x:c>
      <x:c r="F16" s="24" t="str">
        <x:v>Rarity Budgets</x:v>
      </x:c>
      <x:c r="G16" s="24" t="str">
        <x:v>Prevents triple scaling.</x:v>
      </x:c>
    </x:row>
    <x:row r="17">
      <x:c r="A17" s="24" t="str">
        <x:v>R-WPN-004</x:v>
      </x:c>
      <x:c r="B17" s="24" t="str">
        <x:v>Multi-hit</x:v>
      </x:c>
      <x:c r="C17" s="24" t="str">
        <x:v>Skill Power is the total across all hits and is divided by hit count.</x:v>
      </x:c>
      <x:c r="D17" s="24" t="str">
        <x:v>Confirmed</x:v>
      </x:c>
      <x:c r="E17" s="24" t="str">
        <x:v>0.8</x:v>
      </x:c>
      <x:c r="F17" s="24" t="str">
        <x:v>Skill Library</x:v>
      </x:c>
      <x:c r="G17" s="24" t="str">
        <x:v>Four hits at 140% total are 35% each.</x:v>
      </x:c>
    </x:row>
    <x:row r="18">
      <x:c r="A18" s="24" t="str">
        <x:v>R-EQP-001</x:v>
      </x:c>
      <x:c r="B18" s="24" t="str">
        <x:v>Core Equipment</x:v>
      </x:c>
      <x:c r="C18" s="24" t="str">
        <x:v>Ordinary equipment grants flat core stats only.</x:v>
      </x:c>
      <x:c r="D18" s="24" t="str">
        <x:v>Confirmed</x:v>
      </x:c>
      <x:c r="E18" s="24" t="str">
        <x:v>0.8</x:v>
      </x:c>
      <x:c r="F18" s="24" t="str">
        <x:v>Equipment Stats</x:v>
      </x:c>
      <x:c r="G18" s="24" t="str">
        <x:v>No Vitality/Might/Dexterity/Guard/Focus/Resolve/Agility percentages.</x:v>
      </x:c>
    </x:row>
    <x:row r="19">
      <x:c r="A19" s="24" t="str">
        <x:v>R-NPC-001</x:v>
      </x:c>
      <x:c r="B19" s="24" t="str">
        <x:v>NPC Equipment</x:v>
      </x:c>
      <x:c r="C19" s="24" t="str">
        <x:v>NPCs use the same item values and loadout formulas as players.</x:v>
      </x:c>
      <x:c r="D19" s="24" t="str">
        <x:v>Confirmed</x:v>
      </x:c>
      <x:c r="E19" s="24" t="str">
        <x:v>0.8</x:v>
      </x:c>
      <x:c r="F19" s="24" t="str">
        <x:v>NPC Equipment Rules; Enemy Scaling</x:v>
      </x:c>
      <x:c r="G19" s="24" t="str">
        <x:v>Standard difficulty has no hidden damage multiplier.</x:v>
      </x:c>
    </x:row>
    <x:row r="20">
      <x:c r="A20" t="str">
        <x:v>R-BIRD-001</x:v>
      </x:c>
      <x:c r="B20" t="str">
        <x:v>Base Health</x:v>
      </x:c>
      <x:c r="C20" t="str">
        <x:v>Base Health is set by real size: Tiny 8, Small 10, Medium 12, Large 14, Very Large 16, Giant 18; Duke/Boss Override 20.</x:v>
      </x:c>
      <x:c r="D20" t="str">
        <x:v>Confirmed</x:v>
      </x:c>
      <x:c r="E20" t="str">
        <x:v>0.9</x:v>
      </x:c>
      <x:c r="F20" t="str">
        <x:v>Bird Stats; v0.9 Base Stats</x:v>
      </x:c>
      <x:c r="G20" t="str">
        <x:v>No universal +20 Health.</x:v>
      </x:c>
    </x:row>
    <x:row r="21">
      <x:c r="A21" t="str">
        <x:v>R-BIRD-002</x:v>
      </x:c>
      <x:c r="B21" t="str">
        <x:v>Attribute Budget</x:v>
      </x:c>
      <x:c r="C21" t="str">
        <x:v>Grey–Purple birds use 30 level-one attribute points; Gold uses 32; Orange uses 34.</x:v>
      </x:c>
      <x:c r="D21" t="str">
        <x:v>Confirmed</x:v>
      </x:c>
      <x:c r="E21" t="str">
        <x:v>0.9</x:v>
      </x:c>
      <x:c r="F21" t="str">
        <x:v>Bird Stats; v0.9 Base Stats</x:v>
      </x:c>
      <x:c r="G21" t="str">
        <x:v>Pre-built birds; no player allocation screen.</x:v>
      </x:c>
    </x:row>
    <x:row r="22">
      <x:c r="A22" t="str">
        <x:v>R-BIRD-003</x:v>
      </x:c>
      <x:c r="B22" t="str">
        <x:v>Tier Caps</x:v>
      </x:c>
      <x:c r="C22" t="str">
        <x:v>Individual level-one stat caps: Grey 10, Green 12, Blue 14, Purple 16, Gold/Orange 18.</x:v>
      </x:c>
      <x:c r="D22" t="str">
        <x:v>Confirmed</x:v>
      </x:c>
      <x:c r="E22" t="str">
        <x:v>0.9</x:v>
      </x:c>
      <x:c r="F22" t="str">
        <x:v>Bird Stats; v0.9 Base Stats</x:v>
      </x:c>
      <x:c r="G22" t="str">
        <x:v>Zero-value stats are legal.</x:v>
      </x:c>
    </x:row>
    <x:row r="23">
      <x:c r="A23" t="str">
        <x:v>R-NPC-002</x:v>
      </x:c>
      <x:c r="B23" t="str">
        <x:v>Enemy Base Stats</x:v>
      </x:c>
      <x:c r="C23" t="str">
        <x:v>Normal enemies use the same species Base Health and attribute row as the matching player bird.</x:v>
      </x:c>
      <x:c r="D23" t="str">
        <x:v>Confirmed</x:v>
      </x:c>
      <x:c r="E23" t="str">
        <x:v>0.9</x:v>
      </x:c>
      <x:c r="F23" t="str">
        <x:v>Bird Stats; Enemy Scaling</x:v>
      </x:c>
      <x:c r="G23" t="str">
        <x:v>Difficulty does not replace species base stats with hidden bonuses.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38" hidden="0" customWidth="1"/>
    <x:col min="5" max="5" width="18" hidden="0" customWidth="1"/>
    <x:col min="6" max="6" width="24" hidden="0" customWidth="1"/>
    <x:col min="7" max="7" width="40" hidden="0" customWidth="1"/>
    <x:col min="8" max="8" width="42" hidden="0" customWidth="1"/>
  </x:cols>
  <x:sheetData>
    <x:row r="1">
      <x:c r="A1" s="4" t="str">
        <x:v>Bird and Class Equipment Identities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Class identity after Dexterity/Agility separation. Every bird is pre-built from its tier budget, and zero-value stats are legal.</x:v>
      </x:c>
      <x:c r="B2" s="10"/>
      <x:c r="C2" s="10"/>
      <x:c r="D2" s="10"/>
      <x:c r="E2" s="10"/>
      <x:c r="F2" s="10"/>
      <x:c r="G2" s="10"/>
      <x:c r="H2" s="10"/>
    </x:row>
    <x:row r="3">
      <x:c r="A3"/>
      <x:c r="B3"/>
      <x:c r="C3"/>
      <x:c r="D3"/>
      <x:c r="E3"/>
      <x:c r="F3"/>
      <x:c r="G3"/>
      <x:c r="H3"/>
    </x:row>
    <x:row r="4">
      <x:c r="A4" s="17" t="str">
        <x:v>Class</x:v>
      </x:c>
      <x:c r="B4" s="17" t="str">
        <x:v>Primary Offence</x:v>
      </x:c>
      <x:c r="C4" s="17" t="str">
        <x:v>Secondary Identity</x:v>
      </x:c>
      <x:c r="D4" s="17" t="str">
        <x:v>Typical Weapon Families</x:v>
      </x:c>
      <x:c r="E4" s="17" t="str">
        <x:v>Agility Profile</x:v>
      </x:c>
      <x:c r="F4" s="17" t="str">
        <x:v>Defensive Profile</x:v>
      </x:c>
      <x:c r="G4" s="17" t="str">
        <x:v>Equipment Direction</x:v>
      </x:c>
      <x:c r="H4" s="17" t="str">
        <x:v>Notes</x:v>
      </x:c>
    </x:row>
    <x:row r="5">
      <x:c r="A5" s="24" t="str">
        <x:v>Knight</x:v>
      </x:c>
      <x:c r="B5" s="24" t="str">
        <x:v>Might</x:v>
      </x:c>
      <x:c r="C5" s="24" t="str">
        <x:v>Guard</x:v>
      </x:c>
      <x:c r="D5" s="24" t="str">
        <x:v>Greatblade, Lance, Beak Hammer</x:v>
      </x:c>
      <x:c r="E5" s="24" t="str">
        <x:v>Low–Moderate</x:v>
      </x:c>
      <x:c r="F5" s="24" t="str">
        <x:v>High Guard / Vitality</x:v>
      </x:c>
      <x:c r="G5" s="24" t="str">
        <x:v>Heavy armour, shields, flat Might and Guard</x:v>
      </x:c>
      <x:c r="H5" s="24" t="str">
        <x:v>Dexterity is not a default Knight damage stat.</x:v>
      </x:c>
    </x:row>
    <x:row r="6">
      <x:c r="A6" s="24" t="str">
        <x:v>Rogue</x:v>
      </x:c>
      <x:c r="B6" s="24" t="str">
        <x:v>Dexterity</x:v>
      </x:c>
      <x:c r="C6" s="24" t="str">
        <x:v>Agility / Critical</x:v>
      </x:c>
      <x:c r="D6" s="24" t="str">
        <x:v>Dagger Pinion, Talon Blade, Duel Sabre, Greatbow</x:v>
      </x:c>
      <x:c r="E6" s="24" t="str">
        <x:v>High</x:v>
      </x:c>
      <x:c r="F6" s="24" t="str">
        <x:v>Low Guard; relies on Dodge and positioning</x:v>
      </x:c>
      <x:c r="G6" s="24" t="str">
        <x:v>Light gear, flat Dexterity and Agility</x:v>
      </x:c>
      <x:c r="H6" s="24" t="str">
        <x:v>Agility controls turn order/Dodge only.</x:v>
      </x:c>
    </x:row>
    <x:row r="7">
      <x:c r="A7" s="24" t="str">
        <x:v>Mage</x:v>
      </x:c>
      <x:c r="B7" s="24" t="str">
        <x:v>Focus</x:v>
      </x:c>
      <x:c r="C7" s="24" t="str">
        <x:v>Resolve / Magic Penetration</x:v>
      </x:c>
      <x:c r="D7" s="24" t="str">
        <x:v>Wand, Staff, Focus Orb, Grimoire</x:v>
      </x:c>
      <x:c r="E7" s="24" t="str">
        <x:v>Low–Moderate</x:v>
      </x:c>
      <x:c r="F7" s="24" t="str">
        <x:v>High Resolve</x:v>
      </x:c>
      <x:c r="G7" s="24" t="str">
        <x:v>Mystic gear and flat Focus</x:v>
      </x:c>
      <x:c r="H7" s="24" t="str">
        <x:v>Weapon range supplies the damage base.</x:v>
      </x:c>
    </x:row>
    <x:row r="8">
      <x:c r="A8" s="24" t="str">
        <x:v>Siren</x:v>
      </x:c>
      <x:c r="B8" s="24" t="str">
        <x:v>Focus</x:v>
      </x:c>
      <x:c r="C8" s="24" t="str">
        <x:v>Ailments / Agility</x:v>
      </x:c>
      <x:c r="D8" s="24" t="str">
        <x:v>Hexwood Wand, Focus Orb, Lament Song</x:v>
      </x:c>
      <x:c r="E8" s="24" t="str">
        <x:v>Moderate–High</x:v>
      </x:c>
      <x:c r="F8" s="24" t="str">
        <x:v>Moderate Resolve</x:v>
      </x:c>
      <x:c r="G8" s="24" t="str">
        <x:v>Ailment chance and Focus</x:v>
      </x:c>
      <x:c r="H8" s="24" t="str">
        <x:v>Ailment riders reduce direct Skill Power.</x:v>
      </x:c>
    </x:row>
    <x:row r="9">
      <x:c r="A9" s="24" t="str">
        <x:v>Inquisitor</x:v>
      </x:c>
      <x:c r="B9" s="24" t="str">
        <x:v>Might / Focus</x:v>
      </x:c>
      <x:c r="C9" s="24" t="str">
        <x:v>Vitality / Resolve</x:v>
      </x:c>
      <x:c r="D9" s="24" t="str">
        <x:v>Bell Sceptre, War Scythe, Focus Orb</x:v>
      </x:c>
      <x:c r="E9" s="24" t="str">
        <x:v>Low</x:v>
      </x:c>
      <x:c r="F9" s="24" t="str">
        <x:v>High Vitality / Resolve</x:v>
      </x:c>
      <x:c r="G9" s="24" t="str">
        <x:v>Defensive hybrid flat stats</x:v>
      </x:c>
      <x:c r="H9" s="24" t="str">
        <x:v>Hybrid techniques split weapon components.</x:v>
      </x:c>
    </x:row>
    <x:row r="10">
      <x:c r="A10" s="24" t="str">
        <x:v>Bard</x:v>
      </x:c>
      <x:c r="B10" s="24" t="str">
        <x:v>Dexterity / Focus</x:v>
      </x:c>
      <x:c r="C10" s="24" t="str">
        <x:v>Support / Agility</x:v>
      </x:c>
      <x:c r="D10" s="24" t="str">
        <x:v>Bard Song, Talon Blade, Greatbow</x:v>
      </x:c>
      <x:c r="E10" s="24" t="str">
        <x:v>Moderate</x:v>
      </x:c>
      <x:c r="F10" s="24" t="str">
        <x:v>Balanced</x:v>
      </x:c>
      <x:c r="G10" s="24" t="str">
        <x:v>Mixed finesse/magic and healing</x:v>
      </x:c>
      <x:c r="H10" s="24" t="str">
        <x:v>Support effects consume direct damage budget.</x:v>
      </x:c>
    </x:row>
    <x:row r="11">
      <x:c r="A11" s="24" t="str">
        <x:v>Brute</x:v>
      </x:c>
      <x:c r="B11" s="24" t="str">
        <x:v>Might</x:v>
      </x:c>
      <x:c r="C11" s="24" t="str">
        <x:v>Vitality / Guard</x:v>
      </x:c>
      <x:c r="D11" s="24" t="str">
        <x:v>Beak Hammer, Greatblade, War Scythe</x:v>
      </x:c>
      <x:c r="E11" s="24" t="str">
        <x:v>Low–Moderate</x:v>
      </x:c>
      <x:c r="F11" s="24" t="str">
        <x:v>Very high Vitality / Guard</x:v>
      </x:c>
      <x:c r="G11" s="24" t="str">
        <x:v>Heavy flat stats and Agility penalties</x:v>
      </x:c>
      <x:c r="H11" s="24" t="str">
        <x:v>No hidden Brute damage multiplier.</x:v>
      </x:c>
    </x:row>
    <x:row r="12">
      <x:c r="A12" s="24" t="str">
        <x:v>Duke</x:v>
      </x:c>
      <x:c r="B12" s="24" t="str">
        <x:v>Build dependent</x:v>
      </x:c>
      <x:c r="C12" s="24" t="str">
        <x:v>Unique equipment permissions</x:v>
      </x:c>
      <x:c r="D12" s="24" t="str">
        <x:v>Any curated family</x:v>
      </x:c>
      <x:c r="E12" s="24" t="str">
        <x:v>Variable</x:v>
      </x:c>
      <x:c r="F12" s="24" t="str">
        <x:v>Variable</x:v>
      </x:c>
      <x:c r="G12" s="24" t="str">
        <x:v>Unique loadout rules</x:v>
      </x:c>
      <x:c r="H12" s="24" t="str">
        <x:v>Uses the same base formulas.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7" hidden="0" customWidth="1"/>
    <x:col min="4" max="4" width="34" hidden="0" customWidth="1"/>
    <x:col min="5" max="5" width="34" hidden="0" customWidth="1"/>
    <x:col min="6" max="6" width="37" hidden="0" customWidth="1"/>
    <x:col min="7" max="7" width="25" hidden="0" customWidth="1"/>
    <x:col min="8" max="8" width="39" hidden="0" customWidth="1"/>
  </x:cols>
  <x:sheetData>
    <x:row r="1">
      <x:c r="A1" s="28" t="str">
        <x:v>Affinities, Ailments &amp; Conditions</x:v>
      </x:c>
      <x:c r="B1" s="28"/>
      <x:c r="C1" s="28"/>
      <x:c r="D1" s="28"/>
      <x:c r="E1" s="28"/>
      <x:c r="F1" s="28"/>
      <x:c r="G1" s="28"/>
      <x:c r="H1" s="28"/>
    </x:row>
    <x:row r="2">
      <x:c r="A2" s="10" t="str">
        <x:v>v0.6 replaces the fantasy Affinity labels with Earth, Sky, Storm, Day, Night and Water; adds Shock and Paralysed; and rebuilds ailment stacks, resolved states and control safeguards. Numerical balance values remain Working Draft.</x:v>
      </x:c>
      <x:c r="B2" s="10"/>
      <x:c r="C2" s="10"/>
      <x:c r="D2" s="10"/>
      <x:c r="E2" s="10"/>
      <x:c r="F2" s="10"/>
      <x:c r="G2" s="10"/>
      <x:c r="H2" s="10"/>
    </x:row>
    <x:row r="3">
      <x:c r="A3"/>
      <x:c r="B3"/>
      <x:c r="C3"/>
      <x:c r="D3"/>
      <x:c r="E3"/>
      <x:c r="F3"/>
      <x:c r="G3"/>
      <x:c r="H3"/>
    </x:row>
    <x:row r="4">
      <x:c r="A4" s="16" t="str">
        <x:v>Attacker ↓ / Defender →</x:v>
      </x:c>
      <x:c r="B4" s="16" t="str">
        <x:v>Earth</x:v>
      </x:c>
      <x:c r="C4" s="16" t="str">
        <x:v>Sky</x:v>
      </x:c>
      <x:c r="D4" s="16" t="str">
        <x:v>Storm</x:v>
      </x:c>
      <x:c r="E4" s="16" t="str">
        <x:v>Day</x:v>
      </x:c>
      <x:c r="F4" s="16" t="str">
        <x:v>Night</x:v>
      </x:c>
      <x:c r="G4" s="16" t="str">
        <x:v>Water</x:v>
      </x:c>
      <x:c r="H4" s="16"/>
    </x:row>
    <x:row r="5">
      <x:c r="A5" t="str">
        <x:v>Earth</x:v>
      </x:c>
      <x:c r="B5" t="n">
        <x:v>1</x:v>
      </x:c>
      <x:c r="C5" t="n">
        <x:v>0.8</x:v>
      </x:c>
      <x:c r="D5" t="n">
        <x:v>1.2</x:v>
      </x:c>
      <x:c r="E5" t="n">
        <x:v>1.2</x:v>
      </x:c>
      <x:c r="F5" t="n">
        <x:v>1</x:v>
      </x:c>
      <x:c r="G5" t="n">
        <x:v>0.8</x:v>
      </x:c>
      <x:c r="H5"/>
    </x:row>
    <x:row r="6">
      <x:c r="A6" t="str">
        <x:v>Sky</x:v>
      </x:c>
      <x:c r="B6" t="n">
        <x:v>1.2</x:v>
      </x:c>
      <x:c r="C6" t="n">
        <x:v>1</x:v>
      </x:c>
      <x:c r="D6" t="n">
        <x:v>0.8</x:v>
      </x:c>
      <x:c r="E6" t="n">
        <x:v>0.8</x:v>
      </x:c>
      <x:c r="F6" t="n">
        <x:v>1.2</x:v>
      </x:c>
      <x:c r="G6" t="n">
        <x:v>1</x:v>
      </x:c>
      <x:c r="H6"/>
    </x:row>
    <x:row r="7">
      <x:c r="A7" t="str">
        <x:v>Storm</x:v>
      </x:c>
      <x:c r="B7" t="n">
        <x:v>0.8</x:v>
      </x:c>
      <x:c r="C7" t="n">
        <x:v>1.2</x:v>
      </x:c>
      <x:c r="D7" t="n">
        <x:v>1</x:v>
      </x:c>
      <x:c r="E7" t="n">
        <x:v>1</x:v>
      </x:c>
      <x:c r="F7" t="n">
        <x:v>0.8</x:v>
      </x:c>
      <x:c r="G7" t="n">
        <x:v>1.2</x:v>
      </x:c>
      <x:c r="H7"/>
    </x:row>
    <x:row r="8">
      <x:c r="A8" t="str">
        <x:v>Day</x:v>
      </x:c>
      <x:c r="B8" t="n">
        <x:v>0.8</x:v>
      </x:c>
      <x:c r="C8" t="n">
        <x:v>1.2</x:v>
      </x:c>
      <x:c r="D8" t="n">
        <x:v>1</x:v>
      </x:c>
      <x:c r="E8" t="n">
        <x:v>1</x:v>
      </x:c>
      <x:c r="F8" t="n">
        <x:v>1.2</x:v>
      </x:c>
      <x:c r="G8" t="n">
        <x:v>0.8</x:v>
      </x:c>
      <x:c r="H8"/>
    </x:row>
    <x:row r="9">
      <x:c r="A9" t="str">
        <x:v>Night</x:v>
      </x:c>
      <x:c r="B9" t="n">
        <x:v>1</x:v>
      </x:c>
      <x:c r="C9" t="n">
        <x:v>0.8</x:v>
      </x:c>
      <x:c r="D9" t="n">
        <x:v>1.2</x:v>
      </x:c>
      <x:c r="E9" t="n">
        <x:v>0.8</x:v>
      </x:c>
      <x:c r="F9" t="n">
        <x:v>1</x:v>
      </x:c>
      <x:c r="G9" t="n">
        <x:v>1.2</x:v>
      </x:c>
      <x:c r="H9"/>
    </x:row>
    <x:row r="10">
      <x:c r="A10" t="str">
        <x:v>Water</x:v>
      </x:c>
      <x:c r="B10" t="n">
        <x:v>1.2</x:v>
      </x:c>
      <x:c r="C10" t="n">
        <x:v>1</x:v>
      </x:c>
      <x:c r="D10" t="n">
        <x:v>0.8</x:v>
      </x:c>
      <x:c r="E10" t="n">
        <x:v>1.2</x:v>
      </x:c>
      <x:c r="F10" t="n">
        <x:v>0.8</x:v>
      </x:c>
      <x:c r="G10" t="n">
        <x:v>1</x:v>
      </x:c>
      <x:c r="H10"/>
    </x:row>
    <x:row r="11">
      <x:c r="A11"/>
      <x:c r="B11"/>
      <x:c r="C11"/>
      <x:c r="D11"/>
      <x:c r="E11"/>
      <x:c r="F11"/>
      <x:c r="G11"/>
      <x:c r="H11"/>
    </x:row>
    <x:row r="12">
      <x:c r="A12" t="str">
        <x:v>Affinity</x:v>
      </x:c>
      <x:c r="B12" t="str">
        <x:v>Strong Against</x:v>
      </x:c>
      <x:c r="C12" t="str">
        <x:v>Resisted By</x:v>
      </x:c>
      <x:c r="D12" t="str">
        <x:v>Colour / Symbol Direction</x:v>
      </x:c>
      <x:c r="E12" t="str">
        <x:v>Aligned Status</x:v>
      </x:c>
      <x:c r="F12" t="str">
        <x:v>Damage Rule</x:v>
      </x:c>
      <x:c r="G12" t="str">
        <x:v>Status</x:v>
      </x:c>
      <x:c r="H12" t="str">
        <x:v>Notes</x:v>
      </x:c>
    </x:row>
    <x:row r="13">
      <x:c r="A13" t="str">
        <x:v>Earth</x:v>
      </x:c>
      <x:c r="B13" t="str">
        <x:v>Storm, Day</x:v>
      </x:c>
      <x:c r="C13" t="str">
        <x:v>Sky, Water</x:v>
      </x:c>
      <x:c r="D13" t="str">
        <x:v>Brown earth / stone</x:v>
      </x:c>
      <x:c r="E13" t="str">
        <x:v>Poison → Toxic</x:v>
      </x:c>
      <x:c r="F13" t="str">
        <x:v>Affinity modifies Martial or Magic damage after defence.</x:v>
      </x:c>
      <x:c r="G13" t="str">
        <x:v>Confirmed</x:v>
      </x:c>
      <x:c r="H13" t="str">
        <x:v>Dominant 1.20×; resisted 0.80×.</x:v>
      </x:c>
    </x:row>
    <x:row r="14">
      <x:c r="A14" t="str">
        <x:v>Sky</x:v>
      </x:c>
      <x:c r="B14" t="str">
        <x:v>Earth, Night</x:v>
      </x:c>
      <x:c r="C14" t="str">
        <x:v>Storm, Day</x:v>
      </x:c>
      <x:c r="D14" t="str">
        <x:v>White sky / wind</x:v>
      </x:c>
      <x:c r="E14" t="str">
        <x:v>Echo / Delayed damage</x:v>
      </x:c>
      <x:c r="F14" t="str">
        <x:v>Affinity modifies Martial or Magic damage after defence.</x:v>
      </x:c>
      <x:c r="G14" t="str">
        <x:v>Confirmed</x:v>
      </x:c>
      <x:c r="H14" t="str">
        <x:v>Sky uses a timed condition rather than a stacking ailment.</x:v>
      </x:c>
    </x:row>
    <x:row r="15">
      <x:c r="A15" t="str">
        <x:v>Storm</x:v>
      </x:c>
      <x:c r="B15" t="str">
        <x:v>Sky, Water</x:v>
      </x:c>
      <x:c r="C15" t="str">
        <x:v>Earth, Night</x:v>
      </x:c>
      <x:c r="D15" t="str">
        <x:v>Yellow lightning</x:v>
      </x:c>
      <x:c r="E15" t="str">
        <x:v>Shock → Paralysed</x:v>
      </x:c>
      <x:c r="F15" t="str">
        <x:v>Affinity modifies Martial or Magic damage after defence.</x:v>
      </x:c>
      <x:c r="G15" t="str">
        <x:v>Confirmed</x:v>
      </x:c>
      <x:c r="H15" t="str">
        <x:v>Paralysed restricts Energy instead of skipping the full turn.</x:v>
      </x:c>
    </x:row>
    <x:row r="16">
      <x:c r="A16" t="str">
        <x:v>Day</x:v>
      </x:c>
      <x:c r="B16" t="str">
        <x:v>Night, Sky</x:v>
      </x:c>
      <x:c r="C16" t="str">
        <x:v>Earth, Water</x:v>
      </x:c>
      <x:c r="D16" t="str">
        <x:v>Red/orange sun</x:v>
      </x:c>
      <x:c r="E16" t="str">
        <x:v>Burn → Incinerating → Scorched</x:v>
      </x:c>
      <x:c r="F16" t="str">
        <x:v>Affinity modifies Martial or Magic damage after defence.</x:v>
      </x:c>
      <x:c r="G16" t="str">
        <x:v>Confirmed structure</x:v>
      </x:c>
      <x:c r="H16" t="str">
        <x:v>Numerical damage values remain Working Draft.</x:v>
      </x:c>
    </x:row>
    <x:row r="17">
      <x:c r="A17" t="str">
        <x:v>Night</x:v>
      </x:c>
      <x:c r="B17" t="str">
        <x:v>Storm, Water</x:v>
      </x:c>
      <x:c r="C17" t="str">
        <x:v>Day, Sky</x:v>
      </x:c>
      <x:c r="D17" t="str">
        <x:v>Purple spiral / moon</x:v>
      </x:c>
      <x:c r="E17" t="str">
        <x:v>Bleed</x:v>
      </x:c>
      <x:c r="F17" t="str">
        <x:v>Affinity modifies Martial or Magic damage after defence.</x:v>
      </x:c>
      <x:c r="G17" t="str">
        <x:v>Confirmed</x:v>
      </x:c>
      <x:c r="H17" t="str">
        <x:v>Bleed stacks to three and supplies exact Healing Down.</x:v>
      </x:c>
    </x:row>
    <x:row r="18">
      <x:c r="A18" t="str">
        <x:v>Water</x:v>
      </x:c>
      <x:c r="B18" t="str">
        <x:v>Earth, Day</x:v>
      </x:c>
      <x:c r="C18" t="str">
        <x:v>Storm, Night</x:v>
      </x:c>
      <x:c r="D18" t="str">
        <x:v>Blue wave</x:v>
      </x:c>
      <x:c r="E18" t="str">
        <x:v>Chilled → Frozen</x:v>
      </x:c>
      <x:c r="F18" t="str">
        <x:v>Affinity modifies Martial or Magic damage after defence.</x:v>
      </x:c>
      <x:c r="G18" t="str">
        <x:v>Confirmed</x:v>
      </x:c>
      <x:c r="H18" t="str">
        <x:v>Frozen remains the complete turn-denial state.</x:v>
      </x:c>
    </x:row>
    <x:row r="19">
      <x:c r="A19"/>
      <x:c r="B19"/>
      <x:c r="C19"/>
      <x:c r="D19"/>
      <x:c r="E19"/>
      <x:c r="F19"/>
      <x:c r="G19"/>
      <x:c r="H19"/>
    </x:row>
    <x:row r="20">
      <x:c r="A20" t="str">
        <x:v>Stacking Ailments — Working Draft Numerical Values</x:v>
      </x:c>
      <x:c r="B20"/>
      <x:c r="C20"/>
      <x:c r="D20"/>
      <x:c r="E20"/>
      <x:c r="F20"/>
      <x:c r="G20"/>
      <x:c r="H20"/>
    </x:row>
    <x:row r="21">
      <x:c r="A21" t="str">
        <x:v>Ailment</x:v>
      </x:c>
      <x:c r="B21" t="str">
        <x:v>Maximum</x:v>
      </x:c>
      <x:c r="C21" t="str">
        <x:v>Per-Stack Value</x:v>
      </x:c>
      <x:c r="D21" t="str">
        <x:v>Per-Stack Effect</x:v>
      </x:c>
      <x:c r="E21" t="str">
        <x:v>Tick / Timing</x:v>
      </x:c>
      <x:c r="F21" t="str">
        <x:v>Maximum-Stack Resolution</x:v>
      </x:c>
      <x:c r="G21" t="str">
        <x:v>Duration / Refresh</x:v>
      </x:c>
      <x:c r="H21" t="str">
        <x:v>Status</x:v>
      </x:c>
    </x:row>
    <x:row r="22">
      <x:c r="A22" t="str">
        <x:v>Burn</x:v>
      </x:c>
      <x:c r="B22" t="n">
        <x:v>5</x:v>
      </x:c>
      <x:c r="C22" t="n">
        <x:v>0.01</x:v>
      </x:c>
      <x:c r="D22" t="str">
        <x:v>Max Health as Magic damage per stack; reduced by Resolve.</x:v>
      </x:c>
      <x:c r="E22" t="str">
        <x:v>End of the target's turn.</x:v>
      </x:c>
      <x:c r="F22" t="str">
        <x:v>Consume all stacks and become Incinerating.</x:v>
      </x:c>
      <x:c r="G22" t="str">
        <x:v>Three target turns; new stacks refresh the shared duration.</x:v>
      </x:c>
      <x:c r="H22" t="str">
        <x:v>Working Draft values</x:v>
      </x:c>
    </x:row>
    <x:row r="23">
      <x:c r="A23" t="str">
        <x:v>Poison</x:v>
      </x:c>
      <x:c r="B23" t="n">
        <x:v>5</x:v>
      </x:c>
      <x:c r="C23" t="n">
        <x:v>0.0075</x:v>
      </x:c>
      <x:c r="D23" t="str">
        <x:v>Max Health loss per stack; ignores Guard and Resolve.</x:v>
      </x:c>
      <x:c r="E23" t="str">
        <x:v>End of the target's turn.</x:v>
      </x:c>
      <x:c r="F23" t="str">
        <x:v>Consume all stacks and become Toxic.</x:v>
      </x:c>
      <x:c r="G23" t="str">
        <x:v>Three target turns; new stacks refresh the shared duration.</x:v>
      </x:c>
      <x:c r="H23" t="str">
        <x:v>Working Draft values</x:v>
      </x:c>
    </x:row>
    <x:row r="24">
      <x:c r="A24" t="str">
        <x:v>Bleed</x:v>
      </x:c>
      <x:c r="B24" t="n">
        <x:v>3</x:v>
      </x:c>
      <x:c r="C24" t="n">
        <x:v>0.01</x:v>
      </x:c>
      <x:c r="D24" t="str">
        <x:v>Max Health as Martial damage plus 10% Healing Down per stack.</x:v>
      </x:c>
      <x:c r="E24" t="str">
        <x:v>End of the target's turn.</x:v>
      </x:c>
      <x:c r="F24" t="str">
        <x:v>Remain at 3 stacks: 3% damage and 30% Healing Down.</x:v>
      </x:c>
      <x:c r="G24" t="str">
        <x:v>Three target turns; new stacks refresh the shared duration.</x:v>
      </x:c>
      <x:c r="H24" t="str">
        <x:v>Working Draft values</x:v>
      </x:c>
    </x:row>
    <x:row r="25">
      <x:c r="A25" t="str">
        <x:v>Chilled</x:v>
      </x:c>
      <x:c r="B25" t="n">
        <x:v>5</x:v>
      </x:c>
      <x:c r="C25" t="n">
        <x:v>-0.03</x:v>
      </x:c>
      <x:c r="D25" t="str">
        <x:v>Agility per stack.</x:v>
      </x:c>
      <x:c r="E25" t="str">
        <x:v>Continuous while stacks remain.</x:v>
      </x:c>
      <x:c r="F25" t="str">
        <x:v>Consume all stacks and become Frozen.</x:v>
      </x:c>
      <x:c r="G25" t="str">
        <x:v>Three target turns; new stacks refresh the shared duration.</x:v>
      </x:c>
      <x:c r="H25" t="str">
        <x:v>Working Draft values</x:v>
      </x:c>
    </x:row>
    <x:row r="26">
      <x:c r="A26" t="str">
        <x:v>Shock</x:v>
      </x:c>
      <x:c r="B26" t="n">
        <x:v>5</x:v>
      </x:c>
      <x:c r="C26" t="n">
        <x:v>-0.02</x:v>
      </x:c>
      <x:c r="D26" t="str">
        <x:v>Precision percentage points per stack.</x:v>
      </x:c>
      <x:c r="E26" t="str">
        <x:v>Continuous while stacks remain.</x:v>
      </x:c>
      <x:c r="F26" t="str">
        <x:v>Consume all stacks and become Paralysed.</x:v>
      </x:c>
      <x:c r="G26" t="str">
        <x:v>Three target turns; new stacks refresh the shared duration.</x:v>
      </x:c>
      <x:c r="H26" t="str">
        <x:v>Working Draft values</x:v>
      </x:c>
    </x:row>
    <x:row r="27">
      <x:c r="A27"/>
      <x:c r="B27"/>
      <x:c r="C27"/>
      <x:c r="D27"/>
      <x:c r="E27"/>
      <x:c r="F27"/>
      <x:c r="G27"/>
      <x:c r="H27"/>
    </x:row>
    <x:row r="28">
      <x:c r="A28" t="str">
        <x:v>Resolved States and Follow-on Conditions</x:v>
      </x:c>
      <x:c r="B28"/>
      <x:c r="C28"/>
      <x:c r="D28"/>
      <x:c r="E28"/>
      <x:c r="F28"/>
      <x:c r="G28"/>
      <x:c r="H28"/>
    </x:row>
    <x:row r="29">
      <x:c r="A29" t="str">
        <x:v>State</x:v>
      </x:c>
      <x:c r="B29" t="str">
        <x:v>Created By</x:v>
      </x:c>
      <x:c r="C29" t="str">
        <x:v>Effect</x:v>
      </x:c>
      <x:c r="D29" t="str">
        <x:v>Duration</x:v>
      </x:c>
      <x:c r="E29" t="str">
        <x:v>Refresh</x:v>
      </x:c>
      <x:c r="F29" t="str">
        <x:v>Control Safeguard</x:v>
      </x:c>
      <x:c r="G29" t="str">
        <x:v>Equipment Interaction</x:v>
      </x:c>
      <x:c r="H29" t="str">
        <x:v>Status</x:v>
      </x:c>
    </x:row>
    <x:row r="30">
      <x:c r="A30" t="str">
        <x:v>Incinerating</x:v>
      </x:c>
      <x:c r="B30" t="str">
        <x:v>5 Burn stacks</x:v>
      </x:c>
      <x:c r="C30" t="str">
        <x:v>At the end of the target's next turn, take 6% Max Health as Magic damage, then become Scorched.</x:v>
      </x:c>
      <x:c r="D30" t="str">
        <x:v>One target turn.</x:v>
      </x:c>
      <x:c r="E30" t="str">
        <x:v>Cannot be refreshed.</x:v>
      </x:c>
      <x:c r="F30" t="str">
        <x:v>Not hard control.</x:v>
      </x:c>
      <x:c r="G30" t="str">
        <x:v>Burn protection covers Incinerating.</x:v>
      </x:c>
      <x:c r="H30" t="str">
        <x:v>Working Draft value</x:v>
      </x:c>
    </x:row>
    <x:row r="31">
      <x:c r="A31" t="str">
        <x:v>Scorched</x:v>
      </x:c>
      <x:c r="B31" t="str">
        <x:v>Incinerating resolves</x:v>
      </x:c>
      <x:c r="C31" t="str">
        <x:v>Minor Guard Down and Minor Resolve Down.</x:v>
      </x:c>
      <x:c r="D31" t="str">
        <x:v>Until the end of the target's next turn.</x:v>
      </x:c>
      <x:c r="E31" t="str">
        <x:v>Equal applications refresh.</x:v>
      </x:c>
      <x:c r="F31" t="str">
        <x:v>Not hard control.</x:v>
      </x:c>
      <x:c r="G31" t="str">
        <x:v>Uses the Minor tier: −6% to both defences.</x:v>
      </x:c>
      <x:c r="H31" t="str">
        <x:v>Confirmed structure</x:v>
      </x:c>
    </x:row>
    <x:row r="32">
      <x:c r="A32" t="str">
        <x:v>Toxic</x:v>
      </x:c>
      <x:c r="B32" t="str">
        <x:v>5 Poison stacks</x:v>
      </x:c>
      <x:c r="C32" t="str">
        <x:v>Lose 5% Max Health at the end of each of the next two turns; ignores Guard and Resolve.</x:v>
      </x:c>
      <x:c r="D32" t="str">
        <x:v>Two target turns.</x:v>
      </x:c>
      <x:c r="E32" t="str">
        <x:v>Cannot be refreshed.</x:v>
      </x:c>
      <x:c r="F32" t="str">
        <x:v>Not hard control.</x:v>
      </x:c>
      <x:c r="G32" t="str">
        <x:v>Poison protection covers Toxic.</x:v>
      </x:c>
      <x:c r="H32" t="str">
        <x:v>Working Draft value</x:v>
      </x:c>
    </x:row>
    <x:row r="33">
      <x:c r="A33" t="str">
        <x:v>Frozen</x:v>
      </x:c>
      <x:c r="B33" t="str">
        <x:v>5 Chilled stacks</x:v>
      </x:c>
      <x:c r="C33" t="str">
        <x:v>Skip the next turn. Normal EN recovery, cooldown progression and end-of-turn effects still occur.</x:v>
      </x:c>
      <x:c r="D33" t="str">
        <x:v>One skipped turn.</x:v>
      </x:c>
      <x:c r="E33" t="str">
        <x:v>Cannot be refreshed.</x:v>
      </x:c>
      <x:c r="F33" t="str">
        <x:v>Gain Control Resistance after it resolves.</x:v>
      </x:c>
      <x:c r="G33" t="str">
        <x:v>Chill protection covers Frozen.</x:v>
      </x:c>
      <x:c r="H33" t="str">
        <x:v>Confirmed structure</x:v>
      </x:c>
    </x:row>
    <x:row r="34">
      <x:c r="A34" t="str">
        <x:v>Paralysed</x:v>
      </x:c>
      <x:c r="B34" t="str">
        <x:v>5 Shock stacks</x:v>
      </x:c>
      <x:c r="C34" t="str">
        <x:v>After normal EN recovery on the next turn, cap current EN at 2. The bird may still act.</x:v>
      </x:c>
      <x:c r="D34" t="str">
        <x:v>Until the end of that turn.</x:v>
      </x:c>
      <x:c r="E34" t="str">
        <x:v>Cannot be refreshed.</x:v>
      </x:c>
      <x:c r="F34" t="str">
        <x:v>Gain Control Resistance after it resolves.</x:v>
      </x:c>
      <x:c r="G34" t="str">
        <x:v>Shock protection covers Paralysed.</x:v>
      </x:c>
      <x:c r="H34" t="str">
        <x:v>Confirmed structure</x:v>
      </x:c>
    </x:row>
    <x:row r="35">
      <x:c r="A35" t="str">
        <x:v>Control Resistance</x:v>
      </x:c>
      <x:c r="B35" t="str">
        <x:v>Frozen or Paralysed resolves</x:v>
      </x:c>
      <x:c r="C35" t="str">
        <x:v>Cannot gain Chilled or Shock stacks.</x:v>
      </x:c>
      <x:c r="D35" t="str">
        <x:v>Until the end of the bird's next completed turn.</x:v>
      </x:c>
      <x:c r="E35" t="str">
        <x:v>A new resolved control state reapplies it only after that state ends.</x:v>
      </x:c>
      <x:c r="F35" t="str">
        <x:v>Prevents alternating Freeze/Paralysis locks.</x:v>
      </x:c>
      <x:c r="G35" t="str">
        <x:v>Cannot be bypassed by ordinary equipment.</x:v>
      </x:c>
      <x:c r="H35" t="str">
        <x:v>Confirmed</x:v>
      </x:c>
    </x:row>
    <x:row r="36">
      <x:c r="A36"/>
      <x:c r="B36"/>
      <x:c r="C36"/>
      <x:c r="D36"/>
      <x:c r="E36"/>
      <x:c r="F36"/>
      <x:c r="G36"/>
      <x:c r="H36"/>
    </x:row>
    <x:row r="37">
      <x:c r="A37" t="str">
        <x:v>Universal Ailment Rules</x:v>
      </x:c>
      <x:c r="B37"/>
      <x:c r="C37"/>
      <x:c r="D37"/>
      <x:c r="E37"/>
      <x:c r="F37"/>
      <x:c r="G37"/>
      <x:c r="H37"/>
    </x:row>
    <x:row r="38">
      <x:c r="A38" t="str">
        <x:v>Rule</x:v>
      </x:c>
      <x:c r="B38" t="str">
        <x:v>Definition</x:v>
      </x:c>
      <x:c r="C38" t="str">
        <x:v>Status</x:v>
      </x:c>
      <x:c r="D38" t="str">
        <x:v>Implementation Note</x:v>
      </x:c>
      <x:c r="E38"/>
      <x:c r="F38"/>
      <x:c r="G38"/>
      <x:c r="H38"/>
    </x:row>
    <x:row r="39">
      <x:c r="A39" t="str">
        <x:v>Shared duration</x:v>
      </x:c>
      <x:c r="B39" t="str">
        <x:v>Each stacking ailment uses one three-target-turn duration for all of its stacks.</x:v>
      </x:c>
      <x:c r="C39" t="str">
        <x:v>Confirmed structure</x:v>
      </x:c>
      <x:c r="D39" t="str">
        <x:v>Do not track a separate timer per stack.</x:v>
      </x:c>
      <x:c r="E39"/>
      <x:c r="F39"/>
      <x:c r="G39"/>
      <x:c r="H39"/>
    </x:row>
    <x:row r="40">
      <x:c r="A40" t="str">
        <x:v>Refresh</x:v>
      </x:c>
      <x:c r="B40" t="str">
        <x:v>Applying another stack refreshes the entire base-ailment duration.</x:v>
      </x:c>
      <x:c r="C40" t="str">
        <x:v>Confirmed</x:v>
      </x:c>
      <x:c r="D40" t="str">
        <x:v>An equal application is deterministic after a landed hit.</x:v>
      </x:c>
      <x:c r="E40"/>
      <x:c r="F40"/>
      <x:c r="G40"/>
      <x:c r="H40"/>
    </x:row>
    <x:row r="41">
      <x:c r="A41" t="str">
        <x:v>Maximum conversion</x:v>
      </x:c>
      <x:c r="B41" t="str">
        <x:v>Reaching the maximum immediately consumes the base stacks and creates the resolved state.</x:v>
      </x:c>
      <x:c r="C41" t="str">
        <x:v>Confirmed structure</x:v>
      </x:c>
      <x:c r="D41" t="str">
        <x:v>Bleed is the exception: it remains at three stacks.</x:v>
      </x:c>
      <x:c r="E41"/>
      <x:c r="F41"/>
      <x:c r="G41"/>
      <x:c r="H41"/>
    </x:row>
    <x:row r="42">
      <x:c r="A42" t="str">
        <x:v>Resolved lockout</x:v>
      </x:c>
      <x:c r="B42" t="str">
        <x:v>Base stacks cannot be applied while their resolved state is active.</x:v>
      </x:c>
      <x:c r="C42" t="str">
        <x:v>Confirmed</x:v>
      </x:c>
      <x:c r="D42" t="str">
        <x:v>Overflow stacks are discarded.</x:v>
      </x:c>
      <x:c r="E42"/>
      <x:c r="F42"/>
      <x:c r="G42"/>
      <x:c r="H42"/>
    </x:row>
    <x:row r="43">
      <x:c r="A43" t="str">
        <x:v>Tick restrictions</x:v>
      </x:c>
      <x:c r="B43" t="str">
        <x:v>Ailment damage cannot Critical, generate Ultimate Meter, trigger Lifesteal or trigger on-hit effects.</x:v>
      </x:c>
      <x:c r="C43" t="str">
        <x:v>Confirmed</x:v>
      </x:c>
      <x:c r="D43" t="str">
        <x:v>Calculate the full tick before rounding.</x:v>
      </x:c>
      <x:c r="E43"/>
      <x:c r="F43"/>
      <x:c r="G43"/>
      <x:c r="H43"/>
    </x:row>
    <x:row r="44">
      <x:c r="A44" t="str">
        <x:v>Affinity</x:v>
      </x:c>
      <x:c r="B44" t="str">
        <x:v>Ailment ticks do not apply an additional Affinity multiplier.</x:v>
      </x:c>
      <x:c r="C44" t="str">
        <x:v>Confirmed</x:v>
      </x:c>
      <x:c r="D44" t="str">
        <x:v>The action that applied the ailment may still use Affinity normally.</x:v>
      </x:c>
      <x:c r="E44"/>
      <x:c r="F44"/>
      <x:c r="G44"/>
      <x:c r="H44"/>
    </x:row>
    <x:row r="45">
      <x:c r="A45" t="str">
        <x:v>Multi-hit</x:v>
      </x:c>
      <x:c r="B45" t="str">
        <x:v>A damaging multi-hit action applies its ailment rider once if at least one hit lands.</x:v>
      </x:c>
      <x:c r="C45" t="str">
        <x:v>Confirmed</x:v>
      </x:c>
      <x:c r="D45" t="str">
        <x:v>Do not apply a rider per hit.</x:v>
      </x:c>
      <x:c r="E45"/>
      <x:c r="F45"/>
      <x:c r="G45"/>
      <x:c r="H45"/>
    </x:row>
    <x:row r="46">
      <x:c r="A46" t="str">
        <x:v>Per-action limit</x:v>
      </x:c>
      <x:c r="B46" t="str">
        <x:v>Ordinary actions apply no more than 2 stacks of one ailment.</x:v>
      </x:c>
      <x:c r="C46" t="str">
        <x:v>Confirmed structure</x:v>
      </x:c>
      <x:c r="D46" t="str">
        <x:v>Only a telegraphed Ultimate or boss permission may exceed it.</x:v>
      </x:c>
      <x:c r="E46"/>
      <x:c r="F46"/>
      <x:c r="G46"/>
      <x:c r="H46"/>
    </x:row>
    <x:row r="47">
      <x:c r="A47" t="str">
        <x:v>Per-turn limit</x:v>
      </x:c>
      <x:c r="B47" t="str">
        <x:v>A bird applies no more than 4 stacks of the same ailment during its turn.</x:v>
      </x:c>
      <x:c r="C47" t="str">
        <x:v>Confirmed structure</x:v>
      </x:c>
      <x:c r="D47" t="str">
        <x:v>Prevents 4 EN combination loops from resolving hard control immediately.</x:v>
      </x:c>
      <x:c r="E47"/>
      <x:c r="F47"/>
      <x:c r="G47"/>
      <x:c r="H47"/>
    </x:row>
    <x:row r="48">
      <x:c r="A48" t="str">
        <x:v>Application roll</x:v>
      </x:c>
      <x:c r="B48" t="str">
        <x:v>Most technique riders are guaranteed after the attack lands; incidental passives may use one named chance roll per action.</x:v>
      </x:c>
      <x:c r="C48" t="str">
        <x:v>Confirmed structure</x:v>
      </x:c>
      <x:c r="D48" t="str">
        <x:v>Remove a second generic ailment-chance roll from normal techniques.</x:v>
      </x:c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 t="str">
        <x:v>Other Conditions — Not Stacking Ailments</x:v>
      </x:c>
      <x:c r="B50"/>
      <x:c r="C50"/>
      <x:c r="D50"/>
      <x:c r="E50"/>
      <x:c r="F50"/>
      <x:c r="G50"/>
      <x:c r="H50"/>
    </x:row>
    <x:row r="51">
      <x:c r="A51" t="str">
        <x:v>Condition</x:v>
      </x:c>
      <x:c r="B51" t="str">
        <x:v>Definition</x:v>
      </x:c>
      <x:c r="C51" t="str">
        <x:v>Resolution</x:v>
      </x:c>
      <x:c r="D51" t="str">
        <x:v>Tier Use</x:v>
      </x:c>
      <x:c r="E51" t="str">
        <x:v>Stacking</x:v>
      </x:c>
      <x:c r="F51" t="str">
        <x:v>Status</x:v>
      </x:c>
      <x:c r="G51" t="str">
        <x:v>Notes</x:v>
      </x:c>
      <x:c r="H51"/>
    </x:row>
    <x:row r="52">
      <x:c r="A52" t="str">
        <x:v>Delayed</x:v>
      </x:c>
      <x:c r="B52" t="str">
        <x:v>Stores exact damage to resolve at the end of the target's next turn.</x:v>
      </x:c>
      <x:c r="C52" t="str">
        <x:v>Remove after the stored damage resolves.</x:v>
      </x:c>
      <x:c r="D52" t="str">
        <x:v>Exact stored damage; no effect tier.</x:v>
      </x:c>
      <x:c r="E52" t="str">
        <x:v>Separate instances require an explicit permission.</x:v>
      </x:c>
      <x:c r="F52" t="str">
        <x:v>Confirmed</x:v>
      </x:c>
      <x:c r="G52" t="str">
        <x:v>Sky-aligned Echo effects use this condition.</x:v>
      </x:c>
      <x:c r="H52"/>
    </x:row>
    <x:row r="53">
      <x:c r="A53" t="str">
        <x:v>Fear</x:v>
      </x:c>
      <x:c r="B53" t="str">
        <x:v>The target's next damaging action receives Major Damage Down.</x:v>
      </x:c>
      <x:c r="C53" t="str">
        <x:v>Remove after that action resolves.</x:v>
      </x:c>
      <x:c r="D53" t="str">
        <x:v>Major = −12%.</x:v>
      </x:c>
      <x:c r="E53" t="str">
        <x:v>Strongest applies.</x:v>
      </x:c>
      <x:c r="F53" t="str">
        <x:v>Working Draft</x:v>
      </x:c>
      <x:c r="G53" t="str">
        <x:v>Reserved for calls, songs and named control actions.</x:v>
      </x:c>
      <x:c r="H53"/>
    </x:row>
    <x:row r="54">
      <x:c r="A54" t="str">
        <x:v>Confused</x:v>
      </x:c>
      <x:c r="B54" t="str">
        <x:v>The target's next hostile action receives Major Precision Down.</x:v>
      </x:c>
      <x:c r="C54" t="str">
        <x:v>Remove after that action resolves.</x:v>
      </x:c>
      <x:c r="D54" t="str">
        <x:v>Major = −8 percentage points.</x:v>
      </x:c>
      <x:c r="E54" t="str">
        <x:v>Strongest applies.</x:v>
      </x:c>
      <x:c r="F54" t="str">
        <x:v>Working Draft</x:v>
      </x:c>
      <x:c r="G54" t="str">
        <x:v>Reserved for calls, songs and named control actions.</x:v>
      </x:c>
      <x:c r="H54"/>
    </x:row>
    <x:row r="55">
      <x:c r="A55" t="str">
        <x:v>Weakened</x:v>
      </x:c>
      <x:c r="B55" t="str">
        <x:v>Apply Moderate Might Down and Moderate Focus Down.</x:v>
      </x:c>
      <x:c r="C55" t="str">
        <x:v>Until the end of the target's next turn.</x:v>
      </x:c>
      <x:c r="D55" t="str">
        <x:v>Moderate = −8% to both stats.</x:v>
      </x:c>
      <x:c r="E55" t="str">
        <x:v>Strongest same-stat effect applies.</x:v>
      </x:c>
      <x:c r="F55" t="str">
        <x:v>Working Draft</x:v>
      </x:c>
      <x:c r="G55" t="str">
        <x:v>Not a stacking ailment.</x:v>
      </x:c>
      <x:c r="H55"/>
    </x:row>
    <x:row r="56">
      <x:c r="A56" s="107" t="str">
        <x:v>Physical Stacking Ailments — Confirmed</x:v>
      </x:c>
      <x:c r="B56" s="107"/>
      <x:c r="C56" s="107"/>
      <x:c r="D56" s="107"/>
      <x:c r="E56" s="107"/>
      <x:c r="F56" s="107"/>
      <x:c r="G56" s="107"/>
      <x:c r="H56" s="107"/>
    </x:row>
    <x:row r="57">
      <x:c r="A57" s="109" t="str">
        <x:v>Ailment</x:v>
      </x:c>
      <x:c r="B57" s="109" t="str">
        <x:v>Maximum</x:v>
      </x:c>
      <x:c r="C57" s="109" t="str">
        <x:v>Per-Stack Effect</x:v>
      </x:c>
      <x:c r="D57" s="109" t="str">
        <x:v>Tick / Timing</x:v>
      </x:c>
      <x:c r="E57" s="109" t="str">
        <x:v>Maximum-Stack Resolution</x:v>
      </x:c>
      <x:c r="F57" s="109" t="str">
        <x:v>Duration / Refresh</x:v>
      </x:c>
      <x:c r="G57" s="109" t="str">
        <x:v>Gate</x:v>
      </x:c>
      <x:c r="H57" s="109" t="str">
        <x:v>Status</x:v>
      </x:c>
    </x:row>
    <x:row r="58">
      <x:c r="A58" s="41" t="str">
        <x:v>Fracture</x:v>
      </x:c>
      <x:c r="B58" s="41" t="n">
        <x:v>5</x:v>
      </x:c>
      <x:c r="C58" s="41" t="str">
        <x:v>-2 Guard and -4% Armour restoration received per stack.</x:v>
      </x:c>
      <x:c r="D58" s="41" t="str">
        <x:v>Continuous while stacks remain.</x:v>
      </x:c>
      <x:c r="E58" s="41" t="str">
        <x:v>Consume all stacks and become Shattered.</x:v>
      </x:c>
      <x:c r="F58" s="41" t="str">
        <x:v>Three target turns; new stacks refresh the shared duration.</x:v>
      </x:c>
      <x:c r="G58" s="41" t="str">
        <x:v>Physical / Armour-gated</x:v>
      </x:c>
      <x:c r="H58" s="41" t="str">
        <x:v>Confirmed</x:v>
      </x:c>
    </x:row>
    <x:row r="59">
      <x:c r="A59" s="41" t="str">
        <x:v>Crippled</x:v>
      </x:c>
      <x:c r="B59" s="41" t="n">
        <x:v>5</x:v>
      </x:c>
      <x:c r="C59" s="41" t="str">
        <x:v>-2 Agility and -2 percentage points Dodge per stack.</x:v>
      </x:c>
      <x:c r="D59" s="41" t="str">
        <x:v>Continuous while stacks remain.</x:v>
      </x:c>
      <x:c r="E59" s="41" t="str">
        <x:v>Consume all stacks and become Immobilised.</x:v>
      </x:c>
      <x:c r="F59" s="41" t="str">
        <x:v>Three target turns; new stacks refresh the shared duration.</x:v>
      </x:c>
      <x:c r="G59" s="41" t="str">
        <x:v>Physical / Armour-gated</x:v>
      </x:c>
      <x:c r="H59" s="41" t="str">
        <x:v>Confirmed</x:v>
      </x:c>
    </x:row>
    <x:row r="60">
      <x:c r="A60" s="41" t="str">
        <x:v>Dazed</x:v>
      </x:c>
      <x:c r="B60" s="41" t="n">
        <x:v>5</x:v>
      </x:c>
      <x:c r="C60" s="41" t="str">
        <x:v>-4 Precision and -2 Skill Power per stack.</x:v>
      </x:c>
      <x:c r="D60" s="41" t="str">
        <x:v>Continuous while stacks remain.</x:v>
      </x:c>
      <x:c r="E60" s="41" t="str">
        <x:v>Consume all stacks and become Concussed.</x:v>
      </x:c>
      <x:c r="F60" s="41" t="str">
        <x:v>Three target turns; new stacks refresh the shared duration.</x:v>
      </x:c>
      <x:c r="G60" s="41" t="str">
        <x:v>Physical / Armour-gated</x:v>
      </x:c>
      <x:c r="H60" s="41" t="str">
        <x:v>Confirmed</x:v>
      </x:c>
    </x:row>
    <x:row r="61">
      <x:c r="A61" s="41"/>
      <x:c r="B61" s="41"/>
      <x:c r="C61" s="41"/>
      <x:c r="D61" s="41"/>
      <x:c r="E61" s="41"/>
      <x:c r="F61" s="41"/>
      <x:c r="G61" s="41"/>
      <x:c r="H61" s="41"/>
    </x:row>
    <x:row r="62">
      <x:c r="A62" s="107" t="str">
        <x:v>Physical Resolved States</x:v>
      </x:c>
      <x:c r="B62" s="107"/>
      <x:c r="C62" s="107"/>
      <x:c r="D62" s="107"/>
      <x:c r="E62" s="107"/>
      <x:c r="F62" s="107"/>
      <x:c r="G62" s="107"/>
      <x:c r="H62" s="107"/>
    </x:row>
    <x:row r="63">
      <x:c r="A63" s="109" t="str">
        <x:v>State</x:v>
      </x:c>
      <x:c r="B63" s="109" t="str">
        <x:v>Created By</x:v>
      </x:c>
      <x:c r="C63" s="109" t="str">
        <x:v>Effect</x:v>
      </x:c>
      <x:c r="D63" s="109" t="str">
        <x:v>Duration</x:v>
      </x:c>
      <x:c r="E63" s="109" t="str">
        <x:v>Refresh</x:v>
      </x:c>
      <x:c r="F63" s="109" t="str">
        <x:v>Control Safeguard</x:v>
      </x:c>
      <x:c r="G63" s="109" t="str">
        <x:v>Equipment Interaction</x:v>
      </x:c>
      <x:c r="H63" s="109" t="str">
        <x:v>Status</x:v>
      </x:c>
    </x:row>
    <x:row r="64">
      <x:c r="A64" s="41" t="str">
        <x:v>Shattered</x:v>
      </x:c>
      <x:c r="B64" s="41" t="str">
        <x:v>5 Fracture stacks</x:v>
      </x:c>
      <x:c r="C64" s="41" t="str">
        <x:v>For 2 turns: -10 Guard, -25% Armour restoration and Fortify healing received; physical attacks gain +3 effective penetration.</x:v>
      </x:c>
      <x:c r="D64" s="41" t="str">
        <x:v>Two target turns.</x:v>
      </x:c>
      <x:c r="E64" s="41" t="str">
        <x:v>Cannot be refreshed.</x:v>
      </x:c>
      <x:c r="F64" s="41" t="str">
        <x:v>Not hard control.</x:v>
      </x:c>
      <x:c r="G64" s="41" t="str">
        <x:v>Physical ailment resistance covers Fracture and Shattered.</x:v>
      </x:c>
      <x:c r="H64" s="41" t="str">
        <x:v>Confirmed</x:v>
      </x:c>
    </x:row>
    <x:row r="65">
      <x:c r="A65" s="41" t="str">
        <x:v>Immobilised</x:v>
      </x:c>
      <x:c r="B65" s="41" t="str">
        <x:v>5 Crippled stacks</x:v>
      </x:c>
      <x:c r="C65" s="41" t="str">
        <x:v>For 1 turn: Dodge becomes 0%; mobility, retreat, charge and evasive utility skills cannot be used. The target may still attack normally.</x:v>
      </x:c>
      <x:c r="D65" s="41" t="str">
        <x:v>One target turn.</x:v>
      </x:c>
      <x:c r="E65" s="41" t="str">
        <x:v>Cannot be refreshed.</x:v>
      </x:c>
      <x:c r="F65" s="41" t="str">
        <x:v>Not full turn denial.</x:v>
      </x:c>
      <x:c r="G65" s="41" t="str">
        <x:v>Physical ailment resistance covers Crippled and Immobilised.</x:v>
      </x:c>
      <x:c r="H65" s="41" t="str">
        <x:v>Confirmed</x:v>
      </x:c>
    </x:row>
    <x:row r="66">
      <x:c r="A66" s="41" t="str">
        <x:v>Concussed</x:v>
      </x:c>
      <x:c r="B66" s="41" t="str">
        <x:v>5 Dazed stacks</x:v>
      </x:c>
      <x:c r="C66" s="41" t="str">
        <x:v>For 1 turn: -20 Precision and -15 Skill Power. The next offensive skill costs +1 EN, then Concussed ends. Basic Attack remains 1 EN.</x:v>
      </x:c>
      <x:c r="D66" s="41" t="str">
        <x:v>Until the next offensive skill or end of the target's turn.</x:v>
      </x:c>
      <x:c r="E66" s="41" t="str">
        <x:v>Cannot be refreshed.</x:v>
      </x:c>
      <x:c r="F66" s="41" t="str">
        <x:v>Does not prevent acting.</x:v>
      </x:c>
      <x:c r="G66" s="41" t="str">
        <x:v>Physical ailment resistance covers Dazed and Concussed.</x:v>
      </x:c>
      <x:c r="H66" s="41" t="str">
        <x:v>Confirmed</x:v>
      </x:c>
    </x:row>
  </x:sheetData>
  <x:mergeCells>
    <x:mergeCell ref="A1:H1"/>
    <x:mergeCell ref="A2:H2"/>
    <x:mergeCell ref="A20:H20"/>
    <x:mergeCell ref="A28:H28"/>
    <x:mergeCell ref="A37:H37"/>
    <x:mergeCell ref="A50:H50"/>
    <x:mergeCell ref="A56:H56"/>
    <x:mergeCell ref="A62:H6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0" hidden="0" customWidth="1"/>
    <x:col min="4" max="4" width="16" hidden="0" customWidth="1"/>
    <x:col min="5" max="5" width="46" hidden="0" customWidth="1"/>
    <x:col min="6" max="6" width="28" hidden="0" customWidth="1"/>
    <x:col min="7" max="7" width="20" hidden="0" customWidth="1"/>
    <x:col min="8" max="8" width="56" hidden="0" customWidth="1"/>
    <x:col min="9" max="9" width="40" hidden="0" customWidth="1"/>
  </x:cols>
  <x:sheetData>
    <x:row r="1">
      <x:c r="A1" s="4" t="str">
        <x:v>Stat Definitions — Weapon-First Model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0" t="str">
        <x:v>Confirmed v0.8 conversions. Core equipment attributes are flat-only.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/>
      <x:c r="B3"/>
      <x:c r="C3"/>
      <x:c r="D3"/>
      <x:c r="E3"/>
      <x:c r="F3"/>
      <x:c r="G3"/>
      <x:c r="H3"/>
      <x:c r="I3"/>
    </x:row>
    <x:row r="4">
      <x:c r="A4" s="17" t="str">
        <x:v>Order</x:v>
      </x:c>
      <x:c r="B4" s="17" t="str">
        <x:v>Stat ID</x:v>
      </x:c>
      <x:c r="C4" s="17" t="str">
        <x:v>Display Name</x:v>
      </x:c>
      <x:c r="D4" s="17" t="str">
        <x:v>Category</x:v>
      </x:c>
      <x:c r="E4" s="17" t="str">
        <x:v>Conversion</x:v>
      </x:c>
      <x:c r="F4" s="17" t="str">
        <x:v>Equipment Rule</x:v>
      </x:c>
      <x:c r="G4" s="17" t="str">
        <x:v>Cap</x:v>
      </x:c>
      <x:c r="H4" s="17" t="str">
        <x:v>Formula</x:v>
      </x:c>
      <x:c r="I4" s="17" t="str">
        <x:v>Notes</x:v>
      </x:c>
    </x:row>
    <x:row r="5">
      <x:c r="A5" s="24" t="n">
        <x:v>1</x:v>
      </x:c>
      <x:c r="B5" s="24" t="str">
        <x:v>HPBase</x:v>
      </x:c>
      <x:c r="C5" s="24" t="str">
        <x:v>Base Health</x:v>
      </x:c>
      <x:c r="D5" s="24" t="str">
        <x:v>Health</x:v>
      </x:c>
      <x:c r="E5" s="24" t="str">
        <x:v>Real-size Base Health before Vitality</x:v>
      </x:c>
      <x:c r="F5" s="24" t="str">
        <x:v>Not a normal item roll</x:v>
      </x:c>
      <x:c r="G5" s="24" t="str">
        <x:v>Boss exceptions explicit</x:v>
      </x:c>
      <x:c r="H5" s="24" t="str">
        <x:v>Tiny 8 / Small 10 / Medium 12 / Large 14 / Very Large 16 / Giant 18 / Boss Override 20</x:v>
      </x:c>
      <x:c r="I5" s="24" t="str">
        <x:v>Universal +20 Health removed in v0.9.</x:v>
      </x:c>
    </x:row>
    <x:row r="6">
      <x:c r="A6" s="24" t="n">
        <x:v>2</x:v>
      </x:c>
      <x:c r="B6" s="24" t="str">
        <x:v>VIT</x:v>
      </x:c>
      <x:c r="C6" s="24" t="str">
        <x:v>Vitality</x:v>
      </x:c>
      <x:c r="D6" s="24" t="str">
        <x:v>Health</x:v>
      </x:c>
      <x:c r="E6" s="24" t="str">
        <x:v>+5% Base Health per point</x:v>
      </x:c>
      <x:c r="F6" s="24" t="str">
        <x:v>Flat only</x:v>
      </x:c>
      <x:c r="G6" s="24" t="str">
        <x:v>No separate stat cap</x:v>
      </x:c>
      <x:c r="H6" s="24" t="str">
        <x:v>Max Health = Base Health × (1 + 0.05 × Final Vitality)</x:v>
      </x:c>
      <x:c r="I6" s="24" t="str">
        <x:v>Buffs change flat Vitality first.</x:v>
      </x:c>
    </x:row>
    <x:row r="7">
      <x:c r="A7" s="24" t="n">
        <x:v>3</x:v>
      </x:c>
      <x:c r="B7" s="24" t="str">
        <x:v>MIG</x:v>
      </x:c>
      <x:c r="C7" s="24" t="str">
        <x:v>Might</x:v>
      </x:c>
      <x:c r="D7" s="24" t="str">
        <x:v>Offence</x:v>
      </x:c>
      <x:c r="E7" s="24" t="str">
        <x:v>+2.5 percentage points Physical Strength damage per point</x:v>
      </x:c>
      <x:c r="F7" s="24" t="str">
        <x:v>Flat only</x:v>
      </x:c>
      <x:c r="G7" s="24" t="str">
        <x:v>No separate stat cap</x:v>
      </x:c>
      <x:c r="H7" s="24" t="str">
        <x:v>Weapon × ((Skill Power + Might × 2.5) ÷ 100)</x:v>
      </x:c>
      <x:c r="I7" s="24" t="str">
        <x:v>Strength weapons only.</x:v>
      </x:c>
    </x:row>
    <x:row r="8">
      <x:c r="A8" s="24" t="n">
        <x:v>4</x:v>
      </x:c>
      <x:c r="B8" s="24" t="str">
        <x:v>DEX</x:v>
      </x:c>
      <x:c r="C8" s="24" t="str">
        <x:v>Dexterity</x:v>
      </x:c>
      <x:c r="D8" s="24" t="str">
        <x:v>Offence</x:v>
      </x:c>
      <x:c r="E8" s="24" t="str">
        <x:v>+2.5 percentage points Physical Finesse damage per point</x:v>
      </x:c>
      <x:c r="F8" s="24" t="str">
        <x:v>Flat only</x:v>
      </x:c>
      <x:c r="G8" s="24" t="str">
        <x:v>No separate stat cap</x:v>
      </x:c>
      <x:c r="H8" s="24" t="str">
        <x:v>Weapon × ((Skill Power + Dexterity × 2.5) ÷ 100)</x:v>
      </x:c>
      <x:c r="I8" s="24" t="str">
        <x:v>Rogue/finesse weapons.</x:v>
      </x:c>
    </x:row>
    <x:row r="9">
      <x:c r="A9" s="24" t="n">
        <x:v>5</x:v>
      </x:c>
      <x:c r="B9" s="24" t="str">
        <x:v>FOC</x:v>
      </x:c>
      <x:c r="C9" s="24" t="str">
        <x:v>Focus</x:v>
      </x:c>
      <x:c r="D9" s="24" t="str">
        <x:v>Offence</x:v>
      </x:c>
      <x:c r="E9" s="24" t="str">
        <x:v>+2.5 percentage points Magic damage per point</x:v>
      </x:c>
      <x:c r="F9" s="24" t="str">
        <x:v>Flat only</x:v>
      </x:c>
      <x:c r="G9" s="24" t="str">
        <x:v>No separate stat cap</x:v>
      </x:c>
      <x:c r="H9" s="24" t="str">
        <x:v>Weapon × ((Skill Power + Focus × 2.5) ÷ 100)</x:v>
      </x:c>
      <x:c r="I9" s="24" t="str">
        <x:v>Magic weapons.</x:v>
      </x:c>
    </x:row>
    <x:row r="10">
      <x:c r="A10" s="24" t="n">
        <x:v>6</x:v>
      </x:c>
      <x:c r="B10" s="24" t="str">
        <x:v>GRD</x:v>
      </x:c>
      <x:c r="C10" s="24" t="str">
        <x:v>Guard</x:v>
      </x:c>
      <x:c r="D10" s="24" t="str">
        <x:v>Defence</x:v>
      </x:c>
      <x:c r="E10" s="24" t="str">
        <x:v>2.5 Physical mitigation rating per point</x:v>
      </x:c>
      <x:c r="F10" s="24" t="str">
        <x:v>Flat only</x:v>
      </x:c>
      <x:c r="G10" s="24" t="str">
        <x:v>75% final mitigation</x:v>
      </x:c>
      <x:c r="H10" s="24" t="str">
        <x:v>MIN(75%, Rating ÷ (100 + Rating))</x:v>
      </x:c>
      <x:c r="I10" s="24" t="str">
        <x:v>Penetration reduces Guard first.</x:v>
      </x:c>
    </x:row>
    <x:row r="11">
      <x:c r="A11" s="24" t="n">
        <x:v>7</x:v>
      </x:c>
      <x:c r="B11" s="24" t="str">
        <x:v>RES</x:v>
      </x:c>
      <x:c r="C11" s="24" t="str">
        <x:v>Resolve</x:v>
      </x:c>
      <x:c r="D11" s="24" t="str">
        <x:v>Defence</x:v>
      </x:c>
      <x:c r="E11" s="24" t="str">
        <x:v>2.5 Magic mitigation rating per point</x:v>
      </x:c>
      <x:c r="F11" s="24" t="str">
        <x:v>Flat only</x:v>
      </x:c>
      <x:c r="G11" s="24" t="str">
        <x:v>75% final mitigation</x:v>
      </x:c>
      <x:c r="H11" s="24" t="str">
        <x:v>MIN(75%, Rating ÷ (100 + Rating))</x:v>
      </x:c>
      <x:c r="I11" s="24" t="str">
        <x:v>Penetration reduces Resolve first.</x:v>
      </x:c>
    </x:row>
    <x:row r="12">
      <x:c r="A12" s="24" t="n">
        <x:v>8</x:v>
      </x:c>
      <x:c r="B12" s="24" t="str">
        <x:v>AGI</x:v>
      </x:c>
      <x:c r="C12" s="24" t="str">
        <x:v>Agility</x:v>
      </x:c>
      <x:c r="D12" s="24" t="str">
        <x:v>Tempo</x:v>
      </x:c>
      <x:c r="E12" s="24" t="str">
        <x:v>Direct turn-order comparison; +0.5% Dodge per point</x:v>
      </x:c>
      <x:c r="F12" s="24" t="str">
        <x:v>Flat only</x:v>
      </x:c>
      <x:c r="G12" s="24" t="str">
        <x:v>50% Dodge</x:v>
      </x:c>
      <x:c r="H12" s="24" t="str">
        <x:v>MIN(50%, Agility × 0.5%)</x:v>
      </x:c>
      <x:c r="I12" s="24" t="str">
        <x:v>Agility above 100 still affects turn order.</x:v>
      </x:c>
    </x:row>
    <x:row r="13">
      <x:c r="A13" s="24" t="n">
        <x:v>9</x:v>
      </x:c>
      <x:c r="B13" s="24" t="str">
        <x:v>CRIT</x:v>
      </x:c>
      <x:c r="C13" s="24" t="str">
        <x:v>Critical Chance</x:v>
      </x:c>
      <x:c r="D13" s="24" t="str">
        <x:v>Secondary</x:v>
      </x:c>
      <x:c r="E13" s="24" t="str">
        <x:v>Percentage-point chance</x:v>
      </x:c>
      <x:c r="F13" s="24" t="str">
        <x:v>Controlled percentage points</x:v>
      </x:c>
      <x:c r="G13" s="24" t="str">
        <x:v>50% recommended</x:v>
      </x:c>
      <x:c r="H13" s="24" t="str">
        <x:v>Base + equipment + effects</x:v>
      </x:c>
      <x:c r="I13" s="24" t="str">
        <x:v>Not a core stat.</x:v>
      </x:c>
    </x:row>
    <x:row r="14">
      <x:c r="A14" s="24" t="n">
        <x:v>10</x:v>
      </x:c>
      <x:c r="B14" s="24" t="str">
        <x:v>FER</x:v>
      </x:c>
      <x:c r="C14" s="24" t="str">
        <x:v>Ferocity</x:v>
      </x:c>
      <x:c r="D14" s="24" t="str">
        <x:v>Secondary</x:v>
      </x:c>
      <x:c r="E14" s="24" t="str">
        <x:v>Critical damage multiplier</x:v>
      </x:c>
      <x:c r="F14" s="24" t="str">
        <x:v>Small flat multiplier additions only</x:v>
      </x:c>
      <x:c r="G14" s="24" t="str">
        <x:v>2.00× recommended</x:v>
      </x:c>
      <x:c r="H14" s="24" t="str">
        <x:v>Base Ferocity + equipment</x:v>
      </x:c>
      <x:c r="I14" s="24" t="str">
        <x:v>Not multiplied by rarity.</x:v>
      </x:c>
    </x:row>
    <x:row r="15">
      <x:c r="A15" s="24" t="n">
        <x:v>11</x:v>
      </x:c>
      <x:c r="B15" s="24" t="str">
        <x:v>PEN-P</x:v>
      </x:c>
      <x:c r="C15" s="24" t="str">
        <x:v>Physical Penetration</x:v>
      </x:c>
      <x:c r="D15" s="24" t="str">
        <x:v>Secondary</x:v>
      </x:c>
      <x:c r="E15" s="24" t="str">
        <x:v>Reduces flat Guard before rating conversion</x:v>
      </x:c>
      <x:c r="F15" s="24" t="str">
        <x:v>Controlled percentage or flat named effects</x:v>
      </x:c>
      <x:c r="G15" s="24" t="str">
        <x:v>40% recommended</x:v>
      </x:c>
      <x:c r="H15" s="24" t="str">
        <x:v>Effective Guard = MAX(0, Guard × (1 − Pen%))</x:v>
      </x:c>
      <x:c r="I15" s="24" t="str">
        <x:v>Flat penetration can be added before percentage penetration.</x:v>
      </x:c>
    </x:row>
    <x:row r="16">
      <x:c r="A16" s="24" t="n">
        <x:v>12</x:v>
      </x:c>
      <x:c r="B16" s="24" t="str">
        <x:v>PEN-M</x:v>
      </x:c>
      <x:c r="C16" s="24" t="str">
        <x:v>Magic Penetration</x:v>
      </x:c>
      <x:c r="D16" s="24" t="str">
        <x:v>Secondary</x:v>
      </x:c>
      <x:c r="E16" s="24" t="str">
        <x:v>Reduces flat Resolve before rating conversion</x:v>
      </x:c>
      <x:c r="F16" s="24" t="str">
        <x:v>Controlled percentage or flat named effects</x:v>
      </x:c>
      <x:c r="G16" s="24" t="str">
        <x:v>40% recommended</x:v>
      </x:c>
      <x:c r="H16" s="24" t="str">
        <x:v>Effective Resolve = MAX(0, Resolve × (1 − Pen%))</x:v>
      </x:c>
      <x:c r="I16" s="24" t="str">
        <x:v>Same order as Physical.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30" hidden="0" customWidth="1"/>
    <x:col min="5" max="5" width="30" hidden="0" customWidth="1"/>
    <x:col min="6" max="6" width="28" hidden="0" customWidth="1"/>
    <x:col min="7" max="7" width="34" hidden="0" customWidth="1"/>
    <x:col min="8" max="8" width="34" hidden="0" customWidth="1"/>
    <x:col min="9" max="9" width="60" hidden="0" customWidth="1"/>
  </x:cols>
  <x:sheetData>
    <x:row r="1">
      <x:c r="A1" s="4" t="str">
        <x:v>Flat Buff and Debuff Tiers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0" t="str">
        <x:v>Minor, Moderate and Major are flat stat changes. Their percentages are consequences of the core conversion rules.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/>
      <x:c r="B3"/>
      <x:c r="C3"/>
      <x:c r="D3"/>
      <x:c r="E3"/>
      <x:c r="F3"/>
      <x:c r="G3"/>
      <x:c r="H3"/>
      <x:c r="I3"/>
    </x:row>
    <x:row r="4">
      <x:c r="A4" s="17" t="str">
        <x:v>Tier</x:v>
      </x:c>
      <x:c r="B4" s="17" t="str">
        <x:v>Flat Buff</x:v>
      </x:c>
      <x:c r="C4" s="17" t="str">
        <x:v>Flat Debuff</x:v>
      </x:c>
      <x:c r="D4" s="17" t="str">
        <x:v>Offensive Conversion</x:v>
      </x:c>
      <x:c r="E4" s="17" t="str">
        <x:v>Agility/Dodge Conversion</x:v>
      </x:c>
      <x:c r="F4" s="17" t="str">
        <x:v>Vitality Conversion</x:v>
      </x:c>
      <x:c r="G4" s="17" t="str">
        <x:v>Normal Use</x:v>
      </x:c>
      <x:c r="H4" s="17" t="str">
        <x:v>Stacking Rule</x:v>
      </x:c>
      <x:c r="I4" s="17" t="str">
        <x:v>Example</x:v>
      </x:c>
    </x:row>
    <x:row r="5">
      <x:c r="A5" s="24" t="str">
        <x:v>Minor</x:v>
      </x:c>
      <x:c r="B5" s="24" t="n">
        <x:v>4</x:v>
      </x:c>
      <x:c r="C5" s="24" t="n">
        <x:v>-4</x:v>
      </x:c>
      <x:c r="D5" s="24" t="str">
        <x:v>±10 percentage points weapon scaling</x:v>
      </x:c>
      <x:c r="E5" s="24" t="str">
        <x:v>±2% Dodge and turn-order change</x:v>
      </x:c>
      <x:c r="F5" s="24" t="str">
        <x:v>±20% Base Health contribution</x:v>
      </x:c>
      <x:c r="G5" s="24" t="str">
        <x:v>Common short rider</x:v>
      </x:c>
      <x:c r="H5" s="24" t="str">
        <x:v>Strongest same direction applies</x:v>
      </x:c>
      <x:c r="I5" s="24" t="str">
        <x:v>Minor Dexterity Up: +4 Dexterity; a 90% dagger skill gains 10 percentage points.</x:v>
      </x:c>
    </x:row>
    <x:row r="6">
      <x:c r="A6" s="24" t="str">
        <x:v>Moderate</x:v>
      </x:c>
      <x:c r="B6" s="24" t="n">
        <x:v>10</x:v>
      </x:c>
      <x:c r="C6" s="24" t="n">
        <x:v>-10</x:v>
      </x:c>
      <x:c r="D6" s="24" t="str">
        <x:v>±25 percentage points weapon scaling</x:v>
      </x:c>
      <x:c r="E6" s="24" t="str">
        <x:v>±5% Dodge and turn-order change</x:v>
      </x:c>
      <x:c r="F6" s="24" t="str">
        <x:v>±50% Base Health contribution</x:v>
      </x:c>
      <x:c r="G6" s="24" t="str">
        <x:v>Meaningful cost/condition</x:v>
      </x:c>
      <x:c r="H6" s="24" t="str">
        <x:v>Strongest same direction applies</x:v>
      </x:c>
      <x:c r="I6" s="24" t="str">
        <x:v>Moderate Guard Down removes 10 Guard before mitigation conversion.</x:v>
      </x:c>
    </x:row>
    <x:row r="7">
      <x:c r="A7" s="24" t="str">
        <x:v>Major</x:v>
      </x:c>
      <x:c r="B7" s="24" t="n">
        <x:v>20</x:v>
      </x:c>
      <x:c r="C7" s="24" t="n">
        <x:v>-20</x:v>
      </x:c>
      <x:c r="D7" s="24" t="str">
        <x:v>±50 percentage points weapon scaling</x:v>
      </x:c>
      <x:c r="E7" s="24" t="str">
        <x:v>±10% Dodge and turn-order change</x:v>
      </x:c>
      <x:c r="F7" s="24" t="str">
        <x:v>±100% Base Health contribution</x:v>
      </x:c>
      <x:c r="G7" s="24" t="str">
        <x:v>Ultimate, difficult setup or one-turn effect</x:v>
      </x:c>
      <x:c r="H7" s="24" t="str">
        <x:v>Strongest same direction applies</x:v>
      </x:c>
      <x:c r="I7" s="24" t="str">
        <x:v>Major Focus Up grants +20 Focus; it does not multiply the final attack.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22" hidden="0" customWidth="1"/>
    <x:col min="9" max="9" width="18" hidden="0" customWidth="1"/>
    <x:col min="10" max="10" width="16" hidden="0" customWidth="1"/>
    <x:col min="11" max="11" width="14" hidden="0" customWidth="1"/>
    <x:col min="12" max="12" width="20" hidden="0" customWidth="1"/>
  </x:cols>
  <x:sheetData>
    <x:row r="1">
      <x:c r="A1" s="4" t="str">
        <x:v>Data Lists and Validation Sources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0" t="str">
        <x:v>Support lists for the active v0.8 sheets.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>
      <x:c r="A4" s="17" t="str">
        <x:v>Rarity</x:v>
      </x:c>
      <x:c r="B4" s="17" t="str">
        <x:v>Rank</x:v>
      </x:c>
      <x:c r="C4" s="17" t="str">
        <x:v>Damage Factor</x:v>
      </x:c>
      <x:c r="D4" s="17" t="str">
        <x:v>Core Roll</x:v>
      </x:c>
      <x:c r="E4" s="17" t="str">
        <x:v>Vitality Roll</x:v>
      </x:c>
      <x:c r="F4" s="17" t="str">
        <x:v>Attribute Lines</x:v>
      </x:c>
      <x:c r="G4" s="17" t="str">
        <x:v>Class</x:v>
      </x:c>
      <x:c r="H4" s="17" t="str">
        <x:v>Damage Type</x:v>
      </x:c>
      <x:c r="I4" s="17" t="str">
        <x:v>Scaling Stat</x:v>
      </x:c>
      <x:c r="J4" s="17" t="str">
        <x:v>Effect Tier</x:v>
      </x:c>
      <x:c r="K4" s="17" t="str">
        <x:v>Flat Value</x:v>
      </x:c>
      <x:c r="L4" s="17" t="str">
        <x:v>Equipment IDs</x:v>
      </x:c>
    </x:row>
    <x:row r="5">
      <x:c r="A5" s="24" t="str">
        <x:v>Grey</x:v>
      </x:c>
      <x:c r="B5" s="24" t="n">
        <x:v>1</x:v>
      </x:c>
      <x:c r="C5" s="24" t="n">
        <x:v>1</x:v>
      </x:c>
      <x:c r="D5" s="24" t="n">
        <x:v>1</x:v>
      </x:c>
      <x:c r="E5" s="24" t="n">
        <x:v>1</x:v>
      </x:c>
      <x:c r="F5" s="24" t="n">
        <x:v>1</x:v>
      </x:c>
      <x:c r="G5" s="24" t="str">
        <x:v>Knight</x:v>
      </x:c>
      <x:c r="H5" s="24" t="str">
        <x:v>Physical Strength</x:v>
      </x:c>
      <x:c r="I5" s="24" t="str">
        <x:v>Might</x:v>
      </x:c>
      <x:c r="J5" s="24" t="str">
        <x:v>Minor</x:v>
      </x:c>
      <x:c r="K5" s="24" t="n">
        <x:v>4</x:v>
      </x:c>
      <x:c r="L5" s="24" t="str">
        <x:v>EQ-TB-GRY</x:v>
      </x:c>
    </x:row>
    <x:row r="6">
      <x:c r="A6" s="24" t="str">
        <x:v>Green</x:v>
      </x:c>
      <x:c r="B6" s="24" t="n">
        <x:v>2</x:v>
      </x:c>
      <x:c r="C6" s="24" t="n">
        <x:v>1.25</x:v>
      </x:c>
      <x:c r="D6" s="24" t="n">
        <x:v>2</x:v>
      </x:c>
      <x:c r="E6" s="24" t="n">
        <x:v>1</x:v>
      </x:c>
      <x:c r="F6" s="24" t="n">
        <x:v>2</x:v>
      </x:c>
      <x:c r="G6" s="24" t="str">
        <x:v>Rogue</x:v>
      </x:c>
      <x:c r="H6" s="24" t="str">
        <x:v>Physical Finesse</x:v>
      </x:c>
      <x:c r="I6" s="24" t="str">
        <x:v>Dexterity</x:v>
      </x:c>
      <x:c r="J6" s="24" t="str">
        <x:v>Moderate</x:v>
      </x:c>
      <x:c r="K6" s="24" t="n">
        <x:v>10</x:v>
      </x:c>
      <x:c r="L6" s="24" t="str">
        <x:v>EQ-TB-GRN</x:v>
      </x:c>
    </x:row>
    <x:row r="7">
      <x:c r="A7" s="24" t="str">
        <x:v>Blue</x:v>
      </x:c>
      <x:c r="B7" s="24" t="n">
        <x:v>3</x:v>
      </x:c>
      <x:c r="C7" s="24" t="n">
        <x:v>1.55</x:v>
      </x:c>
      <x:c r="D7" s="24" t="n">
        <x:v>3</x:v>
      </x:c>
      <x:c r="E7" s="24" t="n">
        <x:v>2</x:v>
      </x:c>
      <x:c r="F7" s="24" t="n">
        <x:v>2</x:v>
      </x:c>
      <x:c r="G7" s="24" t="str">
        <x:v>Mage</x:v>
      </x:c>
      <x:c r="H7" s="24" t="str">
        <x:v>Magic</x:v>
      </x:c>
      <x:c r="I7" s="24" t="str">
        <x:v>Focus</x:v>
      </x:c>
      <x:c r="J7" s="24" t="str">
        <x:v>Major</x:v>
      </x:c>
      <x:c r="K7" s="24" t="n">
        <x:v>20</x:v>
      </x:c>
      <x:c r="L7" s="24" t="str">
        <x:v>EQ-TB-BLU</x:v>
      </x:c>
    </x:row>
    <x:row r="8">
      <x:c r="A8" s="24" t="str">
        <x:v>Purple</x:v>
      </x:c>
      <x:c r="B8" s="24" t="n">
        <x:v>4</x:v>
      </x:c>
      <x:c r="C8" s="24" t="n">
        <x:v>1.9</x:v>
      </x:c>
      <x:c r="D8" s="24" t="n">
        <x:v>4</x:v>
      </x:c>
      <x:c r="E8" s="24" t="n">
        <x:v>3</x:v>
      </x:c>
      <x:c r="F8" s="24" t="n">
        <x:v>3</x:v>
      </x:c>
      <x:c r="G8" s="24" t="str">
        <x:v>Siren</x:v>
      </x:c>
      <x:c r="H8" s="24" t="str">
        <x:v>Hybrid</x:v>
      </x:c>
      <x:c r="I8" s="24" t="str">
        <x:v>Guard</x:v>
      </x:c>
      <x:c r="J8" s="24"/>
      <x:c r="K8" s="24"/>
      <x:c r="L8" s="24" t="str">
        <x:v>EQ-TB-PUR</x:v>
      </x:c>
    </x:row>
    <x:row r="9">
      <x:c r="A9" s="24" t="str">
        <x:v>Gold</x:v>
      </x:c>
      <x:c r="B9" s="24" t="n">
        <x:v>5</x:v>
      </x:c>
      <x:c r="C9" s="24" t="n">
        <x:v>2.3</x:v>
      </x:c>
      <x:c r="D9" s="24" t="n">
        <x:v>5</x:v>
      </x:c>
      <x:c r="E9" s="24" t="n">
        <x:v>3</x:v>
      </x:c>
      <x:c r="F9" s="24" t="n">
        <x:v>3</x:v>
      </x:c>
      <x:c r="G9" s="24" t="str">
        <x:v>Inquisitor</x:v>
      </x:c>
      <x:c r="H9" s="24" t="str">
        <x:v>Utility</x:v>
      </x:c>
      <x:c r="I9" s="24" t="str">
        <x:v>Resolve</x:v>
      </x:c>
      <x:c r="J9" s="24"/>
      <x:c r="K9" s="24"/>
      <x:c r="L9" s="24" t="str">
        <x:v>EQ-TB-GLD</x:v>
      </x:c>
    </x:row>
    <x:row r="10">
      <x:c r="A10" s="24" t="str">
        <x:v>Orange</x:v>
      </x:c>
      <x:c r="B10" s="24" t="n">
        <x:v>6</x:v>
      </x:c>
      <x:c r="C10" s="24" t="n">
        <x:v>2.75</x:v>
      </x:c>
      <x:c r="D10" s="24" t="n">
        <x:v>6</x:v>
      </x:c>
      <x:c r="E10" s="24" t="n">
        <x:v>4</x:v>
      </x:c>
      <x:c r="F10" s="24" t="n">
        <x:v>4</x:v>
      </x:c>
      <x:c r="G10" s="24" t="str">
        <x:v>Bard</x:v>
      </x:c>
      <x:c r="H10" s="24"/>
      <x:c r="I10" s="24" t="str">
        <x:v>Agility</x:v>
      </x:c>
      <x:c r="J10" s="24"/>
      <x:c r="K10" s="24"/>
      <x:c r="L10" s="24" t="str">
        <x:v>EQ-TB-ORG</x:v>
      </x:c>
    </x:row>
    <x:row r="11">
      <x:c r="A11" s="24"/>
      <x:c r="B11" s="24"/>
      <x:c r="C11" s="24"/>
      <x:c r="D11" s="24"/>
      <x:c r="E11" s="24"/>
      <x:c r="F11" s="24"/>
      <x:c r="G11" s="24" t="str">
        <x:v>Brute</x:v>
      </x:c>
      <x:c r="H11" s="24"/>
      <x:c r="I11" s="24" t="str">
        <x:v>Vitality</x:v>
      </x:c>
      <x:c r="J11" s="24"/>
      <x:c r="K11" s="24"/>
      <x:c r="L11" s="24" t="str">
        <x:v>EQ-BH-GRY</x:v>
      </x:c>
    </x:row>
    <x:row r="12">
      <x:c r="A12" s="24"/>
      <x:c r="B12" s="24"/>
      <x:c r="C12" s="24"/>
      <x:c r="D12" s="24"/>
      <x:c r="E12" s="24"/>
      <x:c r="F12" s="24"/>
      <x:c r="G12" s="24" t="str">
        <x:v>Duke</x:v>
      </x:c>
      <x:c r="H12" s="24"/>
      <x:c r="I12" s="24"/>
      <x:c r="J12" s="24"/>
      <x:c r="K12" s="24"/>
      <x:c r="L12" s="24" t="str">
        <x:v>EQ-BH-GRN</x:v>
      </x:c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 t="str">
        <x:v>EQ-BH-BLU</x:v>
      </x:c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 t="str">
        <x:v>EQ-BH-PUR</x:v>
      </x:c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 t="str">
        <x:v>EQ-BH-GLD</x:v>
      </x:c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 t="str">
        <x:v>EQ-BH-ORG</x:v>
      </x:c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 t="str">
        <x:v>EQ-WD-GRY</x:v>
      </x:c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 t="str">
        <x:v>EQ-WD-GRN</x:v>
      </x:c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 t="str">
        <x:v>EQ-WD-BLU</x:v>
      </x:c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 t="str">
        <x:v>EQ-WD-PUR</x:v>
      </x:c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 t="str">
        <x:v>EQ-WD-GLD</x:v>
      </x:c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 t="str">
        <x:v>EQ-WD-ORG</x:v>
      </x:c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 t="str">
        <x:v>EQ-SC-GRY</x:v>
      </x:c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 t="str">
        <x:v>EQ-SC-GRN</x:v>
      </x:c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 t="str">
        <x:v>EQ-SC-BLU</x:v>
      </x:c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 t="str">
        <x:v>EQ-SC-PUR</x:v>
      </x:c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 t="str">
        <x:v>EQ-SC-GLD</x:v>
      </x:c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 t="str">
        <x:v>EQ-SC-ORG</x:v>
      </x:c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 t="str">
        <x:v>EQ-LN-GRY</x:v>
      </x:c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 t="str">
        <x:v>EQ-LN-GRN</x:v>
      </x:c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 t="str">
        <x:v>EQ-LN-BLU</x:v>
      </x:c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 t="str">
        <x:v>EQ-LN-PUR</x:v>
      </x:c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 t="str">
        <x:v>EQ-LN-GLD</x:v>
      </x:c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 t="str">
        <x:v>EQ-LN-ORG</x:v>
      </x:c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 t="str">
        <x:v>EQ-ST-GRY</x:v>
      </x:c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 t="str">
        <x:v>EQ-ST-GRN</x:v>
      </x:c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 t="str">
        <x:v>EQ-ST-BLU</x:v>
      </x:c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 t="str">
        <x:v>EQ-ST-PUR</x:v>
      </x:c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 t="str">
        <x:v>EQ-ST-GLD</x:v>
      </x:c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 t="str">
        <x:v>EQ-ST-ORG</x:v>
      </x:c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 t="str">
        <x:v>EQ-GB-GRY</x:v>
      </x:c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 t="str">
        <x:v>EQ-GB-GRN</x:v>
      </x:c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 t="str">
        <x:v>EQ-GB-BLU</x:v>
      </x:c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 t="str">
        <x:v>EQ-GB-PUR</x:v>
      </x:c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 t="str">
        <x:v>EQ-GB-GLD</x:v>
      </x:c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 t="str">
        <x:v>EQ-GB-ORG</x:v>
      </x:c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 t="str">
        <x:v>EQ-BS-GRY</x:v>
      </x:c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 t="str">
        <x:v>EQ-BS-GRN</x:v>
      </x:c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 t="str">
        <x:v>EQ-BS-BLU</x:v>
      </x:c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 t="str">
        <x:v>EQ-BS-PUR</x:v>
      </x:c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 t="str">
        <x:v>EQ-BS-GLD</x:v>
      </x:c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 t="str">
        <x:v>EQ-BS-ORG</x:v>
      </x:c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 t="str">
        <x:v>EQ-AL-GRY</x:v>
      </x:c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 t="str">
        <x:v>EQ-AL-GRN</x:v>
      </x:c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 t="str">
        <x:v>EQ-AL-BLU</x:v>
      </x:c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 t="str">
        <x:v>EQ-AL-PUR</x:v>
      </x:c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 t="str">
        <x:v>EQ-AL-GLD</x:v>
      </x:c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 t="str">
        <x:v>EQ-AL-ORG</x:v>
      </x:c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 t="str">
        <x:v>EQ-AM-GRY</x:v>
      </x:c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 t="str">
        <x:v>EQ-AM-GRN</x:v>
      </x:c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 t="str">
        <x:v>EQ-AM-BLU</x:v>
      </x:c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 t="str">
        <x:v>EQ-AM-PUR</x:v>
      </x:c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 t="str">
        <x:v>EQ-AM-GLD</x:v>
      </x:c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 t="str">
        <x:v>EQ-AM-ORG</x:v>
      </x:c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 t="str">
        <x:v>EQ-AH-GRY</x:v>
      </x:c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 t="str">
        <x:v>EQ-AH-GRN</x:v>
      </x:c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 t="str">
        <x:v>EQ-AH-BLU</x:v>
      </x:c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 t="str">
        <x:v>EQ-AH-PUR</x:v>
      </x:c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 t="str">
        <x:v>EQ-AH-GLD</x:v>
      </x:c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 t="str">
        <x:v>EQ-AH-ORG</x:v>
      </x:c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 t="str">
        <x:v>EQ-AX-GRY</x:v>
      </x:c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 t="str">
        <x:v>EQ-AX-GRN</x:v>
      </x:c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 t="str">
        <x:v>EQ-AX-BLU</x:v>
      </x:c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 t="str">
        <x:v>EQ-AX-PUR</x:v>
      </x:c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 t="str">
        <x:v>EQ-AX-GLD</x:v>
      </x:c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 t="str">
        <x:v>EQ-AX-ORG</x:v>
      </x:c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 t="str">
        <x:v>EQ-SL-GRY</x:v>
      </x:c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 t="str">
        <x:v>EQ-SL-GRN</x:v>
      </x:c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 t="str">
        <x:v>EQ-SL-BLU</x:v>
      </x:c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 t="str">
        <x:v>EQ-SL-PUR</x:v>
      </x:c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 t="str">
        <x:v>EQ-SL-GLD</x:v>
      </x:c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 t="str">
        <x:v>EQ-SL-ORG</x:v>
      </x:c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 t="str">
        <x:v>EQ-SM-GRY</x:v>
      </x:c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 t="str">
        <x:v>EQ-SM-GRN</x:v>
      </x:c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 t="str">
        <x:v>EQ-SM-BLU</x:v>
      </x:c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 t="str">
        <x:v>EQ-SM-PUR</x:v>
      </x:c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 t="str">
        <x:v>EQ-SM-GLD</x:v>
      </x:c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 t="str">
        <x:v>EQ-SM-ORG</x:v>
      </x:c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 t="str">
        <x:v>EQ-SH-GRY</x:v>
      </x:c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 t="str">
        <x:v>EQ-SH-GRN</x:v>
      </x:c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 t="str">
        <x:v>EQ-SH-BLU</x:v>
      </x:c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 t="str">
        <x:v>EQ-SH-PUR</x:v>
      </x:c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 t="str">
        <x:v>EQ-SH-GLD</x:v>
      </x:c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 t="str">
        <x:v>EQ-SH-ORG</x:v>
      </x:c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 t="str">
        <x:v>EQ-HP-GRY</x:v>
      </x:c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 t="str">
        <x:v>EQ-HP-GRN</x:v>
      </x:c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 t="str">
        <x:v>EQ-HP-BLU</x:v>
      </x:c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 t="str">
        <x:v>EQ-HP-PUR</x:v>
      </x:c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 t="str">
        <x:v>EQ-HP-GLD</x:v>
      </x:c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 t="str">
        <x:v>EQ-HP-ORG</x:v>
      </x:c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 t="str">
        <x:v>EQ-HM-GRY</x:v>
      </x:c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 t="str">
        <x:v>EQ-HM-GRN</x:v>
      </x:c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 t="str">
        <x:v>EQ-HM-BLU</x:v>
      </x:c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 t="str">
        <x:v>EQ-HM-PUR</x:v>
      </x:c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 t="str">
        <x:v>EQ-HM-GLD</x:v>
      </x:c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 t="str">
        <x:v>EQ-HM-ORG</x:v>
      </x:c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 t="str">
        <x:v>EQ-AS-GRY</x:v>
      </x:c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 t="str">
        <x:v>EQ-AS-GRN</x:v>
      </x:c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 t="str">
        <x:v>EQ-AS-BLU</x:v>
      </x:c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 t="str">
        <x:v>EQ-AS-PUR</x:v>
      </x:c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 t="str">
        <x:v>EQ-AS-GLD</x:v>
      </x:c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 t="str">
        <x:v>EQ-AS-ORG</x:v>
      </x:c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 t="str">
        <x:v>EQ-AI-GRY</x:v>
      </x:c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 t="str">
        <x:v>EQ-AI-GRN</x:v>
      </x:c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 t="str">
        <x:v>EQ-AI-BLU</x:v>
      </x:c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 t="str">
        <x:v>EQ-AI-PUR</x:v>
      </x:c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 t="str">
        <x:v>EQ-AI-GLD</x:v>
      </x:c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 t="str">
        <x:v>EQ-AI-ORG</x:v>
      </x:c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 t="str">
        <x:v>EQ-AR-GRY</x:v>
      </x:c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 t="str">
        <x:v>EQ-AR-GRN</x:v>
      </x:c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 t="str">
        <x:v>EQ-AR-BLU</x:v>
      </x:c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 t="str">
        <x:v>EQ-AR-PUR</x:v>
      </x:c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 t="str">
        <x:v>EQ-AR-GLD</x:v>
      </x:c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 t="str">
        <x:v>EQ-AR-ORG</x:v>
      </x:c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 t="str">
        <x:v>EQ-NF-GRY</x:v>
      </x:c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 t="str">
        <x:v>EQ-NF-GRN</x:v>
      </x:c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 t="str">
        <x:v>EQ-NF-BLU</x:v>
      </x:c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 t="str">
        <x:v>EQ-NF-PUR</x:v>
      </x:c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 t="str">
        <x:v>EQ-NF-GLD</x:v>
      </x:c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 t="str">
        <x:v>EQ-NF-ORG</x:v>
      </x:c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 t="str">
        <x:v>EQ-NH-GRY</x:v>
      </x:c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 t="str">
        <x:v>EQ-NH-GRN</x:v>
      </x:c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 t="str">
        <x:v>EQ-NH-BLU</x:v>
      </x:c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 t="str">
        <x:v>EQ-NH-PUR</x:v>
      </x:c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 t="str">
        <x:v>EQ-NH-GLD</x:v>
      </x:c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 t="str">
        <x:v>EQ-NH-ORG</x:v>
      </x:c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 t="str">
        <x:v>EQ-TD-GRY</x:v>
      </x:c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 t="str">
        <x:v>EQ-TD-GRN</x:v>
      </x:c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 t="str">
        <x:v>EQ-TD-BLU</x:v>
      </x:c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 t="str">
        <x:v>EQ-TD-PUR</x:v>
      </x:c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 t="str">
        <x:v>EQ-TD-GLD</x:v>
      </x:c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 t="str">
        <x:v>EQ-TD-ORG</x:v>
      </x:c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 t="str">
        <x:v>EQ-WS-GRY</x:v>
      </x:c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 t="str">
        <x:v>EQ-WS-GRN</x:v>
      </x:c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 t="str">
        <x:v>EQ-WS-BLU</x:v>
      </x:c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 t="str">
        <x:v>EQ-WS-PUR</x:v>
      </x:c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 t="str">
        <x:v>EQ-WS-GLD</x:v>
      </x:c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 t="str">
        <x:v>EQ-WS-ORG</x:v>
      </x:c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 t="str">
        <x:v>EQ-FO-GRY</x:v>
      </x:c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 t="str">
        <x:v>EQ-FO-GRN</x:v>
      </x:c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 t="str">
        <x:v>EQ-FO-BLU</x:v>
      </x:c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 t="str">
        <x:v>EQ-FO-PUR</x:v>
      </x:c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 t="str">
        <x:v>EQ-FO-GLD</x:v>
      </x:c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 t="str">
        <x:v>EQ-FO-ORG</x:v>
      </x:c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 t="str">
        <x:v>EQ-HW-GRY</x:v>
      </x:c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 t="str">
        <x:v>EQ-HW-GRN</x:v>
      </x:c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 t="str">
        <x:v>EQ-HW-BLU</x:v>
      </x:c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 t="str">
        <x:v>EQ-HW-PUR</x:v>
      </x:c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 t="str">
        <x:v>EQ-HW-GLD</x:v>
      </x:c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 t="str">
        <x:v>EQ-HW-ORG</x:v>
      </x:c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 t="str">
        <x:v>EQ-BW-GRY</x:v>
      </x:c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 t="str">
        <x:v>EQ-BW-GRN</x:v>
      </x:c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 t="str">
        <x:v>EQ-BW-BLU</x:v>
      </x:c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 t="str">
        <x:v>EQ-BW-PUR</x:v>
      </x:c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 t="str">
        <x:v>EQ-BW-GLD</x:v>
      </x:c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 t="str">
        <x:v>EQ-BW-ORG</x:v>
      </x:c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 t="str">
        <x:v>EQ-CY-GRY</x:v>
      </x:c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 t="str">
        <x:v>EQ-CY-GRN</x:v>
      </x:c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 t="str">
        <x:v>EQ-CY-BLU</x:v>
      </x:c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 t="str">
        <x:v>EQ-CY-PUR</x:v>
      </x:c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 t="str">
        <x:v>EQ-CY-GLD</x:v>
      </x:c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 t="str">
        <x:v>EQ-CY-ORG</x:v>
      </x:c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 t="str">
        <x:v>EQ-RG-GRY</x:v>
      </x:c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 t="str">
        <x:v>EQ-RG-GRN</x:v>
      </x:c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 t="str">
        <x:v>EQ-RG-BLU</x:v>
      </x:c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 t="str">
        <x:v>EQ-RG-PUR</x:v>
      </x:c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 t="str">
        <x:v>EQ-RG-GLD</x:v>
      </x:c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 t="str">
        <x:v>EQ-RG-ORG</x:v>
      </x:c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 t="str">
        <x:v>EQ-LM-GRY</x:v>
      </x:c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 t="str">
        <x:v>EQ-LM-GRN</x:v>
      </x:c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 t="str">
        <x:v>EQ-LM-BLU</x:v>
      </x:c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 t="str">
        <x:v>EQ-LM-PUR</x:v>
      </x:c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 t="str">
        <x:v>EQ-LM-GLD</x:v>
      </x:c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 t="str">
        <x:v>EQ-LM-ORG</x:v>
      </x:c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 t="str">
        <x:v>EQ-HT-GRY</x:v>
      </x:c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 t="str">
        <x:v>EQ-HT-GRN</x:v>
      </x:c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 t="str">
        <x:v>EQ-HT-BLU</x:v>
      </x:c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 t="str">
        <x:v>EQ-HT-PUR</x:v>
      </x:c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 t="str">
        <x:v>EQ-HT-GLD</x:v>
      </x:c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 t="str">
        <x:v>EQ-HT-ORG</x:v>
      </x:c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 t="str">
        <x:v>EQ-DS-GRY</x:v>
      </x:c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 t="str">
        <x:v>EQ-DS-GRN</x:v>
      </x:c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 t="str">
        <x:v>EQ-DS-BLU</x:v>
      </x:c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 t="str">
        <x:v>EQ-DS-PUR</x:v>
      </x:c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 t="str">
        <x:v>EQ-DS-GLD</x:v>
      </x:c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 t="str">
        <x:v>EQ-DS-ORG</x:v>
      </x:c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 t="str">
        <x:v>EQ-SV-GRY</x:v>
      </x:c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 t="str">
        <x:v>EQ-SV-GRN</x:v>
      </x:c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 t="str">
        <x:v>EQ-SV-BLU</x:v>
      </x:c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 t="str">
        <x:v>EQ-SV-PUR</x:v>
      </x:c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 t="str">
        <x:v>EQ-SV-GLD</x:v>
      </x:c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 t="str">
        <x:v>EQ-SV-ORG</x:v>
      </x:c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 t="str">
        <x:v>EQ-HH-GRY</x:v>
      </x:c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 t="str">
        <x:v>EQ-HH-GRN</x:v>
      </x:c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  <x:c r="L205" s="24" t="str">
        <x:v>EQ-HH-BLU</x:v>
      </x:c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  <x:c r="L206" s="24" t="str">
        <x:v>EQ-HH-PUR</x:v>
      </x:c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  <x:c r="L207" s="24" t="str">
        <x:v>EQ-HH-GLD</x:v>
      </x:c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  <x:c r="L208" s="24" t="str">
        <x:v>EQ-HH-ORG</x:v>
      </x:c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  <x:c r="L209" s="24" t="str">
        <x:v>EQ-BC-GRY</x:v>
      </x:c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  <x:c r="L210" s="24" t="str">
        <x:v>EQ-BC-GRN</x:v>
      </x:c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  <x:c r="L211" s="24" t="str">
        <x:v>EQ-BC-BLU</x:v>
      </x:c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  <x:c r="L212" s="24" t="str">
        <x:v>EQ-BC-PUR</x:v>
      </x:c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  <x:c r="L213" s="24" t="str">
        <x:v>EQ-BC-GLD</x:v>
      </x:c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  <x:c r="L214" s="24" t="str">
        <x:v>EQ-BC-ORG</x:v>
      </x:c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  <x:c r="L215" s="24" t="str">
        <x:v>EQ-MW-GRY</x:v>
      </x:c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  <x:c r="L216" s="24" t="str">
        <x:v>EQ-MW-GRN</x:v>
      </x:c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  <x:c r="L217" s="24" t="str">
        <x:v>EQ-MW-BLU</x:v>
      </x:c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  <x:c r="L218" s="24" t="str">
        <x:v>EQ-MW-PUR</x:v>
      </x:c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  <x:c r="L219" s="24" t="str">
        <x:v>EQ-MW-GLD</x:v>
      </x:c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  <x:c r="L220" s="24" t="str">
        <x:v>EQ-MW-ORG</x:v>
      </x:c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  <x:c r="L221" s="24" t="str">
        <x:v>EQ-TK-GRY</x:v>
      </x:c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  <x:c r="L222" s="24" t="str">
        <x:v>EQ-TK-GRN</x:v>
      </x:c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  <x:c r="L223" s="24" t="str">
        <x:v>EQ-TK-BLU</x:v>
      </x:c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  <x:c r="L224" s="24" t="str">
        <x:v>EQ-TK-PUR</x:v>
      </x:c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  <x:c r="L225" s="24" t="str">
        <x:v>EQ-TK-GLD</x:v>
      </x:c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  <x:c r="L226" s="24" t="str">
        <x:v>EQ-TK-ORG</x:v>
      </x:c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  <x:c r="L227" s="24" t="str">
        <x:v>EQ-PS-GRY</x:v>
      </x:c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  <x:c r="L228" s="24" t="str">
        <x:v>EQ-PS-GRN</x:v>
      </x:c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  <x:c r="L229" s="24" t="str">
        <x:v>EQ-PS-BLU</x:v>
      </x:c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  <x:c r="L230" s="24" t="str">
        <x:v>EQ-PS-PUR</x:v>
      </x:c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  <x:c r="L231" s="24" t="str">
        <x:v>EQ-PS-GLD</x:v>
      </x:c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  <x:c r="L232" s="24" t="str">
        <x:v>EQ-PS-ORG</x:v>
      </x:c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  <x:c r="L233" s="24" t="str">
        <x:v>EQ-HA-GRY</x:v>
      </x:c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  <x:c r="L234" s="24" t="str">
        <x:v>EQ-HA-GRN</x:v>
      </x:c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  <x:c r="L235" s="24" t="str">
        <x:v>EQ-HA-BLU</x:v>
      </x:c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  <x:c r="L236" s="24" t="str">
        <x:v>EQ-HA-PUR</x:v>
      </x:c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  <x:c r="L237" s="24" t="str">
        <x:v>EQ-HA-GLD</x:v>
      </x:c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  <x:c r="L238" s="24" t="str">
        <x:v>EQ-HA-ORG</x:v>
      </x:c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  <x:c r="L239" s="24" t="str">
        <x:v>EQ-AP-GRY</x:v>
      </x:c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 t="str">
        <x:v>EQ-AP-GRN</x:v>
      </x:c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  <x:c r="L241" s="24" t="str">
        <x:v>EQ-AP-BLU</x:v>
      </x:c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  <x:c r="L242" s="24" t="str">
        <x:v>EQ-AP-PUR</x:v>
      </x:c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  <x:c r="L243" s="24" t="str">
        <x:v>EQ-AP-GLD</x:v>
      </x:c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  <x:c r="L244" s="24" t="str">
        <x:v>EQ-AP-ORG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58" hidden="0" customWidth="1"/>
    <x:col min="4" max="4" width="36" hidden="0" customWidth="1"/>
    <x:col min="5" max="5" width="34" hidden="0" customWidth="1"/>
    <x:col min="6" max="6" width="44" hidden="0" customWidth="1"/>
    <x:col min="7" max="7" width="25" hidden="0" customWidth="1"/>
    <x:col min="8" max="8" width="18" hidden="0" customWidth="1"/>
    <x:col min="9" max="9" width="32" hidden="0" customWidth="1"/>
    <x:col min="10" max="10" width="32" hidden="0" customWidth="1"/>
    <x:col min="11" max="11" width="32" hidden="0" customWidth="1"/>
    <x:col min="12" max="12" width="28" hidden="0" customWidth="1"/>
    <x:col min="13" max="13" width="24" hidden="0" customWidth="1"/>
    <x:col min="14" max="14" width="58" hidden="0" customWidth="1"/>
    <x:col min="15" max="15" width="34" hidden="0" customWidth="1"/>
    <x:col min="16" max="16" width="34" hidden="0" customWidth="1"/>
  </x:cols>
  <x:sheetData>
    <x:row r="1" ht="30" customHeight="1">
      <x:c r="A1" s="62" t="str">
        <x:v>Class Stat, Equipment and Authoritative Perk Directions — v1.0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</x:row>
    <x:row r="2">
      <x:c r="A2" s="10" t="str">
        <x:v>High-level class directions updated for Dexterity and Agility separation.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 ht="30" customHeight="1">
      <x:c r="A4" s="76" t="str">
        <x:v>Class</x:v>
      </x:c>
      <x:c r="B4" s="76" t="str">
        <x:v>Base Health Direction</x:v>
      </x:c>
      <x:c r="C4" s="76" t="str">
        <x:v>Might</x:v>
      </x:c>
      <x:c r="D4" s="76" t="str">
        <x:v>Dexterity</x:v>
      </x:c>
      <x:c r="E4" s="76" t="str">
        <x:v>Guard</x:v>
      </x:c>
      <x:c r="F4" s="76" t="str">
        <x:v>Focus</x:v>
      </x:c>
      <x:c r="G4" s="76" t="str">
        <x:v>Resolve</x:v>
      </x:c>
      <x:c r="H4" s="76" t="str">
        <x:v>Agility</x:v>
      </x:c>
      <x:c r="I4" s="76" t="str">
        <x:v>Primary Weapons</x:v>
      </x:c>
      <x:c r="J4" s="76" t="str">
        <x:v>NPC Equipment Policy</x:v>
      </x:c>
      <x:c r="K4" s="76" t="str">
        <x:v>AI Policy</x:v>
      </x:c>
      <x:c r="L4" s="76" t="str">
        <x:v>v0.8 Note</x:v>
      </x:c>
      <x:c r="M4" s="76" t="str">
        <x:v>Class Perk</x:v>
      </x:c>
      <x:c r="N4" s="76" t="str">
        <x:v>Always Active Effect</x:v>
      </x:c>
      <x:c r="O4" s="76" t="str">
        <x:v>Trigger / Limit</x:v>
      </x:c>
      <x:c r="P4" s="76" t="str">
        <x:v>New-System Hook</x:v>
      </x:c>
    </x:row>
    <x:row r="5">
      <x:c r="A5" s="90" t="str">
        <x:v>Knight</x:v>
      </x:c>
      <x:c r="B5" s="90" t="str">
        <x:v>High</x:v>
      </x:c>
      <x:c r="C5" s="90" t="str">
        <x:v>High</x:v>
      </x:c>
      <x:c r="D5" s="90" t="str">
        <x:v>Low</x:v>
      </x:c>
      <x:c r="E5" s="90" t="str">
        <x:v>High</x:v>
      </x:c>
      <x:c r="F5" s="90" t="str">
        <x:v>Low</x:v>
      </x:c>
      <x:c r="G5" s="90" t="str">
        <x:v>Moderate</x:v>
      </x:c>
      <x:c r="H5" s="90" t="str">
        <x:v>Low</x:v>
      </x:c>
      <x:c r="I5" s="90" t="str">
        <x:v>Greatblade / Lance / Hammer</x:v>
      </x:c>
      <x:c r="J5" s="90" t="str">
        <x:v>Curated heavy flat-stat loadout</x:v>
      </x:c>
      <x:c r="K5" s="90" t="str">
        <x:v>Defensive setup and telegraphed heavy attacks</x:v>
      </x:c>
      <x:c r="L5" s="90" t="str">
        <x:v>No hidden damage multiplier.</x:v>
      </x:c>
      <x:c r="M5" s="79" t="str">
        <x:v>Bulwark Oath</x:v>
      </x:c>
      <x:c r="N5" s="79" t="str">
        <x:v>Once per turn, after using Armour Restoration or Fortify, gain Minor Guard Up (+4 Guard) until the start of your next turn.</x:v>
      </x:c>
      <x:c r="O5" s="79" t="str">
        <x:v>Once per turn after Armour Restoration or Fortify.</x:v>
      </x:c>
      <x:c r="P5" s="79" t="str">
        <x:v>Armour restoration; Fortify; Guard</x:v>
      </x:c>
    </x:row>
    <x:row r="6">
      <x:c r="A6" s="90" t="str">
        <x:v>Rogue</x:v>
      </x:c>
      <x:c r="B6" s="90" t="str">
        <x:v>Low</x:v>
      </x:c>
      <x:c r="C6" s="90" t="str">
        <x:v>Low</x:v>
      </x:c>
      <x:c r="D6" s="90" t="str">
        <x:v>High</x:v>
      </x:c>
      <x:c r="E6" s="90" t="str">
        <x:v>Low</x:v>
      </x:c>
      <x:c r="F6" s="90" t="str">
        <x:v>Low</x:v>
      </x:c>
      <x:c r="G6" s="90" t="str">
        <x:v>Moderate</x:v>
      </x:c>
      <x:c r="H6" s="90" t="str">
        <x:v>High</x:v>
      </x:c>
      <x:c r="I6" s="90" t="str">
        <x:v>Daggers / Talons / Sabres / Greatbow</x:v>
      </x:c>
      <x:c r="J6" s="90" t="str">
        <x:v>Light flat Dexterity/Agility loadout</x:v>
      </x:c>
      <x:c r="K6" s="90" t="str">
        <x:v>Tempo, precision and conditional burst</x:v>
      </x:c>
      <x:c r="L6" s="90" t="str">
        <x:v>Dodge derives from Agility only.</x:v>
      </x:c>
      <x:c r="M6" s="79" t="str">
        <x:v>Rogue Tempo</x:v>
      </x:c>
      <x:c r="N6" s="79" t="str">
        <x:v>Once per turn, if acting before the target, your first Weapon Skill 1 gains +10 Precision. If that skill breaks Armour, gain Minor Agility Up (+4 Agility) until the start of your next turn.</x:v>
      </x:c>
      <x:c r="O6" s="79" t="str">
        <x:v>Once per turn; applies to a 2 EN Weapon Skill 1.</x:v>
      </x:c>
      <x:c r="P6" s="79" t="str">
        <x:v>Weapon Skill 1; Armour break; turn order</x:v>
      </x:c>
    </x:row>
    <x:row r="7">
      <x:c r="A7" s="90" t="str">
        <x:v>Mage</x:v>
      </x:c>
      <x:c r="B7" s="90" t="str">
        <x:v>Moderate</x:v>
      </x:c>
      <x:c r="C7" s="90" t="str">
        <x:v>Low</x:v>
      </x:c>
      <x:c r="D7" s="90" t="str">
        <x:v>Low</x:v>
      </x:c>
      <x:c r="E7" s="90" t="str">
        <x:v>Low</x:v>
      </x:c>
      <x:c r="F7" s="90" t="str">
        <x:v>High</x:v>
      </x:c>
      <x:c r="G7" s="90" t="str">
        <x:v>High</x:v>
      </x:c>
      <x:c r="H7" s="90" t="str">
        <x:v>Low</x:v>
      </x:c>
      <x:c r="I7" s="90" t="str">
        <x:v>Wand / Staff / Orb / Grimoire</x:v>
      </x:c>
      <x:c r="J7" s="90" t="str">
        <x:v>Focus/Resolve loadout</x:v>
      </x:c>
      <x:c r="K7" s="90" t="str">
        <x:v>Magic setup and penetration</x:v>
      </x:c>
      <x:c r="L7" s="90" t="str">
        <x:v>Magic damage uses weapon range.</x:v>
      </x:c>
      <x:c r="M7" s="79" t="str">
        <x:v>Arcane Pressure</x:v>
      </x:c>
      <x:c r="N7" s="79" t="str">
        <x:v>The first Magic weapon skill you use each turn deals 10% additional damage to Magic Armour only. This bonus does not increase Health damage.</x:v>
      </x:c>
      <x:c r="O7" s="79" t="str">
        <x:v>Once per turn on the first Magic weapon skill.</x:v>
      </x:c>
      <x:c r="P7" s="79" t="str">
        <x:v>Magic Armour pressure</x:v>
      </x:c>
    </x:row>
    <x:row r="8">
      <x:c r="A8" s="90" t="str">
        <x:v>Siren</x:v>
      </x:c>
      <x:c r="B8" s="90" t="str">
        <x:v>Moderate</x:v>
      </x:c>
      <x:c r="C8" s="90" t="str">
        <x:v>Low</x:v>
      </x:c>
      <x:c r="D8" s="90" t="str">
        <x:v>Moderate</x:v>
      </x:c>
      <x:c r="E8" s="90" t="str">
        <x:v>Low</x:v>
      </x:c>
      <x:c r="F8" s="90" t="str">
        <x:v>High</x:v>
      </x:c>
      <x:c r="G8" s="90" t="str">
        <x:v>Moderate</x:v>
      </x:c>
      <x:c r="H8" s="90" t="str">
        <x:v>High</x:v>
      </x:c>
      <x:c r="I8" s="90" t="str">
        <x:v>Hexwood / Orb / Lament</x:v>
      </x:c>
      <x:c r="J8" s="90" t="str">
        <x:v>Focus/ailment loadout</x:v>
      </x:c>
      <x:c r="K8" s="90" t="str">
        <x:v>Stack and condition management</x:v>
      </x:c>
      <x:c r="L8" s="90" t="str">
        <x:v>Ailments consume Skill Power budget.</x:v>
      </x:c>
      <x:c r="M8" s="79" t="str">
        <x:v>Cursed Call</x:v>
      </x:c>
      <x:c r="N8" s="79" t="str">
        <x:v>Once per turn after you break Magic Armour, the next ailment or stat debuff you apply to that target gains +10 percentage points application chance and lasts 1 additional turn.</x:v>
      </x:c>
      <x:c r="O8" s="79" t="str">
        <x:v>Once per turn; consumed by the next qualifying ailment or debuff.</x:v>
      </x:c>
      <x:c r="P8" s="79" t="str">
        <x:v>Magic Armour break; ailment gate</x:v>
      </x:c>
    </x:row>
    <x:row r="9">
      <x:c r="A9" s="90" t="str">
        <x:v>Inquisitor</x:v>
      </x:c>
      <x:c r="B9" s="90" t="str">
        <x:v>High</x:v>
      </x:c>
      <x:c r="C9" s="90" t="str">
        <x:v>Moderate</x:v>
      </x:c>
      <x:c r="D9" s="90" t="str">
        <x:v>Low</x:v>
      </x:c>
      <x:c r="E9" s="90" t="str">
        <x:v>Moderate</x:v>
      </x:c>
      <x:c r="F9" s="90" t="str">
        <x:v>Moderate</x:v>
      </x:c>
      <x:c r="G9" s="90" t="str">
        <x:v>High</x:v>
      </x:c>
      <x:c r="H9" s="90" t="str">
        <x:v>Low</x:v>
      </x:c>
      <x:c r="I9" s="90" t="str">
        <x:v>Sceptre / Scythe / Orb</x:v>
      </x:c>
      <x:c r="J9" s="90" t="str">
        <x:v>Vitality/Resolve hybrid</x:v>
      </x:c>
      <x:c r="K9" s="90" t="str">
        <x:v>Sustain and punish</x:v>
      </x:c>
      <x:c r="L9" s="90" t="str">
        <x:v>Same formulas as player.</x:v>
      </x:c>
      <x:c r="M9" s="79" t="str">
        <x:v>Judgement Leech</x:v>
      </x:c>
      <x:c r="N9" s="79" t="str">
        <x:v>Once per turn after a damaging skill hits an ailmented, debuffed or Marked target, restore 2 to the lower of Armour or Magic Armour, capped at its normal maximum. If both pools are full, heal 5% Maximum Health.</x:v>
      </x:c>
      <x:c r="O9" s="79" t="str">
        <x:v>Once per turn after Health damage to a qualifying target.</x:v>
      </x:c>
      <x:c r="P9" s="79" t="str">
        <x:v>Protection restoration; ailments; marks</x:v>
      </x:c>
    </x:row>
    <x:row r="10">
      <x:c r="A10" s="90" t="str">
        <x:v>Bard</x:v>
      </x:c>
      <x:c r="B10" s="90" t="str">
        <x:v>Moderate</x:v>
      </x:c>
      <x:c r="C10" s="90" t="str">
        <x:v>Low</x:v>
      </x:c>
      <x:c r="D10" s="90" t="str">
        <x:v>Moderate</x:v>
      </x:c>
      <x:c r="E10" s="90" t="str">
        <x:v>Low</x:v>
      </x:c>
      <x:c r="F10" s="90" t="str">
        <x:v>Moderate</x:v>
      </x:c>
      <x:c r="G10" s="90" t="str">
        <x:v>Moderate</x:v>
      </x:c>
      <x:c r="H10" s="90" t="str">
        <x:v>Moderate</x:v>
      </x:c>
      <x:c r="I10" s="90" t="str">
        <x:v>Song / Talon / Greatbow</x:v>
      </x:c>
      <x:c r="J10" s="90" t="str">
        <x:v>Mixed support loadout</x:v>
      </x:c>
      <x:c r="K10" s="90" t="str">
        <x:v>Alternates support and damage</x:v>
      </x:c>
      <x:c r="L10" s="90" t="str">
        <x:v>Support AI is not maximum-DPE only.</x:v>
      </x:c>
      <x:c r="M10" s="79" t="str">
        <x:v>Verse and Chorus</x:v>
      </x:c>
      <x:c r="N10" s="79" t="str">
        <x:v>Once per turn, when you alternate Martial and Magic damaging skills, the second skill restores 2 to the lower protection pool. If both pools are full, it gains +10 Skill Power instead.</x:v>
      </x:c>
      <x:c r="O10" s="79" t="str">
        <x:v>Once per turn on the second skill in a Martial/Magic alternation.</x:v>
      </x:c>
      <x:c r="P10" s="79" t="str">
        <x:v>Hybrid weapons; protection restoration; Skill Power</x:v>
      </x:c>
    </x:row>
    <x:row r="11">
      <x:c r="A11" s="90" t="str">
        <x:v>Brute</x:v>
      </x:c>
      <x:c r="B11" s="90" t="str">
        <x:v>Very High</x:v>
      </x:c>
      <x:c r="C11" s="90" t="str">
        <x:v>High</x:v>
      </x:c>
      <x:c r="D11" s="90" t="str">
        <x:v>Low</x:v>
      </x:c>
      <x:c r="E11" s="90" t="str">
        <x:v>High</x:v>
      </x:c>
      <x:c r="F11" s="90" t="str">
        <x:v>Low</x:v>
      </x:c>
      <x:c r="G11" s="90" t="str">
        <x:v>Low</x:v>
      </x:c>
      <x:c r="H11" s="90" t="str">
        <x:v>Low</x:v>
      </x:c>
      <x:c r="I11" s="90" t="str">
        <x:v>Hammer / Greatblade / Scythe</x:v>
      </x:c>
      <x:c r="J11" s="90" t="str">
        <x:v>Heavy flat-stat loadout</x:v>
      </x:c>
      <x:c r="K11" s="90" t="str">
        <x:v>Slow pressure and telegraphed burst</x:v>
      </x:c>
      <x:c r="L11" s="90" t="str">
        <x:v>Heavy gear may lower Agility.</x:v>
      </x:c>
      <x:c r="M11" s="79" t="str">
        <x:v>Crushing Momentum</x:v>
      </x:c>
      <x:c r="N11" s="79" t="str">
        <x:v>Once per turn after Armour absorbs physical damage, your next Strength weapon skill gains +10 Skill Power.</x:v>
      </x:c>
      <x:c r="O11" s="79" t="str">
        <x:v>Once per turn; consumed on the next Strength weapon skill.</x:v>
      </x:c>
      <x:c r="P11" s="79" t="str">
        <x:v>Armour absorption; Strength weapon skills</x:v>
      </x:c>
    </x:row>
    <x:row r="12">
      <x:c r="A12" s="90" t="str">
        <x:v>Duke</x:v>
      </x:c>
      <x:c r="B12" s="90" t="str">
        <x:v>Variable</x:v>
      </x:c>
      <x:c r="C12" s="90" t="str">
        <x:v>Variable</x:v>
      </x:c>
      <x:c r="D12" s="90" t="str">
        <x:v>Variable</x:v>
      </x:c>
      <x:c r="E12" s="90" t="str">
        <x:v>Variable</x:v>
      </x:c>
      <x:c r="F12" s="90" t="str">
        <x:v>Variable</x:v>
      </x:c>
      <x:c r="G12" s="90" t="str">
        <x:v>Variable</x:v>
      </x:c>
      <x:c r="H12" s="90" t="str">
        <x:v>Variable</x:v>
      </x:c>
      <x:c r="I12" s="90" t="str">
        <x:v>Curated unique</x:v>
      </x:c>
      <x:c r="J12" s="90" t="str">
        <x:v>Unique but budgeted</x:v>
      </x:c>
      <x:c r="K12" s="90" t="str">
        <x:v>Encounter-specific</x:v>
      </x:c>
      <x:c r="L12" s="90" t="str">
        <x:v>No duplicate class perk.</x:v>
      </x:c>
      <x:c r="M12" s="79" t="str">
        <x:v>Duke Ascension</x:v>
      </x:c>
      <x:c r="N12" s="79" t="str">
        <x:v>After defeating an enemy, restore 25% of normal Maximum Armour and Magic Armour and gain +5% all damage for the remainder of combat.</x:v>
      </x:c>
      <x:c r="O12" s="79" t="str">
        <x:v>After each enemy defeated in sequential combat.</x:v>
      </x:c>
      <x:c r="P12" s="79" t="str">
        <x:v>Sequential combat; protection restoration</x:v>
      </x:c>
    </x:row>
    <x:row r="15">
      <x:c r="A15" s="94" t="str">
        <x:v>Authoritative Class Perk Register</x:v>
      </x:c>
      <x:c r="B15" s="94"/>
      <x:c r="C15" s="94"/>
      <x:c r="D15" s="94"/>
      <x:c r="E15" s="94"/>
      <x:c r="F15" s="94"/>
      <x:c r="G15" s="94"/>
      <x:c r="H15" s="94"/>
    </x:row>
    <x:row r="16" ht="30" customHeight="1">
      <x:c r="A16" s="76" t="str">
        <x:v>Class</x:v>
      </x:c>
      <x:c r="B16" s="76" t="str">
        <x:v>Perk Name</x:v>
      </x:c>
      <x:c r="C16" s="76" t="str">
        <x:v>Perk Effect</x:v>
      </x:c>
      <x:c r="D16" s="76" t="str">
        <x:v>Trigger / Limit</x:v>
      </x:c>
      <x:c r="E16" s="76" t="str">
        <x:v>New-System Hook</x:v>
      </x:c>
      <x:c r="F16" s="76" t="str">
        <x:v>Balance Note</x:v>
      </x:c>
      <x:c r="G16" s="76" t="str">
        <x:v>Duplicate Audit</x:v>
      </x:c>
      <x:c r="H16" s="76" t="str">
        <x:v>Status</x:v>
      </x:c>
    </x:row>
    <x:row r="17">
      <x:c r="A17" s="79" t="str">
        <x:v>Knight</x:v>
      </x:c>
      <x:c r="B17" s="79" t="str">
        <x:v>Bulwark Oath</x:v>
      </x:c>
      <x:c r="C17" s="79" t="str">
        <x:v>Once per turn, after using Armour Restoration or Fortify, gain Minor Guard Up (+4 Guard) until the start of your next turn.</x:v>
      </x:c>
      <x:c r="D17" s="79" t="str">
        <x:v>Once per turn after Armour Restoration or Fortify.</x:v>
      </x:c>
      <x:c r="E17" s="79" t="str">
        <x:v>Armour restoration; Fortify; Guard</x:v>
      </x:c>
      <x:c r="F17" s="79" t="str">
        <x:v>Defensive class hook. Does not create Armour by itself.</x:v>
      </x:c>
      <x:c r="G17" s="79" t="str">
        <x:v>PASS — one perk per class</x:v>
      </x:c>
      <x:c r="H17" s="79" t="str">
        <x:v>APPROVED v1.0</x:v>
      </x:c>
    </x:row>
    <x:row r="18">
      <x:c r="A18" s="79" t="str">
        <x:v>Rogue</x:v>
      </x:c>
      <x:c r="B18" s="79" t="str">
        <x:v>Rogue Tempo</x:v>
      </x:c>
      <x:c r="C18" s="79" t="str">
        <x:v>Once per turn, if acting before the target, your first Weapon Skill 1 gains +10 Precision. If that skill breaks Armour, gain Minor Agility Up (+4 Agility) until the start of your next turn.</x:v>
      </x:c>
      <x:c r="D18" s="79" t="str">
        <x:v>Once per turn; applies to a 2 EN Weapon Skill 1.</x:v>
      </x:c>
      <x:c r="E18" s="79" t="str">
        <x:v>Weapon Skill 1; Armour break; turn order</x:v>
      </x:c>
      <x:c r="F18" s="79" t="str">
        <x:v>Replaces the legacy first 1 EN damage bonus.</x:v>
      </x:c>
      <x:c r="G18" s="79" t="str">
        <x:v>PASS — one perk per class</x:v>
      </x:c>
      <x:c r="H18" s="79" t="str">
        <x:v>APPROVED v1.0</x:v>
      </x:c>
    </x:row>
    <x:row r="19">
      <x:c r="A19" s="79" t="str">
        <x:v>Mage</x:v>
      </x:c>
      <x:c r="B19" s="79" t="str">
        <x:v>Arcane Pressure</x:v>
      </x:c>
      <x:c r="C19" s="79" t="str">
        <x:v>The first Magic weapon skill you use each turn deals 10% additional damage to Magic Armour only. This bonus does not increase Health damage.</x:v>
      </x:c>
      <x:c r="D19" s="79" t="str">
        <x:v>Once per turn on the first Magic weapon skill.</x:v>
      </x:c>
      <x:c r="E19" s="79" t="str">
        <x:v>Magic Armour pressure</x:v>
      </x:c>
      <x:c r="F19" s="79" t="str">
        <x:v>Encourages breaking Magic Armour without inflating Health damage.</x:v>
      </x:c>
      <x:c r="G19" s="79" t="str">
        <x:v>PASS — one perk per class</x:v>
      </x:c>
      <x:c r="H19" s="79" t="str">
        <x:v>APPROVED v1.0</x:v>
      </x:c>
    </x:row>
    <x:row r="20">
      <x:c r="A20" s="79" t="str">
        <x:v>Siren</x:v>
      </x:c>
      <x:c r="B20" s="79" t="str">
        <x:v>Cursed Call</x:v>
      </x:c>
      <x:c r="C20" s="79" t="str">
        <x:v>Once per turn after you break Magic Armour, the next ailment or stat debuff you apply to that target gains +10 percentage points application chance and lasts 1 additional turn.</x:v>
      </x:c>
      <x:c r="D20" s="79" t="str">
        <x:v>Once per turn; consumed by the next qualifying ailment or debuff.</x:v>
      </x:c>
      <x:c r="E20" s="79" t="str">
        <x:v>Magic Armour break; ailment gate</x:v>
      </x:c>
      <x:c r="F20" s="79" t="str">
        <x:v>Does not bypass Magic Armour or guarantee application.</x:v>
      </x:c>
      <x:c r="G20" s="79" t="str">
        <x:v>PASS — one perk per class</x:v>
      </x:c>
      <x:c r="H20" s="79" t="str">
        <x:v>APPROVED v1.0</x:v>
      </x:c>
    </x:row>
    <x:row r="21">
      <x:c r="A21" s="79" t="str">
        <x:v>Inquisitor</x:v>
      </x:c>
      <x:c r="B21" s="79" t="str">
        <x:v>Judgement Leech</x:v>
      </x:c>
      <x:c r="C21" s="79" t="str">
        <x:v>Once per turn after a damaging skill hits an ailmented, debuffed or Marked target, restore 2 to the lower of Armour or Magic Armour, capped at its normal maximum. If both pools are full, heal 5% Maximum Health.</x:v>
      </x:c>
      <x:c r="D21" s="79" t="str">
        <x:v>Once per turn after Health damage to a qualifying target.</x:v>
      </x:c>
      <x:c r="E21" s="79" t="str">
        <x:v>Protection restoration; ailments; marks</x:v>
      </x:c>
      <x:c r="F21" s="79" t="str">
        <x:v>Carrion Mark and other non-stat Marks may qualify when explicitly stated.</x:v>
      </x:c>
      <x:c r="G21" s="79" t="str">
        <x:v>PASS — one perk per class</x:v>
      </x:c>
      <x:c r="H21" s="79" t="str">
        <x:v>APPROVED v1.0</x:v>
      </x:c>
    </x:row>
    <x:row r="22">
      <x:c r="A22" s="79" t="str">
        <x:v>Bard</x:v>
      </x:c>
      <x:c r="B22" s="79" t="str">
        <x:v>Verse and Chorus</x:v>
      </x:c>
      <x:c r="C22" s="79" t="str">
        <x:v>Once per turn, when you alternate Martial and Magic damaging skills, the second skill restores 2 to the lower protection pool. If both pools are full, it gains +10 Skill Power instead.</x:v>
      </x:c>
      <x:c r="D22" s="79" t="str">
        <x:v>Once per turn on the second skill in a Martial/Magic alternation.</x:v>
      </x:c>
      <x:c r="E22" s="79" t="str">
        <x:v>Hybrid weapons; protection restoration; Skill Power</x:v>
      </x:c>
      <x:c r="F22" s="79" t="str">
        <x:v>The second skill must be a damaging skill.</x:v>
      </x:c>
      <x:c r="G22" s="79" t="str">
        <x:v>PASS — one perk per class</x:v>
      </x:c>
      <x:c r="H22" s="79" t="str">
        <x:v>APPROVED v1.0</x:v>
      </x:c>
    </x:row>
    <x:row r="23">
      <x:c r="A23" s="79" t="str">
        <x:v>Brute</x:v>
      </x:c>
      <x:c r="B23" s="79" t="str">
        <x:v>Crushing Momentum</x:v>
      </x:c>
      <x:c r="C23" s="79" t="str">
        <x:v>Once per turn after Armour absorbs physical damage, your next Strength weapon skill gains +10 Skill Power.</x:v>
      </x:c>
      <x:c r="D23" s="79" t="str">
        <x:v>Once per turn; consumed on the next Strength weapon skill.</x:v>
      </x:c>
      <x:c r="E23" s="79" t="str">
        <x:v>Armour absorption; Strength weapon skills</x:v>
      </x:c>
      <x:c r="F23" s="79" t="str">
        <x:v>No hidden Brute damage multiplier.</x:v>
      </x:c>
      <x:c r="G23" s="79" t="str">
        <x:v>PASS — one perk per class</x:v>
      </x:c>
      <x:c r="H23" s="79" t="str">
        <x:v>APPROVED v1.0</x:v>
      </x:c>
    </x:row>
    <x:row r="24">
      <x:c r="A24" s="79" t="str">
        <x:v>Duke</x:v>
      </x:c>
      <x:c r="B24" s="79" t="str">
        <x:v>Duke Ascension</x:v>
      </x:c>
      <x:c r="C24" s="79" t="str">
        <x:v>After defeating an enemy, restore 25% of normal Maximum Armour and Magic Armour and gain +5% all damage for the remainder of combat.</x:v>
      </x:c>
      <x:c r="D24" s="79" t="str">
        <x:v>After each enemy defeated in sequential combat.</x:v>
      </x:c>
      <x:c r="E24" s="79" t="str">
        <x:v>Sequential combat; protection restoration</x:v>
      </x:c>
      <x:c r="F24" s="79" t="str">
        <x:v>Boss Duke override remains separate: while above 50% Health, +10% damage and 10% less damage taken.</x:v>
      </x:c>
      <x:c r="G24" s="79" t="str">
        <x:v>PASS — one perk per class</x:v>
      </x:c>
      <x:c r="H24" s="79" t="str">
        <x:v>APPROVED v1.0</x:v>
      </x:c>
    </x:row>
  </x:sheetData>
  <x:mergeCells>
    <x:mergeCell ref="A2:L2"/>
    <x:mergeCell ref="A1:P1"/>
    <x:mergeCell ref="A15:H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4" hidden="0" customWidth="1"/>
    <x:col min="8" max="8" width="11" hidden="0" customWidth="1"/>
    <x:col min="9" max="9" width="10" hidden="0" customWidth="1"/>
    <x:col min="10" max="10" width="9" hidden="0" customWidth="1"/>
    <x:col min="11" max="11" width="10" hidden="0" customWidth="1"/>
    <x:col min="12" max="12" width="9" hidden="0" customWidth="1"/>
    <x:col min="13" max="13" width="9" hidden="0" customWidth="1"/>
    <x:col min="14" max="14" width="10" hidden="0" customWidth="1"/>
    <x:col min="15" max="15" width="9" hidden="0" customWidth="1"/>
    <x:col min="16" max="16" width="11" hidden="0" customWidth="1"/>
    <x:col min="17" max="17" width="14" hidden="0" customWidth="1"/>
    <x:col min="18" max="18" width="12" hidden="0" customWidth="1"/>
    <x:col min="19" max="19" width="24" hidden="0" customWidth="1"/>
    <x:col min="20" max="20" width="42" hidden="0" customWidth="1"/>
    <x:col min="21" max="21" width="46" hidden="0" customWidth="1"/>
    <x:col min="22" max="22" width="12" hidden="0" customWidth="1"/>
    <x:col min="23" max="23" width="11" hidden="0" customWidth="1"/>
    <x:col min="24" max="24" width="12" hidden="0" customWidth="1"/>
    <x:col min="25" max="25" width="11" hidden="0" customWidth="1"/>
    <x:col min="26" max="26" width="9" hidden="0" customWidth="1"/>
    <x:col min="27" max="27" width="24" hidden="0" customWidth="1"/>
    <x:col min="28" max="28" width="52" hidden="0" customWidth="1"/>
    <x:col min="29" max="29" width="22" hidden="0" customWidth="1"/>
    <x:col min="30" max="30" width="52" hidden="0" customWidth="1"/>
  </x:cols>
  <x:sheetData>
    <x:row r="1" ht="30" hidden="0" customHeight="1">
      <x:c r="A1" s="62" t="str">
        <x:v>Bird Base Stats and Passive/Perk Summaries — v1.0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  <x:c r="AA1" s="62"/>
      <x:c r="AB1" s="62"/>
      <x:c r="AC1" s="62"/>
      <x:c r="AD1" s="62"/>
    </x:row>
    <x:row r="2" ht="79.19999694824219" hidden="0" customHeight="1">
      <x:c r="A2" s="10" t="str">
        <x:v>All 52 birds use low Base Health by size and pre-built tier-budgeted attributes. These same rows are authoritative for player birds and NPC/enemy birds.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41"/>
      <x:c r="W2" s="41"/>
      <x:c r="X2" s="41"/>
      <x:c r="Y2" s="41"/>
      <x:c r="Z2" s="41"/>
    </x:row>
    <x:row r="3" ht="15" hidden="0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</x:row>
    <x:row r="4" ht="30" hidden="0" customHeight="1">
      <x:c r="A4" s="17" t="str">
        <x:v>Bird Name</x:v>
      </x:c>
      <x:c r="B4" s="17" t="str">
        <x:v>Class</x:v>
      </x:c>
      <x:c r="C4" s="17" t="str">
        <x:v>Real Size</x:v>
      </x:c>
      <x:c r="D4" s="17" t="str">
        <x:v>Species Tier</x:v>
      </x:c>
      <x:c r="E4" s="17" t="str">
        <x:v>Tier Rank</x:v>
      </x:c>
      <x:c r="F4" s="17" t="str">
        <x:v>Starter?</x:v>
      </x:c>
      <x:c r="G4" s="17" t="str">
        <x:v>Affinity</x:v>
      </x:c>
      <x:c r="H4" s="17" t="str">
        <x:v>Base Health</x:v>
      </x:c>
      <x:c r="I4" s="17" t="str">
        <x:v>Base Vitality</x:v>
      </x:c>
      <x:c r="J4" s="17" t="str">
        <x:v>Might</x:v>
      </x:c>
      <x:c r="K4" s="17" t="str">
        <x:v>Dexterity</x:v>
      </x:c>
      <x:c r="L4" s="17" t="str">
        <x:v>Guard</x:v>
      </x:c>
      <x:c r="M4" s="17" t="str">
        <x:v>Focus</x:v>
      </x:c>
      <x:c r="N4" s="17" t="str">
        <x:v>Resolve</x:v>
      </x:c>
      <x:c r="O4" s="17" t="str">
        <x:v>Agility</x:v>
      </x:c>
      <x:c r="P4" s="17" t="str">
        <x:v>Derived Dodge %</x:v>
      </x:c>
      <x:c r="Q4" s="17" t="str">
        <x:v>Critical %</x:v>
      </x:c>
      <x:c r="R4" s="17" t="str">
        <x:v>Ferocity</x:v>
      </x:c>
      <x:c r="S4" s="17" t="str">
        <x:v>Primary Scaling</x:v>
      </x:c>
      <x:c r="T4" s="17" t="str">
        <x:v>Role Note</x:v>
      </x:c>
      <x:c r="U4" s="17" t="str">
        <x:v>Migration Note</x:v>
      </x:c>
      <x:c r="V4" s="37" t="str">
        <x:v>Attribute Total</x:v>
      </x:c>
      <x:c r="W4" s="37" t="str">
        <x:v>Tier Budget</x:v>
      </x:c>
      <x:c r="X4" s="37" t="str">
        <x:v>Tier Stat Cap</x:v>
      </x:c>
      <x:c r="Y4" s="37" t="str">
        <x:v>Budget Audit</x:v>
      </x:c>
      <x:c r="Z4" s="37" t="str">
        <x:v>Cap Audit</x:v>
      </x:c>
      <x:c r="AA4" s="76" t="str">
        <x:v>Passive Name</x:v>
      </x:c>
      <x:c r="AB4" s="76" t="str">
        <x:v>Passive Summary</x:v>
      </x:c>
      <x:c r="AC4" s="76" t="str">
        <x:v>Class Perk</x:v>
      </x:c>
      <x:c r="AD4" s="76" t="str">
        <x:v>Class Perk Summary</x:v>
      </x:c>
    </x:row>
    <x:row r="5" ht="26.399999618530273" hidden="0" customHeight="1">
      <x:c r="A5" s="24" t="str">
        <x:v>Sparrow</x:v>
      </x:c>
      <x:c r="B5" s="24" t="str">
        <x:v>Rogue</x:v>
      </x:c>
      <x:c r="C5" s="24" t="str">
        <x:v>Small</x:v>
      </x:c>
      <x:c r="D5" s="24" t="str">
        <x:v>Grey</x:v>
      </x:c>
      <x:c r="E5" s="24" t="n">
        <x:v>1</x:v>
      </x:c>
      <x:c r="F5" s="24" t="str">
        <x:v>Yes</x:v>
      </x:c>
      <x:c r="G5" s="24" t="str">
        <x:v>Sky</x:v>
      </x:c>
      <x:c r="H5" s="24" t="n">
        <x:v>10</x:v>
      </x:c>
      <x:c r="I5" s="24" t="n">
        <x:v>3</x:v>
      </x:c>
      <x:c r="J5" s="24" t="n">
        <x:v>1</x:v>
      </x:c>
      <x:c r="K5" s="24" t="n">
        <x:v>9</x:v>
      </x:c>
      <x:c r="L5" s="24" t="n">
        <x:v>4</x:v>
      </x:c>
      <x:c r="M5" s="24" t="n">
        <x:v>0</x:v>
      </x:c>
      <x:c r="N5" s="24" t="n">
        <x:v>4</x:v>
      </x:c>
      <x:c r="O5" s="24" t="n">
        <x:v>9</x:v>
      </x:c>
      <x:c r="P5" s="30" t="n">
        <x:f>MIN(0.5,O5*0.005)</x:f>
        <x:v>0.045</x:v>
      </x:c>
      <x:c r="Q5" s="30" t="n">
        <x:v>0.1</x:v>
      </x:c>
      <x:c r="R5" s="24" t="n">
        <x:v>1.55</x:v>
      </x:c>
      <x:c r="S5" s="24" t="str">
        <x:v>Dexterity</x:v>
      </x:c>
      <x:c r="T5" s="24" t="str">
        <x:v>Starter rogue: balanced tiny skirmisher; uses Dexterity/Might light chains, not raw burst.</x:v>
      </x:c>
      <x:c r="U5" s="24" t="str">
        <x:v>v0.9 pre-built base allocation: 30 points; Grey cap 10; Base Health 10 from Small size. Player and NPC instances use this same Bird Stats row.</x:v>
      </x:c>
      <x:c r="V5" s="38" t="n">
        <x:f>SUM(I5:O5)</x:f>
        <x:v>30</x:v>
      </x:c>
      <x:c r="W5" s="38" t="n">
        <x:f>IF(D5="Gold",32,IF(D5="Orange",34,30))</x:f>
        <x:v>30</x:v>
      </x:c>
      <x:c r="X5" s="38" t="n">
        <x:f>IF(D5="Grey",10,IF(D5="Green",12,IF(D5="Blue",14,IF(D5="Purple",16,18))))</x:f>
        <x:v>10</x:v>
      </x:c>
      <x:c r="Y5" s="39" t="str">
        <x:f>IF(V5=W5,"PASS","FAIL")</x:f>
        <x:v>PASS</x:v>
      </x:c>
      <x:c r="Z5" s="39" t="str">
        <x:f>IF(MAX(I5:O5)&lt;=X5,"PASS","FAIL")</x:f>
        <x:v>PASS</x:v>
      </x:c>
      <x:c r="AA5" s="79" t="str">
        <x:v>Fledgling Grit</x:v>
      </x:c>
      <x:c r="AB5" s="79" t="str">
        <x:v>After using Hedge Hop, your next Weapon Skill 1 gains +10 Precision and +5 percentage points Critical Chance.</x:v>
      </x:c>
      <x:c r="AC5" s="79" t="str">
        <x:v>Rogue Tempo</x:v>
      </x:c>
      <x:c r="AD5" s="79" t="str">
        <x:v>Once per turn, if acting before the target, your first Weapon Skill 1 gains +10 Precision. If that skill breaks Armour, gain Minor Agility Up (+4 Agility) until the start of your next turn.</x:v>
      </x:c>
    </x:row>
    <x:row r="6" ht="26.399999618530273" hidden="0" customHeight="1">
      <x:c r="A6" s="24" t="str">
        <x:v>Hummingbird</x:v>
      </x:c>
      <x:c r="B6" s="24" t="str">
        <x:v>Rogue</x:v>
      </x:c>
      <x:c r="C6" s="24" t="str">
        <x:v>Tiny</x:v>
      </x:c>
      <x:c r="D6" s="24" t="str">
        <x:v>Green</x:v>
      </x:c>
      <x:c r="E6" s="24" t="n">
        <x:v>2</x:v>
      </x:c>
      <x:c r="F6" s="24" t="str">
        <x:v>No</x:v>
      </x:c>
      <x:c r="G6" s="24" t="str">
        <x:v>Sky</x:v>
      </x:c>
      <x:c r="H6" s="24" t="n">
        <x:v>8</x:v>
      </x:c>
      <x:c r="I6" s="24" t="n">
        <x:v>0</x:v>
      </x:c>
      <x:c r="J6" s="24" t="n">
        <x:v>0</x:v>
      </x:c>
      <x:c r="K6" s="24" t="n">
        <x:v>10</x:v>
      </x:c>
      <x:c r="L6" s="24" t="n">
        <x:v>1</x:v>
      </x:c>
      <x:c r="M6" s="24" t="n">
        <x:v>0</x:v>
      </x:c>
      <x:c r="N6" s="24" t="n">
        <x:v>7</x:v>
      </x:c>
      <x:c r="O6" s="24" t="n">
        <x:v>12</x:v>
      </x:c>
      <x:c r="P6" s="30" t="n">
        <x:f>MIN(0.5,O6*0.005)</x:f>
        <x:v>0.06</x:v>
      </x:c>
      <x:c r="Q6" s="30" t="n">
        <x:v>0.12</x:v>
      </x:c>
      <x:c r="R6" s="24" t="n">
        <x:v>1.55</x:v>
      </x:c>
      <x:c r="S6" s="24" t="str">
        <x:v>Dexterity</x:v>
      </x:c>
      <x:c r="T6" s="24" t="str">
        <x:v>Extreme Agility/Dodge rogue: lowest durability and Might, strongest tempo identity.</x:v>
      </x:c>
      <x:c r="U6" s="24" t="str">
        <x:v>v0.9 pre-built base allocation: 30 points; Green cap 12; Base Health 8 from Tiny size. Player and NPC instances use this same Bird Stats row.</x:v>
      </x:c>
      <x:c r="V6" s="38" t="n">
        <x:f>SUM(I6:O6)</x:f>
        <x:v>30</x:v>
      </x:c>
      <x:c r="W6" s="38" t="n">
        <x:f>IF(D6="Gold",32,IF(D6="Orange",34,30))</x:f>
        <x:v>30</x:v>
      </x:c>
      <x:c r="X6" s="38" t="n">
        <x:f>IF(D6="Grey",10,IF(D6="Green",12,IF(D6="Blue",14,IF(D6="Purple",16,18))))</x:f>
        <x:v>12</x:v>
      </x:c>
      <x:c r="Y6" s="39" t="str">
        <x:f>IF(V6=W6,"PASS","FAIL")</x:f>
        <x:v>PASS</x:v>
      </x:c>
      <x:c r="Z6" s="39" t="str">
        <x:f>IF(MAX(I6:O6)&lt;=X6,"PASS","FAIL")</x:f>
        <x:v>PASS</x:v>
      </x:c>
      <x:c r="AA6" s="79" t="str">
        <x:v>Ruby Needle Tempo</x:v>
      </x:c>
      <x:c r="AB6" s="79" t="str">
        <x:v>After using two different skills in the same turn, gain Minor Agility Up (+4 Agility) until the start of your next turn and restore 1 Magic Armour, capped at its normal maximum.</x:v>
      </x:c>
      <x:c r="AC6" s="79" t="str">
        <x:v>Rogue Tempo</x:v>
      </x:c>
      <x:c r="AD6" s="79" t="str">
        <x:v>Once per turn, if acting before the target, your first Weapon Skill 1 gains +10 Precision. If that skill breaks Armour, gain Minor Agility Up (+4 Agility) until the start of your next turn.</x:v>
      </x:c>
    </x:row>
    <x:row r="7" ht="26.399999618530273" hidden="0" customHeight="1">
      <x:c r="A7" s="24" t="str">
        <x:v>Blackbird</x:v>
      </x:c>
      <x:c r="B7" s="24" t="str">
        <x:v>Mage</x:v>
      </x:c>
      <x:c r="C7" s="24" t="str">
        <x:v>Small</x:v>
      </x:c>
      <x:c r="D7" s="24" t="str">
        <x:v>Grey</x:v>
      </x:c>
      <x:c r="E7" s="24" t="n">
        <x:v>1</x:v>
      </x:c>
      <x:c r="F7" s="24" t="str">
        <x:v>Yes</x:v>
      </x:c>
      <x:c r="G7" s="24" t="str">
        <x:v>Night</x:v>
      </x:c>
      <x:c r="H7" s="24" t="n">
        <x:v>10</x:v>
      </x:c>
      <x:c r="I7" s="24" t="n">
        <x:v>2</x:v>
      </x:c>
      <x:c r="J7" s="24" t="n">
        <x:v>0</x:v>
      </x:c>
      <x:c r="K7" s="24" t="n">
        <x:v>0</x:v>
      </x:c>
      <x:c r="L7" s="24" t="n">
        <x:v>3</x:v>
      </x:c>
      <x:c r="M7" s="24" t="n">
        <x:v>10</x:v>
      </x:c>
      <x:c r="N7" s="24" t="n">
        <x:v>8</x:v>
      </x:c>
      <x:c r="O7" s="24" t="n">
        <x:v>7</x:v>
      </x:c>
      <x:c r="P7" s="30" t="n">
        <x:f>MIN(0.5,O7*0.005)</x:f>
        <x:v>0.035</x:v>
      </x:c>
      <x:c r="Q7" s="30" t="n">
        <x:v>0.07</x:v>
      </x:c>
      <x:c r="R7" s="24" t="n">
        <x:v>1.5</x:v>
      </x:c>
      <x:c r="S7" s="24" t="str">
        <x:v>Focus</x:v>
      </x:c>
      <x:c r="T7" s="24" t="str">
        <x:v>Small mage: controlled Focus and reliable spell pressure; damage comes from coefficients and conditions.</x:v>
      </x:c>
      <x:c r="U7" s="24" t="str">
        <x:v>v0.9 pre-built base allocation: 30 points; Grey cap 10; Base Health 10 from Small size. Player and NPC instances use this same Bird Stats row.</x:v>
      </x:c>
      <x:c r="V7" s="38" t="n">
        <x:f>SUM(I7:O7)</x:f>
        <x:v>30</x:v>
      </x:c>
      <x:c r="W7" s="38" t="n">
        <x:f>IF(D7="Gold",32,IF(D7="Orange",34,30))</x:f>
        <x:v>30</x:v>
      </x:c>
      <x:c r="X7" s="38" t="n">
        <x:f>IF(D7="Grey",10,IF(D7="Green",12,IF(D7="Blue",14,IF(D7="Purple",16,18))))</x:f>
        <x:v>10</x:v>
      </x:c>
      <x:c r="Y7" s="39" t="str">
        <x:f>IF(V7=W7,"PASS","FAIL")</x:f>
        <x:v>PASS</x:v>
      </x:c>
      <x:c r="Z7" s="39" t="str">
        <x:f>IF(MAX(I7:O7)&lt;=X7,"PASS","FAIL")</x:f>
        <x:v>PASS</x:v>
      </x:c>
      <x:c r="AA7" s="79" t="str">
        <x:v>Plague-Nocturne</x:v>
      </x:c>
      <x:c r="AB7" s="79" t="str">
        <x:v>Your first Night Magic weapon skill each turn against a debuffed target gains +10 Skill Power against Magic Armour. If it damages Health, it also gains +10 Precision for its debuff or ailment roll.</x:v>
      </x:c>
      <x:c r="AC7" s="79" t="str">
        <x:v>Arcane Pressure</x:v>
      </x:c>
      <x:c r="AD7" s="79" t="str">
        <x:v>The first Magic weapon skill you use each turn deals 10% additional damage to Magic Armour only. This bonus does not increase Health damage.</x:v>
      </x:c>
    </x:row>
    <x:row r="8" ht="26.399999618530273" hidden="0" customHeight="1">
      <x:c r="A8" s="24" t="str">
        <x:v>Macaw</x:v>
      </x:c>
      <x:c r="B8" s="24" t="str">
        <x:v>Bard</x:v>
      </x:c>
      <x:c r="C8" s="24" t="str">
        <x:v>Large</x:v>
      </x:c>
      <x:c r="D8" s="24" t="str">
        <x:v>Grey</x:v>
      </x:c>
      <x:c r="E8" s="24" t="n">
        <x:v>1</x:v>
      </x:c>
      <x:c r="F8" s="24" t="str">
        <x:v>Yes</x:v>
      </x:c>
      <x:c r="G8" s="24" t="str">
        <x:v>Day</x:v>
      </x:c>
      <x:c r="H8" s="24" t="n">
        <x:v>14</x:v>
      </x:c>
      <x:c r="I8" s="24" t="n">
        <x:v>4</x:v>
      </x:c>
      <x:c r="J8" s="24" t="n">
        <x:v>3</x:v>
      </x:c>
      <x:c r="K8" s="24" t="n">
        <x:v>6</x:v>
      </x:c>
      <x:c r="L8" s="24" t="n">
        <x:v>4</x:v>
      </x:c>
      <x:c r="M8" s="24" t="n">
        <x:v>6</x:v>
      </x:c>
      <x:c r="N8" s="24" t="n">
        <x:v>5</x:v>
      </x:c>
      <x:c r="O8" s="24" t="n">
        <x:v>2</x:v>
      </x:c>
      <x:c r="P8" s="30" t="n">
        <x:f>MIN(0.5,O8*0.005)</x:f>
        <x:v>0.01</x:v>
      </x:c>
      <x:c r="Q8" s="30" t="n">
        <x:v>0.08</x:v>
      </x:c>
      <x:c r="R8" s="24" t="n">
        <x:v>1.5</x:v>
      </x:c>
      <x:c r="S8" s="24" t="str">
        <x:v>Dexterity / Focus</x:v>
      </x:c>
      <x:c r="T8" s="24" t="str">
        <x:v>Large Bard: sturdy hybrid support with strong voice and Focus, but no elite damage or Agility.</x:v>
      </x:c>
      <x:c r="U8" s="24" t="str">
        <x:v>v0.9 pre-built base allocation: 30 points; Grey cap 10; Base Health 14 from Large size. Player and NPC instances use this same Bird Stats row.</x:v>
      </x:c>
      <x:c r="V8" s="38" t="n">
        <x:f>SUM(I8:O8)</x:f>
        <x:v>30</x:v>
      </x:c>
      <x:c r="W8" s="38" t="n">
        <x:f>IF(D8="Gold",32,IF(D8="Orange",34,30))</x:f>
        <x:v>30</x:v>
      </x:c>
      <x:c r="X8" s="38" t="n">
        <x:f>IF(D8="Grey",10,IF(D8="Green",12,IF(D8="Blue",14,IF(D8="Purple",16,18))))</x:f>
        <x:v>10</x:v>
      </x:c>
      <x:c r="Y8" s="39" t="str">
        <x:f>IF(V8=W8,"PASS","FAIL")</x:f>
        <x:v>PASS</x:v>
      </x:c>
      <x:c r="Z8" s="39" t="str">
        <x:f>IF(MAX(I8:O8)&lt;=X8,"PASS","FAIL")</x:f>
        <x:v>PASS</x:v>
      </x:c>
      <x:c r="AA8" s="79" t="str">
        <x:v>Scarlet Echo Call</x:v>
      </x:c>
      <x:c r="AB8" s="79" t="str">
        <x:v>When Verse and Chorus triggers, the second skill also gains +10 Precision and restores 1 to the lower protection pool, capped at its normal maximum.</x:v>
      </x:c>
      <x:c r="AC8" s="79" t="str">
        <x:v>Verse and Chorus</x:v>
      </x:c>
      <x:c r="AD8" s="79" t="str">
        <x:v>Once per turn, when you alternate Martial and Magic damaging skills, the second skill restores 2 to the lower protection pool. If both pools are full, it gains +10 Skill Power instead.</x:v>
      </x:c>
    </x:row>
    <x:row r="9" ht="26.399999618530273" hidden="0" customHeight="1">
      <x:c r="A9" s="24" t="str">
        <x:v>Peregrine Falcon</x:v>
      </x:c>
      <x:c r="B9" s="24" t="str">
        <x:v>Rogue</x:v>
      </x:c>
      <x:c r="C9" s="24" t="str">
        <x:v>Medium</x:v>
      </x:c>
      <x:c r="D9" s="24" t="str">
        <x:v>Blue</x:v>
      </x:c>
      <x:c r="E9" s="24" t="n">
        <x:v>3</x:v>
      </x:c>
      <x:c r="F9" s="24" t="str">
        <x:v>No</x:v>
      </x:c>
      <x:c r="G9" s="24" t="str">
        <x:v>Sky</x:v>
      </x:c>
      <x:c r="H9" s="24" t="n">
        <x:v>12</x:v>
      </x:c>
      <x:c r="I9" s="24" t="n">
        <x:v>1</x:v>
      </x:c>
      <x:c r="J9" s="24" t="n">
        <x:v>1</x:v>
      </x:c>
      <x:c r="K9" s="24" t="n">
        <x:v>14</x:v>
      </x:c>
      <x:c r="L9" s="24" t="n">
        <x:v>2</x:v>
      </x:c>
      <x:c r="M9" s="24" t="n">
        <x:v>0</x:v>
      </x:c>
      <x:c r="N9" s="24" t="n">
        <x:v>3</x:v>
      </x:c>
      <x:c r="O9" s="24" t="n">
        <x:v>9</x:v>
      </x:c>
      <x:c r="P9" s="30" t="n">
        <x:f>MIN(0.5,O9*0.005)</x:f>
        <x:v>0.045</x:v>
      </x:c>
      <x:c r="Q9" s="30" t="n">
        <x:v>0.13</x:v>
      </x:c>
      <x:c r="R9" s="24" t="n">
        <x:v>1.55</x:v>
      </x:c>
      <x:c r="S9" s="24" t="str">
        <x:v>Dexterity</x:v>
      </x:c>
      <x:c r="T9" s="24" t="str">
        <x:v>Precision rogue: high Agility/Precision for dive attacks; lower Dodge than tiny evasive rogues.</x:v>
      </x:c>
      <x:c r="U9" s="24" t="str">
        <x:v>v0.9 pre-built base allocation: 30 points; Blue cap 14; Base Health 12 from Medium size. Player and NPC instances use this same Bird Stats row.</x:v>
      </x:c>
      <x:c r="V9" s="38" t="n">
        <x:f>SUM(I9:O9)</x:f>
        <x:v>30</x:v>
      </x:c>
      <x:c r="W9" s="38" t="n">
        <x:f>IF(D9="Gold",32,IF(D9="Orange",34,30))</x:f>
        <x:v>30</x:v>
      </x:c>
      <x:c r="X9" s="38" t="n">
        <x:f>IF(D9="Grey",10,IF(D9="Green",12,IF(D9="Blue",14,IF(D9="Purple",16,18))))</x:f>
        <x:v>14</x:v>
      </x:c>
      <x:c r="Y9" s="39" t="str">
        <x:f>IF(V9=W9,"PASS","FAIL")</x:f>
        <x:v>PASS</x:v>
      </x:c>
      <x:c r="Z9" s="39" t="str">
        <x:f>IF(MAX(I9:O9)&lt;=X9,"PASS","FAIL")</x:f>
        <x:v>PASS</x:v>
      </x:c>
      <x:c r="AA9" s="79" t="str">
        <x:v>Skyfall Precision</x:v>
      </x:c>
      <x:c r="AB9" s="79" t="str">
        <x:v>If acting before the target, your first Finesse Weapon Skill 1 or 2 each turn ignores 4 Guard.</x:v>
      </x:c>
      <x:c r="AC9" s="79" t="str">
        <x:v>Rogue Tempo</x:v>
      </x:c>
      <x:c r="AD9" s="79" t="str">
        <x:v>Once per turn, if acting before the target, your first Weapon Skill 1 gains +10 Precision. If that skill breaks Armour, gain Minor Agility Up (+4 Agility) until the start of your next turn.</x:v>
      </x:c>
    </x:row>
    <x:row r="10" ht="26.399999618530273" hidden="0" customHeight="1">
      <x:c r="A10" s="24" t="str">
        <x:v>Snowy Owl</x:v>
      </x:c>
      <x:c r="B10" s="24" t="str">
        <x:v>Mage</x:v>
      </x:c>
      <x:c r="C10" s="24" t="str">
        <x:v>Large</x:v>
      </x:c>
      <x:c r="D10" s="24" t="str">
        <x:v>Blue</x:v>
      </x:c>
      <x:c r="E10" s="24" t="n">
        <x:v>3</x:v>
      </x:c>
      <x:c r="F10" s="24" t="str">
        <x:v>No</x:v>
      </x:c>
      <x:c r="G10" s="24" t="str">
        <x:v>Water</x:v>
      </x:c>
      <x:c r="H10" s="24" t="n">
        <x:v>14</x:v>
      </x:c>
      <x:c r="I10" s="24" t="n">
        <x:v>4</x:v>
      </x:c>
      <x:c r="J10" s="24" t="n">
        <x:v>0</x:v>
      </x:c>
      <x:c r="K10" s="24" t="n">
        <x:v>0</x:v>
      </x:c>
      <x:c r="L10" s="24" t="n">
        <x:v>3</x:v>
      </x:c>
      <x:c r="M10" s="24" t="n">
        <x:v>14</x:v>
      </x:c>
      <x:c r="N10" s="24" t="n">
        <x:v>6</x:v>
      </x:c>
      <x:c r="O10" s="24" t="n">
        <x:v>3</x:v>
      </x:c>
      <x:c r="P10" s="30" t="n">
        <x:f>MIN(0.5,O10*0.005)</x:f>
        <x:v>0.015</x:v>
      </x:c>
      <x:c r="Q10" s="30" t="n">
        <x:v>0.08</x:v>
      </x:c>
      <x:c r="R10" s="24" t="n">
        <x:v>1.5</x:v>
      </x:c>
      <x:c r="S10" s="24" t="str">
        <x:v>Focus</x:v>
      </x:c>
      <x:c r="T10" s="24" t="str">
        <x:v>Water Mage: frost-water control and magic penetration through Chilled targets.</x:v>
      </x:c>
      <x:c r="U10" s="24" t="str">
        <x:v>v0.9 pre-built base allocation: 30 points; Blue cap 14; Base Health 14 from Large size. Player and NPC instances use this same Bird Stats row.</x:v>
      </x:c>
      <x:c r="V10" s="38" t="n">
        <x:f>SUM(I10:O10)</x:f>
        <x:v>30</x:v>
      </x:c>
      <x:c r="W10" s="38" t="n">
        <x:f>IF(D10="Gold",32,IF(D10="Orange",34,30))</x:f>
        <x:v>30</x:v>
      </x:c>
      <x:c r="X10" s="38" t="n">
        <x:f>IF(D10="Grey",10,IF(D10="Green",12,IF(D10="Blue",14,IF(D10="Purple",16,18))))</x:f>
        <x:v>14</x:v>
      </x:c>
      <x:c r="Y10" s="39" t="str">
        <x:f>IF(V10=W10,"PASS","FAIL")</x:f>
        <x:v>PASS</x:v>
      </x:c>
      <x:c r="Z10" s="39" t="str">
        <x:f>IF(MAX(I10:O10)&lt;=X10,"PASS","FAIL")</x:f>
        <x:v>PASS</x:v>
      </x:c>
      <x:c r="AA10" s="79" t="str">
        <x:v>Frost-Sight Vigil</x:v>
      </x:c>
      <x:c r="AB10" s="79" t="str">
        <x:v>After applying Chilled, your next Magic weapon skill gains +20 Skill Power against Magic Armour.</x:v>
      </x:c>
      <x:c r="AC10" s="79" t="str">
        <x:v>Arcane Pressure</x:v>
      </x:c>
      <x:c r="AD10" s="79" t="str">
        <x:v>The first Magic weapon skill you use each turn deals 10% additional damage to Magic Armour only. This bonus does not increase Health damage.</x:v>
      </x:c>
    </x:row>
    <x:row r="11" ht="26.399999618530273" hidden="0" customHeight="1">
      <x:c r="A11" s="24" t="str">
        <x:v>Kiwi</x:v>
      </x:c>
      <x:c r="B11" s="24" t="str">
        <x:v>Inquisitor</x:v>
      </x:c>
      <x:c r="C11" s="24" t="str">
        <x:v>Large</x:v>
      </x:c>
      <x:c r="D11" s="24" t="str">
        <x:v>Blue</x:v>
      </x:c>
      <x:c r="E11" s="24" t="n">
        <x:v>3</x:v>
      </x:c>
      <x:c r="F11" s="24" t="str">
        <x:v>No</x:v>
      </x:c>
      <x:c r="G11" s="24" t="str">
        <x:v>Earth</x:v>
      </x:c>
      <x:c r="H11" s="24" t="n">
        <x:v>14</x:v>
      </x:c>
      <x:c r="I11" s="24" t="n">
        <x:v>7</x:v>
      </x:c>
      <x:c r="J11" s="24" t="n">
        <x:v>4</x:v>
      </x:c>
      <x:c r="K11" s="24" t="n">
        <x:v>1</x:v>
      </x:c>
      <x:c r="L11" s="24" t="n">
        <x:v>5</x:v>
      </x:c>
      <x:c r="M11" s="24" t="n">
        <x:v>3</x:v>
      </x:c>
      <x:c r="N11" s="24" t="n">
        <x:v>8</x:v>
      </x:c>
      <x:c r="O11" s="24" t="n">
        <x:v>2</x:v>
      </x:c>
      <x:c r="P11" s="30" t="n">
        <x:f>MIN(0.5,O11*0.005)</x:f>
        <x:v>0.01</x:v>
      </x:c>
      <x:c r="Q11" s="30" t="n">
        <x:v>0.06</x:v>
      </x:c>
      <x:c r="R11" s="24" t="n">
        <x:v>1.5</x:v>
      </x:c>
      <x:c r="S11" s="24" t="str">
        <x:v>Might / Focus / Resolve</x:v>
      </x:c>
      <x:c r="T11" s="24" t="str">
        <x:v>Grounded Inquisitor: sturdy anti-magic sustain with modest Might and low tempo.</x:v>
      </x:c>
      <x:c r="U11" s="24" t="str">
        <x:v>v0.9 pre-built base allocation: 30 points; Blue cap 14; Base Health 14 from Large size. Player and NPC instances use this same Bird Stats row.</x:v>
      </x:c>
      <x:c r="V11" s="38" t="n">
        <x:f>SUM(I11:O11)</x:f>
        <x:v>30</x:v>
      </x:c>
      <x:c r="W11" s="38" t="n">
        <x:f>IF(D11="Gold",32,IF(D11="Orange",34,30))</x:f>
        <x:v>30</x:v>
      </x:c>
      <x:c r="X11" s="38" t="n">
        <x:f>IF(D11="Grey",10,IF(D11="Green",12,IF(D11="Blue",14,IF(D11="Purple",16,18))))</x:f>
        <x:v>14</x:v>
      </x:c>
      <x:c r="Y11" s="39" t="str">
        <x:f>IF(V11=W11,"PASS","FAIL")</x:f>
        <x:v>PASS</x:v>
      </x:c>
      <x:c r="Z11" s="39" t="str">
        <x:f>IF(MAX(I11:O11)&lt;=X11,"PASS","FAIL")</x:f>
        <x:v>PASS</x:v>
      </x:c>
      <x:c r="AA11" s="79" t="str">
        <x:v>Night Forager</x:v>
      </x:c>
      <x:c r="AB11" s="79" t="str">
        <x:v>Your first physical weapon hit each turn against a debuffed or Marked target ignores 4 Guard.</x:v>
      </x:c>
      <x:c r="AC11" s="79" t="str">
        <x:v>Judgement Leech</x:v>
      </x:c>
      <x:c r="AD11" s="79" t="str">
        <x:v>Once per turn after a damaging skill hits an ailmented, debuffed or Marked target, restore 2 to the lower of Armour or Magic Armour, capped at its normal maximum. If both pools are full, heal 5% Maximum Health.</x:v>
      </x:c>
    </x:row>
    <x:row r="12" ht="26.399999618530273" hidden="0" customHeight="1">
      <x:c r="A12" s="24" t="str">
        <x:v>Black Cockatoo</x:v>
      </x:c>
      <x:c r="B12" s="24" t="str">
        <x:v>Bard</x:v>
      </x:c>
      <x:c r="C12" s="24" t="str">
        <x:v>Medium</x:v>
      </x:c>
      <x:c r="D12" s="24" t="str">
        <x:v>Blue</x:v>
      </x:c>
      <x:c r="E12" s="24" t="n">
        <x:v>3</x:v>
      </x:c>
      <x:c r="F12" s="24" t="str">
        <x:v>No</x:v>
      </x:c>
      <x:c r="G12" s="24" t="str">
        <x:v>Storm</x:v>
      </x:c>
      <x:c r="H12" s="24" t="n">
        <x:v>12</x:v>
      </x:c>
      <x:c r="I12" s="24" t="n">
        <x:v>4</x:v>
      </x:c>
      <x:c r="J12" s="24" t="n">
        <x:v>2</x:v>
      </x:c>
      <x:c r="K12" s="24" t="n">
        <x:v>6</x:v>
      </x:c>
      <x:c r="L12" s="24" t="n">
        <x:v>4</x:v>
      </x:c>
      <x:c r="M12" s="24" t="n">
        <x:v>6</x:v>
      </x:c>
      <x:c r="N12" s="24" t="n">
        <x:v>5</x:v>
      </x:c>
      <x:c r="O12" s="24" t="n">
        <x:v>3</x:v>
      </x:c>
      <x:c r="P12" s="30" t="n">
        <x:f>MIN(0.5,O12*0.005)</x:f>
        <x:v>0.015</x:v>
      </x:c>
      <x:c r="Q12" s="30" t="n">
        <x:v>0.08</x:v>
      </x:c>
      <x:c r="R12" s="24" t="n">
        <x:v>1.5</x:v>
      </x:c>
      <x:c r="S12" s="24" t="str">
        <x:v>Dexterity / Focus</x:v>
      </x:c>
      <x:c r="T12" s="24" t="str">
        <x:v>Resilient Bard: stronger Resolve and hybrid pressure, but lower Agility/Dodge than small Bards.</x:v>
      </x:c>
      <x:c r="U12" s="24" t="str">
        <x:v>v0.9 pre-built base allocation: 30 points; Blue cap 14; Base Health 12 from Medium size. Player and NPC instances use this same Bird Stats row.</x:v>
      </x:c>
      <x:c r="V12" s="38" t="n">
        <x:f>SUM(I12:O12)</x:f>
        <x:v>30</x:v>
      </x:c>
      <x:c r="W12" s="38" t="n">
        <x:f>IF(D12="Gold",32,IF(D12="Orange",34,30))</x:f>
        <x:v>30</x:v>
      </x:c>
      <x:c r="X12" s="38" t="n">
        <x:f>IF(D12="Grey",10,IF(D12="Green",12,IF(D12="Blue",14,IF(D12="Purple",16,18))))</x:f>
        <x:v>14</x:v>
      </x:c>
      <x:c r="Y12" s="39" t="str">
        <x:f>IF(V12=W12,"PASS","FAIL")</x:f>
        <x:v>PASS</x:v>
      </x:c>
      <x:c r="Z12" s="39" t="str">
        <x:f>IF(MAX(I12:O12)&lt;=X12,"PASS","FAIL")</x:f>
        <x:v>PASS</x:v>
      </x:c>
      <x:c r="AA12" s="79" t="str">
        <x:v>Ashen Rhythm</x:v>
      </x:c>
      <x:c r="AB12" s="79" t="str">
        <x:v>After using a song or call, your next Magic damaging skill deals 2 additional Magic Armour damage. If it damages Health, apply -10 Precision for 1 turn.</x:v>
      </x:c>
      <x:c r="AC12" s="79" t="str">
        <x:v>Verse and Chorus</x:v>
      </x:c>
      <x:c r="AD12" s="79" t="str">
        <x:v>Once per turn, when you alternate Martial and Magic damaging skills, the second skill restores 2 to the lower protection pool. If both pools are full, it gains +10 Skill Power instead.</x:v>
      </x:c>
    </x:row>
    <x:row r="13" ht="26.399999618530273" hidden="0" customHeight="1">
      <x:c r="A13" s="24" t="str">
        <x:v>Crow</x:v>
      </x:c>
      <x:c r="B13" s="24" t="str">
        <x:v>Knight</x:v>
      </x:c>
      <x:c r="C13" s="24" t="str">
        <x:v>Medium</x:v>
      </x:c>
      <x:c r="D13" s="24" t="str">
        <x:v>Grey</x:v>
      </x:c>
      <x:c r="E13" s="24" t="n">
        <x:v>1</x:v>
      </x:c>
      <x:c r="F13" s="24" t="str">
        <x:v>Yes</x:v>
      </x:c>
      <x:c r="G13" s="24" t="str">
        <x:v>Storm</x:v>
      </x:c>
      <x:c r="H13" s="24" t="n">
        <x:v>12</x:v>
      </x:c>
      <x:c r="I13" s="24" t="n">
        <x:v>5</x:v>
      </x:c>
      <x:c r="J13" s="24" t="n">
        <x:v>8</x:v>
      </x:c>
      <x:c r="K13" s="24" t="n">
        <x:v>2</x:v>
      </x:c>
      <x:c r="L13" s="24" t="n">
        <x:v>8</x:v>
      </x:c>
      <x:c r="M13" s="24" t="n">
        <x:v>0</x:v>
      </x:c>
      <x:c r="N13" s="24" t="n">
        <x:v>4</x:v>
      </x:c>
      <x:c r="O13" s="24" t="n">
        <x:v>3</x:v>
      </x:c>
      <x:c r="P13" s="30" t="n">
        <x:f>MIN(0.5,O13*0.005)</x:f>
        <x:v>0.015</x:v>
      </x:c>
      <x:c r="Q13" s="30" t="n">
        <x:v>0.06</x:v>
      </x:c>
      <x:c r="R13" s="24" t="n">
        <x:v>1.5</x:v>
      </x:c>
      <x:c r="S13" s="24" t="str">
        <x:v>Might / Guard</x:v>
      </x:c>
      <x:c r="T13" s="24" t="str">
        <x:v>Core Knight: reliable Might/Guard defender; strong but not a burst Brute.</x:v>
      </x:c>
      <x:c r="U13" s="24" t="str">
        <x:v>v0.9 pre-built base allocation: 30 points; Grey cap 10; Base Health 12 from Medium size. Player and NPC instances use this same Bird Stats row.</x:v>
      </x:c>
      <x:c r="V13" s="38" t="n">
        <x:f>SUM(I13:O13)</x:f>
        <x:v>30</x:v>
      </x:c>
      <x:c r="W13" s="38" t="n">
        <x:f>IF(D13="Gold",32,IF(D13="Orange",34,30))</x:f>
        <x:v>30</x:v>
      </x:c>
      <x:c r="X13" s="38" t="n">
        <x:f>IF(D13="Grey",10,IF(D13="Green",12,IF(D13="Blue",14,IF(D13="Purple",16,18))))</x:f>
        <x:v>10</x:v>
      </x:c>
      <x:c r="Y13" s="39" t="str">
        <x:f>IF(V13=W13,"PASS","FAIL")</x:f>
        <x:v>PASS</x:v>
      </x:c>
      <x:c r="Z13" s="39" t="str">
        <x:f>IF(MAX(I13:O13)&lt;=X13,"PASS","FAIL")</x:f>
        <x:v>PASS</x:v>
      </x:c>
      <x:c r="AA13" s="79" t="str">
        <x:v>Carrion Guard</x:v>
      </x:c>
      <x:c r="AB13" s="79" t="str">
        <x:v>Once per turn after Armour absorbs physical damage, your next weapon skill deals 10% additional damage to Armour. If that hit damages Health, it may apply Minor Might Down (-4 Might) for 1 turn.</x:v>
      </x:c>
      <x:c r="AC13" s="79" t="str">
        <x:v>Bulwark Oath</x:v>
      </x:c>
      <x:c r="AD13" s="79" t="str">
        <x:v>Once per turn, after using Armour Restoration or Fortify, gain Minor Guard Up (+4 Guard) until the start of your next turn.</x:v>
      </x:c>
    </x:row>
    <x:row r="14" ht="26.399999618530273" hidden="0" customHeight="1">
      <x:c r="A14" s="24" t="str">
        <x:v>Kookaburra</x:v>
      </x:c>
      <x:c r="B14" s="24" t="str">
        <x:v>Siren</x:v>
      </x:c>
      <x:c r="C14" s="24" t="str">
        <x:v>Medium</x:v>
      </x:c>
      <x:c r="D14" s="24" t="str">
        <x:v>Green</x:v>
      </x:c>
      <x:c r="E14" s="24" t="n">
        <x:v>2</x:v>
      </x:c>
      <x:c r="F14" s="24" t="str">
        <x:v>No</x:v>
      </x:c>
      <x:c r="G14" s="24" t="str">
        <x:v>Sky</x:v>
      </x:c>
      <x:c r="H14" s="24" t="n">
        <x:v>12</x:v>
      </x:c>
      <x:c r="I14" s="24" t="n">
        <x:v>2</x:v>
      </x:c>
      <x:c r="J14" s="24" t="n">
        <x:v>1</x:v>
      </x:c>
      <x:c r="K14" s="24" t="n">
        <x:v>1</x:v>
      </x:c>
      <x:c r="L14" s="24" t="n">
        <x:v>3</x:v>
      </x:c>
      <x:c r="M14" s="24" t="n">
        <x:v>10</x:v>
      </x:c>
      <x:c r="N14" s="24" t="n">
        <x:v>5</x:v>
      </x:c>
      <x:c r="O14" s="24" t="n">
        <x:v>8</x:v>
      </x:c>
      <x:c r="P14" s="30" t="n">
        <x:f>MIN(0.5,O14*0.005)</x:f>
        <x:v>0.04</x:v>
      </x:c>
      <x:c r="Q14" s="30" t="n">
        <x:v>0.07</x:v>
      </x:c>
      <x:c r="R14" s="24" t="n">
        <x:v>1.5</x:v>
      </x:c>
      <x:c r="S14" s="24" t="str">
        <x:v>Focus / Agility</x:v>
      </x:c>
      <x:c r="T14" s="24" t="str">
        <x:v>Accurate Siren: ailment/control through high Precision and tempo, not high direct damage.</x:v>
      </x:c>
      <x:c r="U14" s="24" t="str">
        <x:v>v0.9 pre-built base allocation: 30 points; Green cap 12; Base Health 12 from Medium size. Player and NPC instances use this same Bird Stats row.</x:v>
      </x:c>
      <x:c r="V14" s="38" t="n">
        <x:f>SUM(I14:O14)</x:f>
        <x:v>30</x:v>
      </x:c>
      <x:c r="W14" s="38" t="n">
        <x:f>IF(D14="Gold",32,IF(D14="Orange",34,30))</x:f>
        <x:v>30</x:v>
      </x:c>
      <x:c r="X14" s="38" t="n">
        <x:f>IF(D14="Grey",10,IF(D14="Green",12,IF(D14="Blue",14,IF(D14="Purple",16,18))))</x:f>
        <x:v>12</x:v>
      </x:c>
      <x:c r="Y14" s="39" t="str">
        <x:f>IF(V14=W14,"PASS","FAIL")</x:f>
        <x:v>PASS</x:v>
      </x:c>
      <x:c r="Z14" s="39" t="str">
        <x:f>IF(MAX(I14:O14)&lt;=X14,"PASS","FAIL")</x:f>
        <x:v>PASS</x:v>
      </x:c>
      <x:c r="AA14" s="79" t="str">
        <x:v>Gallows Laugh</x:v>
      </x:c>
      <x:c r="AB14" s="79" t="str">
        <x:v>After successfully applying a stat debuff, your next magical ailment or debuff against that target gains +10 percentage points application chance.</x:v>
      </x:c>
      <x:c r="AC14" s="79" t="str">
        <x:v>Cursed Call</x:v>
      </x:c>
      <x:c r="AD14" s="79" t="str">
        <x:v>Once per turn after you break Magic Armour, the next ailment or stat debuff you apply to that target gains +10 percentage points application chance and lasts 1 additional turn.</x:v>
      </x:c>
    </x:row>
    <x:row r="15" ht="26.399999618530273" hidden="0" customHeight="1">
      <x:c r="A15" s="24" t="str">
        <x:v>Lyrebird</x:v>
      </x:c>
      <x:c r="B15" s="24" t="str">
        <x:v>Bard</x:v>
      </x:c>
      <x:c r="C15" s="24" t="str">
        <x:v>Large</x:v>
      </x:c>
      <x:c r="D15" s="24" t="str">
        <x:v>Blue</x:v>
      </x:c>
      <x:c r="E15" s="24" t="n">
        <x:v>3</x:v>
      </x:c>
      <x:c r="F15" s="24" t="str">
        <x:v>No</x:v>
      </x:c>
      <x:c r="G15" s="24" t="str">
        <x:v>Storm</x:v>
      </x:c>
      <x:c r="H15" s="24" t="n">
        <x:v>14</x:v>
      </x:c>
      <x:c r="I15" s="24" t="n">
        <x:v>5</x:v>
      </x:c>
      <x:c r="J15" s="24" t="n">
        <x:v>1</x:v>
      </x:c>
      <x:c r="K15" s="24" t="n">
        <x:v>5</x:v>
      </x:c>
      <x:c r="L15" s="24" t="n">
        <x:v>4</x:v>
      </x:c>
      <x:c r="M15" s="24" t="n">
        <x:v>7</x:v>
      </x:c>
      <x:c r="N15" s="24" t="n">
        <x:v>6</x:v>
      </x:c>
      <x:c r="O15" s="24" t="n">
        <x:v>2</x:v>
      </x:c>
      <x:c r="P15" s="30" t="n">
        <x:f>MIN(0.5,O15*0.005)</x:f>
        <x:v>0.01</x:v>
      </x:c>
      <x:c r="Q15" s="30" t="n">
        <x:v>0.08</x:v>
      </x:c>
      <x:c r="R15" s="24" t="n">
        <x:v>1.5</x:v>
      </x:c>
      <x:c r="S15" s="24" t="str">
        <x:v>Dexterity / Focus</x:v>
      </x:c>
      <x:c r="T15" s="24" t="str">
        <x:v>Large Bard: sturdy mimic/support role; lower Precision offsets strong hybrid durability.</x:v>
      </x:c>
      <x:c r="U15" s="24" t="str">
        <x:v>v0.9 pre-built base allocation: 30 points; Blue cap 14; Base Health 14 from Large size. Player and NPC instances use this same Bird Stats row.</x:v>
      </x:c>
      <x:c r="V15" s="38" t="n">
        <x:f>SUM(I15:O15)</x:f>
        <x:v>30</x:v>
      </x:c>
      <x:c r="W15" s="38" t="n">
        <x:f>IF(D15="Gold",32,IF(D15="Orange",34,30))</x:f>
        <x:v>30</x:v>
      </x:c>
      <x:c r="X15" s="38" t="n">
        <x:f>IF(D15="Grey",10,IF(D15="Green",12,IF(D15="Blue",14,IF(D15="Purple",16,18))))</x:f>
        <x:v>14</x:v>
      </x:c>
      <x:c r="Y15" s="39" t="str">
        <x:f>IF(V15=W15,"PASS","FAIL")</x:f>
        <x:v>PASS</x:v>
      </x:c>
      <x:c r="Z15" s="39" t="str">
        <x:f>IF(MAX(I15:O15)&lt;=X15,"PASS","FAIL")</x:f>
        <x:v>PASS</x:v>
      </x:c>
      <x:c r="AA15" s="79" t="str">
        <x:v>Mimic Court</x:v>
      </x:c>
      <x:c r="AB15" s="79" t="str">
        <x:v>The first time each combat a song grants Might Up or Focus Up, also gain the other stat at Minor tier (+4) for the same duration and restore 2 Magic Armour.</x:v>
      </x:c>
      <x:c r="AC15" s="79" t="str">
        <x:v>Verse and Chorus</x:v>
      </x:c>
      <x:c r="AD15" s="79" t="str">
        <x:v>Once per turn, when you alternate Martial and Magic damaging skills, the second skill restores 2 to the lower protection pool. If both pools are full, it gains +10 Skill Power instead.</x:v>
      </x:c>
    </x:row>
    <x:row r="16" ht="26.399999618530273" hidden="0" customHeight="1">
      <x:c r="A16" s="24" t="str">
        <x:v>Raven</x:v>
      </x:c>
      <x:c r="B16" s="24" t="str">
        <x:v>Siren</x:v>
      </x:c>
      <x:c r="C16" s="24" t="str">
        <x:v>Large</x:v>
      </x:c>
      <x:c r="D16" s="24" t="str">
        <x:v>Blue</x:v>
      </x:c>
      <x:c r="E16" s="24" t="n">
        <x:v>3</x:v>
      </x:c>
      <x:c r="F16" s="24" t="str">
        <x:v>No</x:v>
      </x:c>
      <x:c r="G16" s="24" t="str">
        <x:v>Storm</x:v>
      </x:c>
      <x:c r="H16" s="24" t="n">
        <x:v>14</x:v>
      </x:c>
      <x:c r="I16" s="24" t="n">
        <x:v>3</x:v>
      </x:c>
      <x:c r="J16" s="24" t="n">
        <x:v>1</x:v>
      </x:c>
      <x:c r="K16" s="24" t="n">
        <x:v>1</x:v>
      </x:c>
      <x:c r="L16" s="24" t="n">
        <x:v>3</x:v>
      </x:c>
      <x:c r="M16" s="24" t="n">
        <x:v>12</x:v>
      </x:c>
      <x:c r="N16" s="24" t="n">
        <x:v>6</x:v>
      </x:c>
      <x:c r="O16" s="24" t="n">
        <x:v>4</x:v>
      </x:c>
      <x:c r="P16" s="30" t="n">
        <x:f>MIN(0.5,O16*0.005)</x:f>
        <x:v>0.02</x:v>
      </x:c>
      <x:c r="Q16" s="30" t="n">
        <x:v>0.08</x:v>
      </x:c>
      <x:c r="R16" s="24" t="n">
        <x:v>1.5</x:v>
      </x:c>
      <x:c r="S16" s="24" t="str">
        <x:v>Focus / Agility</x:v>
      </x:c>
      <x:c r="T16" s="24" t="str">
        <x:v>Dark Siren: heavier and stronger Focus than most Sirens, but less accurate/fast.</x:v>
      </x:c>
      <x:c r="U16" s="24" t="str">
        <x:v>v0.9 pre-built base allocation: 30 points; Blue cap 14; Base Health 14 from Large size. Player and NPC instances use this same Bird Stats row.</x:v>
      </x:c>
      <x:c r="V16" s="38" t="n">
        <x:f>SUM(I16:O16)</x:f>
        <x:v>30</x:v>
      </x:c>
      <x:c r="W16" s="38" t="n">
        <x:f>IF(D16="Gold",32,IF(D16="Orange",34,30))</x:f>
        <x:v>30</x:v>
      </x:c>
      <x:c r="X16" s="38" t="n">
        <x:f>IF(D16="Grey",10,IF(D16="Green",12,IF(D16="Blue",14,IF(D16="Purple",16,18))))</x:f>
        <x:v>14</x:v>
      </x:c>
      <x:c r="Y16" s="39" t="str">
        <x:f>IF(V16=W16,"PASS","FAIL")</x:f>
        <x:v>PASS</x:v>
      </x:c>
      <x:c r="Z16" s="39" t="str">
        <x:f>IF(MAX(I16:O16)&lt;=X16,"PASS","FAIL")</x:f>
        <x:v>PASS</x:v>
      </x:c>
      <x:c r="AA16" s="79" t="str">
        <x:v>Omen King</x:v>
      </x:c>
      <x:c r="AB16" s="79" t="str">
        <x:v>The first stat debuff you successfully apply each turn also deals 2 Magic Armour damage. If the target already has no Magic Armour, it instead applies -10 Precision for 1 turn.</x:v>
      </x:c>
      <x:c r="AC16" s="79" t="str">
        <x:v>Cursed Call</x:v>
      </x:c>
      <x:c r="AD16" s="79" t="str">
        <x:v>Once per turn after you break Magic Armour, the next ailment or stat debuff you apply to that target gains +10 percentage points application chance and lasts 1 additional turn.</x:v>
      </x:c>
    </x:row>
    <x:row r="17" ht="26.399999618530273" hidden="0" customHeight="1">
      <x:c r="A17" s="24" t="str">
        <x:v>Magpie</x:v>
      </x:c>
      <x:c r="B17" s="24" t="str">
        <x:v>Rogue</x:v>
      </x:c>
      <x:c r="C17" s="24" t="str">
        <x:v>Medium</x:v>
      </x:c>
      <x:c r="D17" s="24" t="str">
        <x:v>Green</x:v>
      </x:c>
      <x:c r="E17" s="24" t="n">
        <x:v>2</x:v>
      </x:c>
      <x:c r="F17" s="24" t="str">
        <x:v>No</x:v>
      </x:c>
      <x:c r="G17" s="24" t="str">
        <x:v>Storm</x:v>
      </x:c>
      <x:c r="H17" s="24" t="n">
        <x:v>12</x:v>
      </x:c>
      <x:c r="I17" s="24" t="n">
        <x:v>3</x:v>
      </x:c>
      <x:c r="J17" s="24" t="n">
        <x:v>2</x:v>
      </x:c>
      <x:c r="K17" s="24" t="n">
        <x:v>11</x:v>
      </x:c>
      <x:c r="L17" s="24" t="n">
        <x:v>3</x:v>
      </x:c>
      <x:c r="M17" s="24" t="n">
        <x:v>0</x:v>
      </x:c>
      <x:c r="N17" s="24" t="n">
        <x:v>4</x:v>
      </x:c>
      <x:c r="O17" s="24" t="n">
        <x:v>7</x:v>
      </x:c>
      <x:c r="P17" s="30" t="n">
        <x:f>MIN(0.5,O17*0.005)</x:f>
        <x:v>0.035</x:v>
      </x:c>
      <x:c r="Q17" s="30" t="n">
        <x:v>0.12</x:v>
      </x:c>
      <x:c r="R17" s="24" t="n">
        <x:v>1.55</x:v>
      </x:c>
      <x:c r="S17" s="24" t="str">
        <x:v>Dexterity</x:v>
      </x:c>
      <x:c r="T17" s="24" t="str">
        <x:v>Aggressive rogue: balanced Agility, Dodge and Martial pressure without reaching the Dodge cap.</x:v>
      </x:c>
      <x:c r="U17" s="24" t="str">
        <x:v>v0.9 pre-built base allocation: 30 points; Green cap 12; Base Health 12 from Medium size. Player and NPC instances use this same Bird Stats row.</x:v>
      </x:c>
      <x:c r="V17" s="38" t="n">
        <x:f>SUM(I17:O17)</x:f>
        <x:v>30</x:v>
      </x:c>
      <x:c r="W17" s="38" t="n">
        <x:f>IF(D17="Gold",32,IF(D17="Orange",34,30))</x:f>
        <x:v>30</x:v>
      </x:c>
      <x:c r="X17" s="38" t="n">
        <x:f>IF(D17="Grey",10,IF(D17="Green",12,IF(D17="Blue",14,IF(D17="Purple",16,18))))</x:f>
        <x:v>12</x:v>
      </x:c>
      <x:c r="Y17" s="39" t="str">
        <x:f>IF(V17=W17,"PASS","FAIL")</x:f>
        <x:v>PASS</x:v>
      </x:c>
      <x:c r="Z17" s="39" t="str">
        <x:f>IF(MAX(I17:O17)&lt;=X17,"PASS","FAIL")</x:f>
        <x:v>PASS</x:v>
      </x:c>
      <x:c r="AA17" s="79" t="str">
        <x:v>Silver Swoop</x:v>
      </x:c>
      <x:c r="AB17" s="79" t="str">
        <x:v>After successfully applying Precision Down, your next Finesse weapon skill gains +10 Skill Power against Armour and +10 Precision.</x:v>
      </x:c>
      <x:c r="AC17" s="79" t="str">
        <x:v>Rogue Tempo</x:v>
      </x:c>
      <x:c r="AD17" s="79" t="str">
        <x:v>Once per turn, if acting before the target, your first Weapon Skill 1 gains +10 Precision. If that skill breaks Armour, gain Minor Agility Up (+4 Agility) until the start of your next turn.</x:v>
      </x:c>
    </x:row>
    <x:row r="18" ht="26.399999618530273" hidden="0" customHeight="1">
      <x:c r="A18" s="24" t="str">
        <x:v>Robin</x:v>
      </x:c>
      <x:c r="B18" s="24" t="str">
        <x:v>Bard</x:v>
      </x:c>
      <x:c r="C18" s="24" t="str">
        <x:v>Small</x:v>
      </x:c>
      <x:c r="D18" s="24" t="str">
        <x:v>Grey</x:v>
      </x:c>
      <x:c r="E18" s="24" t="n">
        <x:v>1</x:v>
      </x:c>
      <x:c r="F18" s="24" t="str">
        <x:v>No</x:v>
      </x:c>
      <x:c r="G18" s="24" t="str">
        <x:v>Day</x:v>
      </x:c>
      <x:c r="H18" s="24" t="n">
        <x:v>10</x:v>
      </x:c>
      <x:c r="I18" s="24" t="n">
        <x:v>2</x:v>
      </x:c>
      <x:c r="J18" s="24" t="n">
        <x:v>1</x:v>
      </x:c>
      <x:c r="K18" s="24" t="n">
        <x:v>6</x:v>
      </x:c>
      <x:c r="L18" s="24" t="n">
        <x:v>3</x:v>
      </x:c>
      <x:c r="M18" s="24" t="n">
        <x:v>7</x:v>
      </x:c>
      <x:c r="N18" s="24" t="n">
        <x:v>5</x:v>
      </x:c>
      <x:c r="O18" s="24" t="n">
        <x:v>6</x:v>
      </x:c>
      <x:c r="P18" s="30" t="n">
        <x:f>MIN(0.5,O18*0.005)</x:f>
        <x:v>0.03</x:v>
      </x:c>
      <x:c r="Q18" s="30" t="n">
        <x:v>0.07</x:v>
      </x:c>
      <x:c r="R18" s="24" t="n">
        <x:v>1.5</x:v>
      </x:c>
      <x:c r="S18" s="24" t="str">
        <x:v>Dexterity / Focus</x:v>
      </x:c>
      <x:c r="T18" s="24" t="str">
        <x:v>Light Bard: quick support with high Agility; fragile compared with larger Bards.</x:v>
      </x:c>
      <x:c r="U18" s="24" t="str">
        <x:v>v0.9 pre-built base allocation: 30 points; Grey cap 10; Base Health 10 from Small size. Player and NPC instances use this same Bird Stats row.</x:v>
      </x:c>
      <x:c r="V18" s="38" t="n">
        <x:f>SUM(I18:O18)</x:f>
        <x:v>30</x:v>
      </x:c>
      <x:c r="W18" s="38" t="n">
        <x:f>IF(D18="Gold",32,IF(D18="Orange",34,30))</x:f>
        <x:v>30</x:v>
      </x:c>
      <x:c r="X18" s="38" t="n">
        <x:f>IF(D18="Grey",10,IF(D18="Green",12,IF(D18="Blue",14,IF(D18="Purple",16,18))))</x:f>
        <x:v>10</x:v>
      </x:c>
      <x:c r="Y18" s="39" t="str">
        <x:f>IF(V18=W18,"PASS","FAIL")</x:f>
        <x:v>PASS</x:v>
      </x:c>
      <x:c r="Z18" s="39" t="str">
        <x:f>IF(MAX(I18:O18)&lt;=X18,"PASS","FAIL")</x:f>
        <x:v>PASS</x:v>
      </x:c>
      <x:c r="AA18" s="79" t="str">
        <x:v>Dawn-Breast Vow</x:v>
      </x:c>
      <x:c r="AB18" s="79" t="str">
        <x:v>After using a support utility, your next Day damaging skill gains +10 Skill Power and restores 2 Magic Armour on hit, capped at its normal maximum.</x:v>
      </x:c>
      <x:c r="AC18" s="79" t="str">
        <x:v>Verse and Chorus</x:v>
      </x:c>
      <x:c r="AD18" s="79" t="str">
        <x:v>Once per turn, when you alternate Martial and Magic damaging skills, the second skill restores 2 to the lower protection pool. If both pools are full, it gains +10 Skill Power instead.</x:v>
      </x:c>
    </x:row>
    <x:row r="19" ht="26.399999618530273" hidden="0" customHeight="1">
      <x:c r="A19" s="24" t="str">
        <x:v>Bowerbird</x:v>
      </x:c>
      <x:c r="B19" s="24" t="str">
        <x:v>Siren</x:v>
      </x:c>
      <x:c r="C19" s="24" t="str">
        <x:v>Medium</x:v>
      </x:c>
      <x:c r="D19" s="24" t="str">
        <x:v>Green</x:v>
      </x:c>
      <x:c r="E19" s="24" t="n">
        <x:v>2</x:v>
      </x:c>
      <x:c r="F19" s="24" t="str">
        <x:v>No</x:v>
      </x:c>
      <x:c r="G19" s="24" t="str">
        <x:v>Day</x:v>
      </x:c>
      <x:c r="H19" s="24" t="n">
        <x:v>12</x:v>
      </x:c>
      <x:c r="I19" s="24" t="n">
        <x:v>2</x:v>
      </x:c>
      <x:c r="J19" s="24" t="n">
        <x:v>0</x:v>
      </x:c>
      <x:c r="K19" s="24" t="n">
        <x:v>1</x:v>
      </x:c>
      <x:c r="L19" s="24" t="n">
        <x:v>3</x:v>
      </x:c>
      <x:c r="M19" s="24" t="n">
        <x:v>9</x:v>
      </x:c>
      <x:c r="N19" s="24" t="n">
        <x:v>6</x:v>
      </x:c>
      <x:c r="O19" s="24" t="n">
        <x:v>9</x:v>
      </x:c>
      <x:c r="P19" s="30" t="n">
        <x:f>MIN(0.5,O19*0.005)</x:f>
        <x:v>0.045</x:v>
      </x:c>
      <x:c r="Q19" s="30" t="n">
        <x:v>0.06</x:v>
      </x:c>
      <x:c r="R19" s="24" t="n">
        <x:v>1.5</x:v>
      </x:c>
      <x:c r="S19" s="24" t="str">
        <x:v>Focus / Agility</x:v>
      </x:c>
      <x:c r="T19" s="24" t="str">
        <x:v>Pure controller Siren: strong ailment tempo and Dodge with lower damage stats.</x:v>
      </x:c>
      <x:c r="U19" s="24" t="str">
        <x:v>v0.9 pre-built base allocation: 30 points; Green cap 12; Base Health 12 from Medium size. Player and NPC instances use this same Bird Stats row.</x:v>
      </x:c>
      <x:c r="V19" s="38" t="n">
        <x:f>SUM(I19:O19)</x:f>
        <x:v>30</x:v>
      </x:c>
      <x:c r="W19" s="38" t="n">
        <x:f>IF(D19="Gold",32,IF(D19="Orange",34,30))</x:f>
        <x:v>30</x:v>
      </x:c>
      <x:c r="X19" s="38" t="n">
        <x:f>IF(D19="Grey",10,IF(D19="Green",12,IF(D19="Blue",14,IF(D19="Purple",16,18))))</x:f>
        <x:v>12</x:v>
      </x:c>
      <x:c r="Y19" s="39" t="str">
        <x:f>IF(V19=W19,"PASS","FAIL")</x:f>
        <x:v>PASS</x:v>
      </x:c>
      <x:c r="Z19" s="39" t="str">
        <x:f>IF(MAX(I19:O19)&lt;=X19,"PASS","FAIL")</x:f>
        <x:v>PASS</x:v>
      </x:c>
      <x:c r="AA19" s="79" t="str">
        <x:v>Jewel Lure</x:v>
      </x:c>
      <x:c r="AB19" s="79" t="str">
        <x:v>After using Jewel Display, your next Magic hit deals 2 additional Magic Armour damage. If it damages Health, its ailment or debuff gains +10 percentage points application chance.</x:v>
      </x:c>
      <x:c r="AC19" s="79" t="str">
        <x:v>Cursed Call</x:v>
      </x:c>
      <x:c r="AD19" s="79" t="str">
        <x:v>Once per turn after you break Magic Armour, the next ailment or stat debuff you apply to that target gains +10 percentage points application chance and lasts 1 additional turn.</x:v>
      </x:c>
    </x:row>
    <x:row r="20" ht="26.399999618530273" hidden="0" customHeight="1">
      <x:c r="A20" s="24" t="str">
        <x:v>Toucan</x:v>
      </x:c>
      <x:c r="B20" s="24" t="str">
        <x:v>Bard</x:v>
      </x:c>
      <x:c r="C20" s="24" t="str">
        <x:v>Medium</x:v>
      </x:c>
      <x:c r="D20" s="24" t="str">
        <x:v>Blue</x:v>
      </x:c>
      <x:c r="E20" s="24" t="n">
        <x:v>3</x:v>
      </x:c>
      <x:c r="F20" s="24" t="str">
        <x:v>No</x:v>
      </x:c>
      <x:c r="G20" s="24" t="str">
        <x:v>Day</x:v>
      </x:c>
      <x:c r="H20" s="24" t="n">
        <x:v>12</x:v>
      </x:c>
      <x:c r="I20" s="24" t="n">
        <x:v>4</x:v>
      </x:c>
      <x:c r="J20" s="24" t="n">
        <x:v>3</x:v>
      </x:c>
      <x:c r="K20" s="24" t="n">
        <x:v>8</x:v>
      </x:c>
      <x:c r="L20" s="24" t="n">
        <x:v>4</x:v>
      </x:c>
      <x:c r="M20" s="24" t="n">
        <x:v>4</x:v>
      </x:c>
      <x:c r="N20" s="24" t="n">
        <x:v>4</x:v>
      </x:c>
      <x:c r="O20" s="24" t="n">
        <x:v>3</x:v>
      </x:c>
      <x:c r="P20" s="30" t="n">
        <x:f>MIN(0.5,O20*0.005)</x:f>
        <x:v>0.015</x:v>
      </x:c>
      <x:c r="Q20" s="30" t="n">
        <x:v>0.08</x:v>
      </x:c>
      <x:c r="R20" s="24" t="n">
        <x:v>1.5</x:v>
      </x:c>
      <x:c r="S20" s="24" t="str">
        <x:v>Dexterity / Focus</x:v>
      </x:c>
      <x:c r="T20" s="24" t="str">
        <x:v>Martial-leaning Bard: heavy bill attacks/armour pen, weaker Focus than song Bards.</x:v>
      </x:c>
      <x:c r="U20" s="24" t="str">
        <x:v>v0.9 pre-built base allocation: 30 points; Blue cap 14; Base Health 12 from Medium size. Player and NPC instances use this same Bird Stats row.</x:v>
      </x:c>
      <x:c r="V20" s="38" t="n">
        <x:f>SUM(I20:O20)</x:f>
        <x:v>30</x:v>
      </x:c>
      <x:c r="W20" s="38" t="n">
        <x:f>IF(D20="Gold",32,IF(D20="Orange",34,30))</x:f>
        <x:v>30</x:v>
      </x:c>
      <x:c r="X20" s="38" t="n">
        <x:f>IF(D20="Grey",10,IF(D20="Green",12,IF(D20="Blue",14,IF(D20="Purple",16,18))))</x:f>
        <x:v>14</x:v>
      </x:c>
      <x:c r="Y20" s="39" t="str">
        <x:f>IF(V20=W20,"PASS","FAIL")</x:f>
        <x:v>PASS</x:v>
      </x:c>
      <x:c r="Z20" s="39" t="str">
        <x:f>IF(MAX(I20:O20)&lt;=X20,"PASS","FAIL")</x:f>
        <x:v>PASS</x:v>
      </x:c>
      <x:c r="AA20" s="79" t="str">
        <x:v>Sunfruit Boast</x:v>
      </x:c>
      <x:c r="AB20" s="79" t="str">
        <x:v>After using a Day action, your next song or call restores 2 to the lower protection pool and gains +10 Precision.</x:v>
      </x:c>
      <x:c r="AC20" s="79" t="str">
        <x:v>Verse and Chorus</x:v>
      </x:c>
      <x:c r="AD20" s="79" t="str">
        <x:v>Once per turn, when you alternate Martial and Magic damaging skills, the second skill restores 2 to the lower protection pool. If both pools are full, it gains +10 Skill Power instead.</x:v>
      </x:c>
    </x:row>
    <x:row r="21" ht="26.399999618530273" hidden="0" customHeight="1">
      <x:c r="A21" s="24" t="str">
        <x:v>Swan</x:v>
      </x:c>
      <x:c r="B21" s="24" t="str">
        <x:v>Knight</x:v>
      </x:c>
      <x:c r="C21" s="24" t="str">
        <x:v>Very Large</x:v>
      </x:c>
      <x:c r="D21" s="24" t="str">
        <x:v>Blue</x:v>
      </x:c>
      <x:c r="E21" s="24" t="n">
        <x:v>3</x:v>
      </x:c>
      <x:c r="F21" s="24" t="str">
        <x:v>No</x:v>
      </x:c>
      <x:c r="G21" s="24" t="str">
        <x:v>Water</x:v>
      </x:c>
      <x:c r="H21" s="24" t="n">
        <x:v>16</x:v>
      </x:c>
      <x:c r="I21" s="24" t="n">
        <x:v>7</x:v>
      </x:c>
      <x:c r="J21" s="24" t="n">
        <x:v>7</x:v>
      </x:c>
      <x:c r="K21" s="24" t="n">
        <x:v>0</x:v>
      </x:c>
      <x:c r="L21" s="24" t="n">
        <x:v>10</x:v>
      </x:c>
      <x:c r="M21" s="24" t="n">
        <x:v>0</x:v>
      </x:c>
      <x:c r="N21" s="24" t="n">
        <x:v>5</x:v>
      </x:c>
      <x:c r="O21" s="24" t="n">
        <x:v>1</x:v>
      </x:c>
      <x:c r="P21" s="30" t="n">
        <x:f>MIN(0.5,O21*0.005)</x:f>
        <x:v>0.005</x:v>
      </x:c>
      <x:c r="Q21" s="30" t="n">
        <x:v>0.05</x:v>
      </x:c>
      <x:c r="R21" s="24" t="n">
        <x:v>1.5</x:v>
      </x:c>
      <x:c r="S21" s="24" t="str">
        <x:v>Might / Guard</x:v>
      </x:c>
      <x:c r="T21" s="24" t="str">
        <x:v>Defensive Knight: high Vitality/Guard/Resolve with low Agility/Dodge. Action Precision is skill-owned.</x:v>
      </x:c>
      <x:c r="U21" s="24" t="str">
        <x:v>v0.9 pre-built base allocation: 30 points; Blue cap 14; Base Health 16 from Very Large size. Player and NPC instances use this same Bird Stats row.</x:v>
      </x:c>
      <x:c r="V21" s="38" t="n">
        <x:f>SUM(I21:O21)</x:f>
        <x:v>30</x:v>
      </x:c>
      <x:c r="W21" s="38" t="n">
        <x:f>IF(D21="Gold",32,IF(D21="Orange",34,30))</x:f>
        <x:v>30</x:v>
      </x:c>
      <x:c r="X21" s="38" t="n">
        <x:f>IF(D21="Grey",10,IF(D21="Green",12,IF(D21="Blue",14,IF(D21="Purple",16,18))))</x:f>
        <x:v>14</x:v>
      </x:c>
      <x:c r="Y21" s="39" t="str">
        <x:f>IF(V21=W21,"PASS","FAIL")</x:f>
        <x:v>PASS</x:v>
      </x:c>
      <x:c r="Z21" s="39" t="str">
        <x:f>IF(MAX(I21:O21)&lt;=X21,"PASS","FAIL")</x:f>
        <x:v>PASS</x:v>
      </x:c>
      <x:c r="AA21" s="79" t="str">
        <x:v>Mirrorlake Oath</x:v>
      </x:c>
      <x:c r="AB21" s="79" t="str">
        <x:v>The first time each turn you take damage while above 50% Health, restore 2 Magic Armour, capped at its normal maximum. If Magic Armour is already full, gain Minor Resolve Up (+4 Resolve) until the start of your next turn.</x:v>
      </x:c>
      <x:c r="AC21" s="79" t="str">
        <x:v>Bulwark Oath</x:v>
      </x:c>
      <x:c r="AD21" s="79" t="str">
        <x:v>Once per turn, after using Armour Restoration or Fortify, gain Minor Guard Up (+4 Guard) until the start of your next turn.</x:v>
      </x:c>
    </x:row>
    <x:row r="22" ht="26.399999618530273" hidden="0" customHeight="1">
      <x:c r="A22" s="24" t="str">
        <x:v>Flamingo</x:v>
      </x:c>
      <x:c r="B22" s="24" t="str">
        <x:v>Siren</x:v>
      </x:c>
      <x:c r="C22" s="24" t="str">
        <x:v>Large</x:v>
      </x:c>
      <x:c r="D22" s="24" t="str">
        <x:v>Purple</x:v>
      </x:c>
      <x:c r="E22" s="24" t="n">
        <x:v>4</x:v>
      </x:c>
      <x:c r="F22" s="24" t="str">
        <x:v>No</x:v>
      </x:c>
      <x:c r="G22" s="24" t="str">
        <x:v>Water</x:v>
      </x:c>
      <x:c r="H22" s="24" t="n">
        <x:v>14</x:v>
      </x:c>
      <x:c r="I22" s="24" t="n">
        <x:v>2</x:v>
      </x:c>
      <x:c r="J22" s="24" t="n">
        <x:v>0</x:v>
      </x:c>
      <x:c r="K22" s="24" t="n">
        <x:v>1</x:v>
      </x:c>
      <x:c r="L22" s="24" t="n">
        <x:v>2</x:v>
      </x:c>
      <x:c r="M22" s="24" t="n">
        <x:v>12</x:v>
      </x:c>
      <x:c r="N22" s="24" t="n">
        <x:v>5</x:v>
      </x:c>
      <x:c r="O22" s="24" t="n">
        <x:v>8</x:v>
      </x:c>
      <x:c r="P22" s="30" t="n">
        <x:f>MIN(0.5,O22*0.005)</x:f>
        <x:v>0.04</x:v>
      </x:c>
      <x:c r="Q22" s="30" t="n">
        <x:v>0.07</x:v>
      </x:c>
      <x:c r="R22" s="24" t="n">
        <x:v>1.5</x:v>
      </x:c>
      <x:c r="S22" s="24" t="str">
        <x:v>Focus / Agility</x:v>
      </x:c>
      <x:c r="T22" s="24" t="str">
        <x:v>Balanced Siren: Martial-to-Magic setup identity with moderate Agility and control.</x:v>
      </x:c>
      <x:c r="U22" s="24" t="str">
        <x:v>v0.9 pre-built base allocation: 30 points; Purple cap 16; Base Health 14 from Large size. Player and NPC instances use this same Bird Stats row.</x:v>
      </x:c>
      <x:c r="V22" s="38" t="n">
        <x:f>SUM(I22:O22)</x:f>
        <x:v>30</x:v>
      </x:c>
      <x:c r="W22" s="38" t="n">
        <x:f>IF(D22="Gold",32,IF(D22="Orange",34,30))</x:f>
        <x:v>30</x:v>
      </x:c>
      <x:c r="X22" s="38" t="n">
        <x:f>IF(D22="Grey",10,IF(D22="Green",12,IF(D22="Blue",14,IF(D22="Purple",16,18))))</x:f>
        <x:v>16</x:v>
      </x:c>
      <x:c r="Y22" s="39" t="str">
        <x:f>IF(V22=W22,"PASS","FAIL")</x:f>
        <x:v>PASS</x:v>
      </x:c>
      <x:c r="Z22" s="39" t="str">
        <x:f>IF(MAX(I22:O22)&lt;=X22,"PASS","FAIL")</x:f>
        <x:v>PASS</x:v>
      </x:c>
      <x:c r="AA22" s="79" t="str">
        <x:v>Elegant Balance</x:v>
      </x:c>
      <x:c r="AB22" s="79" t="str">
        <x:v>After successfully applying a debuff, gain Minor Agility Up (+4 Agility) until the start of your next turn and restore 1 Magic Armour.</x:v>
      </x:c>
      <x:c r="AC22" s="79" t="str">
        <x:v>Cursed Call</x:v>
      </x:c>
      <x:c r="AD22" s="79" t="str">
        <x:v>Once per turn after you break Magic Armour, the next ailment or stat debuff you apply to that target gains +10 percentage points application chance and lasts 1 additional turn.</x:v>
      </x:c>
    </x:row>
    <x:row r="23" ht="26.399999618530273" hidden="0" customHeight="1">
      <x:c r="A23" s="24" t="str">
        <x:v>Secretary Bird</x:v>
      </x:c>
      <x:c r="B23" s="24" t="str">
        <x:v>Knight</x:v>
      </x:c>
      <x:c r="C23" s="24" t="str">
        <x:v>Large</x:v>
      </x:c>
      <x:c r="D23" s="24" t="str">
        <x:v>Purple</x:v>
      </x:c>
      <x:c r="E23" s="24" t="n">
        <x:v>4</x:v>
      </x:c>
      <x:c r="F23" s="24" t="str">
        <x:v>No</x:v>
      </x:c>
      <x:c r="G23" s="24" t="str">
        <x:v>Earth</x:v>
      </x:c>
      <x:c r="H23" s="24" t="n">
        <x:v>14</x:v>
      </x:c>
      <x:c r="I23" s="24" t="n">
        <x:v>4</x:v>
      </x:c>
      <x:c r="J23" s="24" t="n">
        <x:v>10</x:v>
      </x:c>
      <x:c r="K23" s="24" t="n">
        <x:v>5</x:v>
      </x:c>
      <x:c r="L23" s="24" t="n">
        <x:v>5</x:v>
      </x:c>
      <x:c r="M23" s="24" t="n">
        <x:v>0</x:v>
      </x:c>
      <x:c r="N23" s="24" t="n">
        <x:v>2</x:v>
      </x:c>
      <x:c r="O23" s="24" t="n">
        <x:v>4</x:v>
      </x:c>
      <x:c r="P23" s="30" t="n">
        <x:f>MIN(0.5,O23*0.005)</x:f>
        <x:v>0.02</x:v>
      </x:c>
      <x:c r="Q23" s="30" t="n">
        <x:v>0.07</x:v>
      </x:c>
      <x:c r="R23" s="24" t="n">
        <x:v>1.5</x:v>
      </x:c>
      <x:c r="S23" s="24" t="str">
        <x:v>Might / Guard</x:v>
      </x:c>
      <x:c r="T23" s="24" t="str">
        <x:v>Mobile Knight: higher Might/Agility martial hunter; trades some Guard and Precision.</x:v>
      </x:c>
      <x:c r="U23" s="24" t="str">
        <x:v>v0.9 pre-built base allocation: 30 points; Purple cap 16; Base Health 14 from Large size. Player and NPC instances use this same Bird Stats row.</x:v>
      </x:c>
      <x:c r="V23" s="38" t="n">
        <x:f>SUM(I23:O23)</x:f>
        <x:v>30</x:v>
      </x:c>
      <x:c r="W23" s="38" t="n">
        <x:f>IF(D23="Gold",32,IF(D23="Orange",34,30))</x:f>
        <x:v>30</x:v>
      </x:c>
      <x:c r="X23" s="38" t="n">
        <x:f>IF(D23="Grey",10,IF(D23="Green",12,IF(D23="Blue",14,IF(D23="Purple",16,18))))</x:f>
        <x:v>16</x:v>
      </x:c>
      <x:c r="Y23" s="39" t="str">
        <x:f>IF(V23=W23,"PASS","FAIL")</x:f>
        <x:v>PASS</x:v>
      </x:c>
      <x:c r="Z23" s="39" t="str">
        <x:f>IF(MAX(I23:O23)&lt;=X23,"PASS","FAIL")</x:f>
        <x:v>PASS</x:v>
      </x:c>
      <x:c r="AA23" s="79" t="str">
        <x:v>Serpent-Bane Writ</x:v>
      </x:c>
      <x:c r="AB23" s="79" t="str">
        <x:v>Once per turn after Armour absorbs physical damage, your next Strength weapon skill gains +10 Skill Power against Armour.</x:v>
      </x:c>
      <x:c r="AC23" s="79" t="str">
        <x:v>Bulwark Oath</x:v>
      </x:c>
      <x:c r="AD23" s="79" t="str">
        <x:v>Once per turn, after using Armour Restoration or Fortify, gain Minor Guard Up (+4 Guard) until the start of your next turn.</x:v>
      </x:c>
    </x:row>
    <x:row r="24" ht="26.399999618530273" hidden="0" customHeight="1">
      <x:c r="A24" s="24" t="str">
        <x:v>Albatross</x:v>
      </x:c>
      <x:c r="B24" s="24" t="str">
        <x:v>Inquisitor</x:v>
      </x:c>
      <x:c r="C24" s="24" t="str">
        <x:v>Very Large</x:v>
      </x:c>
      <x:c r="D24" s="24" t="str">
        <x:v>Purple</x:v>
      </x:c>
      <x:c r="E24" s="24" t="n">
        <x:v>4</x:v>
      </x:c>
      <x:c r="F24" s="24" t="str">
        <x:v>No</x:v>
      </x:c>
      <x:c r="G24" s="24" t="str">
        <x:v>Water</x:v>
      </x:c>
      <x:c r="H24" s="24" t="n">
        <x:v>16</x:v>
      </x:c>
      <x:c r="I24" s="24" t="n">
        <x:v>8</x:v>
      </x:c>
      <x:c r="J24" s="24" t="n">
        <x:v>4</x:v>
      </x:c>
      <x:c r="K24" s="24" t="n">
        <x:v>0</x:v>
      </x:c>
      <x:c r="L24" s="24" t="n">
        <x:v>4</x:v>
      </x:c>
      <x:c r="M24" s="24" t="n">
        <x:v>3</x:v>
      </x:c>
      <x:c r="N24" s="24" t="n">
        <x:v>10</x:v>
      </x:c>
      <x:c r="O24" s="24" t="n">
        <x:v>1</x:v>
      </x:c>
      <x:c r="P24" s="30" t="n">
        <x:f>MIN(0.5,O24*0.005)</x:f>
        <x:v>0.005</x:v>
      </x:c>
      <x:c r="Q24" s="30" t="n">
        <x:v>0.06</x:v>
      </x:c>
      <x:c r="R24" s="24" t="n">
        <x:v>1.5</x:v>
      </x:c>
      <x:c r="S24" s="24" t="str">
        <x:v>Might / Focus / Resolve</x:v>
      </x:c>
      <x:c r="T24" s="24" t="str">
        <x:v>Endurance Inquisitor: huge Vitality/Resolve with low Agility/Dodge. Action Precision is skill-owned.</x:v>
      </x:c>
      <x:c r="U24" s="24" t="str">
        <x:v>v0.9 pre-built base allocation: 30 points; Purple cap 16; Base Health 16 from Very Large size. Player and NPC instances use this same Bird Stats row.</x:v>
      </x:c>
      <x:c r="V24" s="38" t="n">
        <x:f>SUM(I24:O24)</x:f>
        <x:v>30</x:v>
      </x:c>
      <x:c r="W24" s="38" t="n">
        <x:f>IF(D24="Gold",32,IF(D24="Orange",34,30))</x:f>
        <x:v>30</x:v>
      </x:c>
      <x:c r="X24" s="38" t="n">
        <x:f>IF(D24="Grey",10,IF(D24="Green",12,IF(D24="Blue",14,IF(D24="Purple",16,18))))</x:f>
        <x:v>16</x:v>
      </x:c>
      <x:c r="Y24" s="39" t="str">
        <x:f>IF(V24=W24,"PASS","FAIL")</x:f>
        <x:v>PASS</x:v>
      </x:c>
      <x:c r="Z24" s="39" t="str">
        <x:f>IF(MAX(I24:O24)&lt;=X24,"PASS","FAIL")</x:f>
        <x:v>PASS</x:v>
      </x:c>
      <x:c r="AA24" s="79" t="str">
        <x:v>Horizon Oath</x:v>
      </x:c>
      <x:c r="AB24" s="79" t="str">
        <x:v>After using a Magic action, restore 2 Magic Armour. If Magic Armour is full, gain +10 Precision until the start of your next turn.</x:v>
      </x:c>
      <x:c r="AC24" s="79" t="str">
        <x:v>Judgement Leech</x:v>
      </x:c>
      <x:c r="AD24" s="79" t="str">
        <x:v>Once per turn after a damaging skill hits an ailmented, debuffed or Marked target, restore 2 to the lower of Armour or Magic Armour, capped at its normal maximum. If both pools are full, heal 5% Maximum Health.</x:v>
      </x:c>
    </x:row>
    <x:row r="25" ht="26.399999618530273" hidden="0" customHeight="1">
      <x:c r="A25" s="24" t="str">
        <x:v>Seagull</x:v>
      </x:c>
      <x:c r="B25" s="24" t="str">
        <x:v>Rogue</x:v>
      </x:c>
      <x:c r="C25" s="24" t="str">
        <x:v>Medium</x:v>
      </x:c>
      <x:c r="D25" s="24" t="str">
        <x:v>Grey</x:v>
      </x:c>
      <x:c r="E25" s="24" t="n">
        <x:v>1</x:v>
      </x:c>
      <x:c r="F25" s="24" t="str">
        <x:v>No</x:v>
      </x:c>
      <x:c r="G25" s="24" t="str">
        <x:v>Water</x:v>
      </x:c>
      <x:c r="H25" s="24" t="n">
        <x:v>12</x:v>
      </x:c>
      <x:c r="I25" s="24" t="n">
        <x:v>4</x:v>
      </x:c>
      <x:c r="J25" s="24" t="n">
        <x:v>2</x:v>
      </x:c>
      <x:c r="K25" s="24" t="n">
        <x:v>8</x:v>
      </x:c>
      <x:c r="L25" s="24" t="n">
        <x:v>5</x:v>
      </x:c>
      <x:c r="M25" s="24" t="n">
        <x:v>0</x:v>
      </x:c>
      <x:c r="N25" s="24" t="n">
        <x:v>5</x:v>
      </x:c>
      <x:c r="O25" s="24" t="n">
        <x:v>6</x:v>
      </x:c>
      <x:c r="P25" s="30" t="n">
        <x:f>MIN(0.5,O25*0.005)</x:f>
        <x:v>0.03</x:v>
      </x:c>
      <x:c r="Q25" s="30" t="n">
        <x:v>0.1</x:v>
      </x:c>
      <x:c r="R25" s="24" t="n">
        <x:v>1.55</x:v>
      </x:c>
      <x:c r="S25" s="24" t="str">
        <x:v>Dexterity</x:v>
      </x:c>
      <x:c r="T25" s="24" t="str">
        <x:v>Opportunist rogue: sturdier scavenger with lower Agility than premium rogues. Action Precision is skill-owned.</x:v>
      </x:c>
      <x:c r="U25" s="24" t="str">
        <x:v>v0.9 pre-built base allocation: 30 points; Grey cap 10; Base Health 12 from Medium size. Player and NPC instances use this same Bird Stats row.</x:v>
      </x:c>
      <x:c r="V25" s="38" t="n">
        <x:f>SUM(I25:O25)</x:f>
        <x:v>30</x:v>
      </x:c>
      <x:c r="W25" s="38" t="n">
        <x:f>IF(D25="Gold",32,IF(D25="Orange",34,30))</x:f>
        <x:v>30</x:v>
      </x:c>
      <x:c r="X25" s="38" t="n">
        <x:f>IF(D25="Grey",10,IF(D25="Green",12,IF(D25="Blue",14,IF(D25="Purple",16,18))))</x:f>
        <x:v>10</x:v>
      </x:c>
      <x:c r="Y25" s="39" t="str">
        <x:f>IF(V25=W25,"PASS","FAIL")</x:f>
        <x:v>PASS</x:v>
      </x:c>
      <x:c r="Z25" s="39" t="str">
        <x:f>IF(MAX(I25:O25)&lt;=X25,"PASS","FAIL")</x:f>
        <x:v>PASS</x:v>
      </x:c>
      <x:c r="AA25" s="79" t="str">
        <x:v>Dockside Raider</x:v>
      </x:c>
      <x:c r="AB25" s="79" t="str">
        <x:v>After damaging a debuffed or Marked target, restore 1 to the lower protection pool and gain Minor Agility Up (+4 Agility) until the start of your next turn.</x:v>
      </x:c>
      <x:c r="AC25" s="79" t="str">
        <x:v>Rogue Tempo</x:v>
      </x:c>
      <x:c r="AD25" s="79" t="str">
        <x:v>Once per turn, if acting before the target, your first Weapon Skill 1 gains +10 Precision. If that skill breaks Armour, gain Minor Agility Up (+4 Agility) until the start of your next turn.</x:v>
      </x:c>
    </x:row>
    <x:row r="26" ht="26.399999618530273" hidden="0" customHeight="1">
      <x:c r="A26" s="24" t="str">
        <x:v>Goose</x:v>
      </x:c>
      <x:c r="B26" s="24" t="str">
        <x:v>Brute</x:v>
      </x:c>
      <x:c r="C26" s="24" t="str">
        <x:v>Very Large</x:v>
      </x:c>
      <x:c r="D26" s="24" t="str">
        <x:v>Grey</x:v>
      </x:c>
      <x:c r="E26" s="24" t="n">
        <x:v>1</x:v>
      </x:c>
      <x:c r="F26" s="24" t="str">
        <x:v>Yes</x:v>
      </x:c>
      <x:c r="G26" s="24" t="str">
        <x:v>Water</x:v>
      </x:c>
      <x:c r="H26" s="24" t="n">
        <x:v>16</x:v>
      </x:c>
      <x:c r="I26" s="24" t="n">
        <x:v>7</x:v>
      </x:c>
      <x:c r="J26" s="24" t="n">
        <x:v>9</x:v>
      </x:c>
      <x:c r="K26" s="24" t="n">
        <x:v>0</x:v>
      </x:c>
      <x:c r="L26" s="24" t="n">
        <x:v>8</x:v>
      </x:c>
      <x:c r="M26" s="24" t="n">
        <x:v>0</x:v>
      </x:c>
      <x:c r="N26" s="24" t="n">
        <x:v>4</x:v>
      </x:c>
      <x:c r="O26" s="24" t="n">
        <x:v>2</x:v>
      </x:c>
      <x:c r="P26" s="30" t="n">
        <x:f>MIN(0.5,O26*0.005)</x:f>
        <x:v>0.01</x:v>
      </x:c>
      <x:c r="Q26" s="30" t="n">
        <x:v>0.05</x:v>
      </x:c>
      <x:c r="R26" s="24" t="n">
        <x:v>1.55</x:v>
      </x:c>
      <x:c r="S26" s="24" t="str">
        <x:v>Might / Guard / Vitality</x:v>
      </x:c>
      <x:c r="T26" s="24" t="str">
        <x:v>Defensive Brute: high Vitality/Guard body-checker with low Agility, Dodge, Resolve and Focus. Action Precision is skill-owned.</x:v>
      </x:c>
      <x:c r="U26" s="24" t="str">
        <x:v>v0.9 pre-built base allocation: 30 points; Grey cap 10; Base Health 16 from Very Large size. Player and NPC instances use this same Bird Stats row.</x:v>
      </x:c>
      <x:c r="V26" s="38" t="n">
        <x:f>SUM(I26:O26)</x:f>
        <x:v>30</x:v>
      </x:c>
      <x:c r="W26" s="38" t="n">
        <x:f>IF(D26="Gold",32,IF(D26="Orange",34,30))</x:f>
        <x:v>30</x:v>
      </x:c>
      <x:c r="X26" s="38" t="n">
        <x:f>IF(D26="Grey",10,IF(D26="Green",12,IF(D26="Blue",14,IF(D26="Purple",16,18))))</x:f>
        <x:v>10</x:v>
      </x:c>
      <x:c r="Y26" s="39" t="str">
        <x:f>IF(V26=W26,"PASS","FAIL")</x:f>
        <x:v>PASS</x:v>
      </x:c>
      <x:c r="Z26" s="39" t="str">
        <x:f>IF(MAX(I26:O26)&lt;=X26,"PASS","FAIL")</x:f>
        <x:v>PASS</x:v>
      </x:c>
      <x:c r="AA26" s="79" t="str">
        <x:v>Marshlord Challenge</x:v>
      </x:c>
      <x:c r="AB26" s="79" t="str">
        <x:v>The first time each turn Armour absorbs physical damage, restore 1 Armour after the hit, capped at normal Maximum Armour.</x:v>
      </x:c>
      <x:c r="AC26" s="79" t="str">
        <x:v>Crushing Momentum</x:v>
      </x:c>
      <x:c r="AD26" s="79" t="str">
        <x:v>Once per turn after Armour absorbs physical damage, your next Strength weapon skill gains +10 Skill Power.</x:v>
      </x:c>
    </x:row>
    <x:row r="27" ht="26.399999618530273" hidden="0" customHeight="1">
      <x:c r="A27" s="24" t="str">
        <x:v>Shoebill Stork</x:v>
      </x:c>
      <x:c r="B27" s="24" t="str">
        <x:v>Brute</x:v>
      </x:c>
      <x:c r="C27" s="24" t="str">
        <x:v>Very Large</x:v>
      </x:c>
      <x:c r="D27" s="24" t="str">
        <x:v>Purple</x:v>
      </x:c>
      <x:c r="E27" s="24" t="n">
        <x:v>4</x:v>
      </x:c>
      <x:c r="F27" s="24" t="str">
        <x:v>No</x:v>
      </x:c>
      <x:c r="G27" s="24" t="str">
        <x:v>Water</x:v>
      </x:c>
      <x:c r="H27" s="24" t="n">
        <x:v>16</x:v>
      </x:c>
      <x:c r="I27" s="24" t="n">
        <x:v>8</x:v>
      </x:c>
      <x:c r="J27" s="24" t="n">
        <x:v>12</x:v>
      </x:c>
      <x:c r="K27" s="24" t="n">
        <x:v>0</x:v>
      </x:c>
      <x:c r="L27" s="24" t="n">
        <x:v>7</x:v>
      </x:c>
      <x:c r="M27" s="24" t="n">
        <x:v>0</x:v>
      </x:c>
      <x:c r="N27" s="24" t="n">
        <x:v>2</x:v>
      </x:c>
      <x:c r="O27" s="24" t="n">
        <x:v>1</x:v>
      </x:c>
      <x:c r="P27" s="30" t="n">
        <x:f>MIN(0.5,O27*0.005)</x:f>
        <x:v>0.005</x:v>
      </x:c>
      <x:c r="Q27" s="30" t="n">
        <x:v>0.06</x:v>
      </x:c>
      <x:c r="R27" s="24" t="n">
        <x:v>1.55</x:v>
      </x:c>
      <x:c r="S27" s="24" t="str">
        <x:v>Might / Guard / Vitality</x:v>
      </x:c>
      <x:c r="T27" s="24" t="str">
        <x:v>Defensive Brute: imposing Might/Guard with stillness conditions; very low mobility and magic.</x:v>
      </x:c>
      <x:c r="U27" s="24" t="str">
        <x:v>v0.9 pre-built base allocation: 30 points; Purple cap 16; Base Health 16 from Very Large size. Player and NPC instances use this same Bird Stats row.</x:v>
      </x:c>
      <x:c r="V27" s="38" t="n">
        <x:f>SUM(I27:O27)</x:f>
        <x:v>30</x:v>
      </x:c>
      <x:c r="W27" s="38" t="n">
        <x:f>IF(D27="Gold",32,IF(D27="Orange",34,30))</x:f>
        <x:v>30</x:v>
      </x:c>
      <x:c r="X27" s="38" t="n">
        <x:f>IF(D27="Grey",10,IF(D27="Green",12,IF(D27="Blue",14,IF(D27="Purple",16,18))))</x:f>
        <x:v>16</x:v>
      </x:c>
      <x:c r="Y27" s="39" t="str">
        <x:f>IF(V27=W27,"PASS","FAIL")</x:f>
        <x:v>PASS</x:v>
      </x:c>
      <x:c r="Z27" s="39" t="str">
        <x:f>IF(MAX(I27:O27)&lt;=X27,"PASS","FAIL")</x:f>
        <x:v>PASS</x:v>
      </x:c>
      <x:c r="AA27" s="79" t="str">
        <x:v>Boghammer Patience</x:v>
      </x:c>
      <x:c r="AB27" s="79" t="str">
        <x:v>If you did not use a damaging action during your previous turn, your next Strength weapon skill gains +20 Skill Power and deals 2 additional Armour damage.</x:v>
      </x:c>
      <x:c r="AC27" s="79" t="str">
        <x:v>Crushing Momentum</x:v>
      </x:c>
      <x:c r="AD27" s="79" t="str">
        <x:v>Once per turn after Armour absorbs physical damage, your next Strength weapon skill gains +10 Skill Power.</x:v>
      </x:c>
    </x:row>
    <x:row r="28" ht="26.399999618530273" hidden="0" customHeight="1">
      <x:c r="A28" s="24" t="str">
        <x:v>Harpy Eagle</x:v>
      </x:c>
      <x:c r="B28" s="24" t="str">
        <x:v>Rogue</x:v>
      </x:c>
      <x:c r="C28" s="24" t="str">
        <x:v>Very Large</x:v>
      </x:c>
      <x:c r="D28" s="24" t="str">
        <x:v>Gold</x:v>
      </x:c>
      <x:c r="E28" s="24" t="n">
        <x:v>5</x:v>
      </x:c>
      <x:c r="F28" s="24" t="str">
        <x:v>No</x:v>
      </x:c>
      <x:c r="G28" s="24" t="str">
        <x:v>Sky</x:v>
      </x:c>
      <x:c r="H28" s="24" t="n">
        <x:v>16</x:v>
      </x:c>
      <x:c r="I28" s="24" t="n">
        <x:v>5</x:v>
      </x:c>
      <x:c r="J28" s="24" t="n">
        <x:v>4</x:v>
      </x:c>
      <x:c r="K28" s="24" t="n">
        <x:v>15</x:v>
      </x:c>
      <x:c r="L28" s="24" t="n">
        <x:v>3</x:v>
      </x:c>
      <x:c r="M28" s="24" t="n">
        <x:v>0</x:v>
      </x:c>
      <x:c r="N28" s="24" t="n">
        <x:v>2</x:v>
      </x:c>
      <x:c r="O28" s="24" t="n">
        <x:v>3</x:v>
      </x:c>
      <x:c r="P28" s="30" t="n">
        <x:f>MIN(0.5,O28*0.005)</x:f>
        <x:v>0.015</x:v>
      </x:c>
      <x:c r="Q28" s="30" t="n">
        <x:v>0.13</x:v>
      </x:c>
      <x:c r="R28" s="24" t="n">
        <x:v>1.55</x:v>
      </x:c>
      <x:c r="S28" s="24" t="str">
        <x:v>Dexterity</x:v>
      </x:c>
      <x:c r="T28" s="24" t="str">
        <x:v>Large rogue heavy hitter: strong Vitality/Might for Rogue, but low Precision and weaker evasion.</x:v>
      </x:c>
      <x:c r="U28" s="24" t="str">
        <x:v>v0.9 pre-built base allocation: 32 points; Gold cap 18; Base Health 16 from Very Large size. Player and NPC instances use this same Bird Stats row.</x:v>
      </x:c>
      <x:c r="V28" s="38" t="n">
        <x:f>SUM(I28:O28)</x:f>
        <x:v>32</x:v>
      </x:c>
      <x:c r="W28" s="38" t="n">
        <x:f>IF(D28="Gold",32,IF(D28="Orange",34,30))</x:f>
        <x:v>32</x:v>
      </x:c>
      <x:c r="X28" s="38" t="n">
        <x:f>IF(D28="Grey",10,IF(D28="Green",12,IF(D28="Blue",14,IF(D28="Purple",16,18))))</x:f>
        <x:v>18</x:v>
      </x:c>
      <x:c r="Y28" s="39" t="str">
        <x:f>IF(V28=W28,"PASS","FAIL")</x:f>
        <x:v>PASS</x:v>
      </x:c>
      <x:c r="Z28" s="39" t="str">
        <x:f>IF(MAX(I28:O28)&lt;=X28,"PASS","FAIL")</x:f>
        <x:v>PASS</x:v>
      </x:c>
      <x:c r="AA28" s="79" t="str">
        <x:v>Canopy Claim</x:v>
      </x:c>
      <x:c r="AB28" s="79" t="str">
        <x:v>Your first Finesse weapon skill after using Predator Grip ignores 4 Guard and deals 2 additional Armour damage.</x:v>
      </x:c>
      <x:c r="AC28" s="79" t="str">
        <x:v>Rogue Tempo</x:v>
      </x:c>
      <x:c r="AD28" s="79" t="str">
        <x:v>Once per turn, if acting before the target, your first Weapon Skill 1 gains +10 Precision. If that skill breaks Armour, gain Minor Agility Up (+4 Agility) until the start of your next turn.</x:v>
      </x:c>
    </x:row>
    <x:row r="29" ht="26.399999618530273" hidden="0" customHeight="1">
      <x:c r="A29" s="24" t="str">
        <x:v>Bald Eagle</x:v>
      </x:c>
      <x:c r="B29" s="24" t="str">
        <x:v>Inquisitor</x:v>
      </x:c>
      <x:c r="C29" s="24" t="str">
        <x:v>Large</x:v>
      </x:c>
      <x:c r="D29" s="24" t="str">
        <x:v>Gold</x:v>
      </x:c>
      <x:c r="E29" s="24" t="n">
        <x:v>5</x:v>
      </x:c>
      <x:c r="F29" s="24" t="str">
        <x:v>No</x:v>
      </x:c>
      <x:c r="G29" s="24" t="str">
        <x:v>Sky</x:v>
      </x:c>
      <x:c r="H29" s="24" t="n">
        <x:v>14</x:v>
      </x:c>
      <x:c r="I29" s="24" t="n">
        <x:v>5</x:v>
      </x:c>
      <x:c r="J29" s="24" t="n">
        <x:v>8</x:v>
      </x:c>
      <x:c r="K29" s="24" t="n">
        <x:v>1</x:v>
      </x:c>
      <x:c r="L29" s="24" t="n">
        <x:v>4</x:v>
      </x:c>
      <x:c r="M29" s="24" t="n">
        <x:v>5</x:v>
      </x:c>
      <x:c r="N29" s="24" t="n">
        <x:v>7</x:v>
      </x:c>
      <x:c r="O29" s="24" t="n">
        <x:v>2</x:v>
      </x:c>
      <x:c r="P29" s="30" t="n">
        <x:f>MIN(0.5,O29*0.005)</x:f>
        <x:v>0.01</x:v>
      </x:c>
      <x:c r="Q29" s="30" t="n">
        <x:v>0.08</x:v>
      </x:c>
      <x:c r="R29" s="24" t="n">
        <x:v>1.5</x:v>
      </x:c>
      <x:c r="S29" s="24" t="str">
        <x:v>Might / Focus / Resolve</x:v>
      </x:c>
      <x:c r="T29" s="24" t="str">
        <x:v>Offensive Inquisitor: better Might/Precision than bulky sustain birds; lower Guard than defenders.</x:v>
      </x:c>
      <x:c r="U29" s="24" t="str">
        <x:v>v0.9 pre-built base allocation: 32 points; Gold cap 18; Base Health 14 from Large size. Player and NPC instances use this same Bird Stats row.</x:v>
      </x:c>
      <x:c r="V29" s="38" t="n">
        <x:f>SUM(I29:O29)</x:f>
        <x:v>32</x:v>
      </x:c>
      <x:c r="W29" s="38" t="n">
        <x:f>IF(D29="Gold",32,IF(D29="Orange",34,30))</x:f>
        <x:v>32</x:v>
      </x:c>
      <x:c r="X29" s="38" t="n">
        <x:f>IF(D29="Grey",10,IF(D29="Green",12,IF(D29="Blue",14,IF(D29="Purple",16,18))))</x:f>
        <x:v>18</x:v>
      </x:c>
      <x:c r="Y29" s="39" t="str">
        <x:f>IF(V29=W29,"PASS","FAIL")</x:f>
        <x:v>PASS</x:v>
      </x:c>
      <x:c r="Z29" s="39" t="str">
        <x:f>IF(MAX(I29:O29)&lt;=X29,"PASS","FAIL")</x:f>
        <x:v>PASS</x:v>
      </x:c>
      <x:c r="AA29" s="79" t="str">
        <x:v>Predatory Focus</x:v>
      </x:c>
      <x:c r="AB29" s="79" t="str">
        <x:v>After landing a critical hit, restore 2 to the lower protection pool. If both pools are full, gain +10 Precision until the start of your next turn.</x:v>
      </x:c>
      <x:c r="AC29" s="79" t="str">
        <x:v>Judgement Leech</x:v>
      </x:c>
      <x:c r="AD29" s="79" t="str">
        <x:v>Once per turn after a damaging skill hits an ailmented, debuffed or Marked target, restore 2 to the lower of Armour or Magic Armour, capped at its normal maximum. If both pools are full, heal 5% Maximum Health.</x:v>
      </x:c>
    </x:row>
    <x:row r="30" ht="26.399999618530273" hidden="0" customHeight="1">
      <x:c r="A30" s="24" t="str">
        <x:v>Emperor Penguin</x:v>
      </x:c>
      <x:c r="B30" s="24" t="str">
        <x:v>Inquisitor</x:v>
      </x:c>
      <x:c r="C30" s="24" t="str">
        <x:v>Giant</x:v>
      </x:c>
      <x:c r="D30" s="24" t="str">
        <x:v>Gold</x:v>
      </x:c>
      <x:c r="E30" s="24" t="n">
        <x:v>5</x:v>
      </x:c>
      <x:c r="F30" s="24" t="str">
        <x:v>No</x:v>
      </x:c>
      <x:c r="G30" s="24" t="str">
        <x:v>Water</x:v>
      </x:c>
      <x:c r="H30" s="24" t="n">
        <x:v>18</x:v>
      </x:c>
      <x:c r="I30" s="24" t="n">
        <x:v>9</x:v>
      </x:c>
      <x:c r="J30" s="24" t="n">
        <x:v>5</x:v>
      </x:c>
      <x:c r="K30" s="24" t="n">
        <x:v>0</x:v>
      </x:c>
      <x:c r="L30" s="24" t="n">
        <x:v>7</x:v>
      </x:c>
      <x:c r="M30" s="24" t="n">
        <x:v>3</x:v>
      </x:c>
      <x:c r="N30" s="24" t="n">
        <x:v>8</x:v>
      </x:c>
      <x:c r="O30" s="24" t="n">
        <x:v>0</x:v>
      </x:c>
      <x:c r="P30" s="30" t="n">
        <x:f>MIN(0.5,O30*0.005)</x:f>
        <x:v>0</x:v>
      </x:c>
      <x:c r="Q30" s="30" t="n">
        <x:v>0.05</x:v>
      </x:c>
      <x:c r="R30" s="24" t="n">
        <x:v>1.5</x:v>
      </x:c>
      <x:c r="S30" s="24" t="str">
        <x:v>Might / Focus / Resolve</x:v>
      </x:c>
      <x:c r="T30" s="24" t="str">
        <x:v>Fortress Inquisitor: very high Vitality/Resolve and good Guard; extremely slow and inaccurate.</x:v>
      </x:c>
      <x:c r="U30" s="24" t="str">
        <x:v>v0.9 pre-built base allocation: 32 points; Gold cap 18; Base Health 18 from Giant size. Player and NPC instances use this same Bird Stats row.</x:v>
      </x:c>
      <x:c r="V30" s="38" t="n">
        <x:f>SUM(I30:O30)</x:f>
        <x:v>32</x:v>
      </x:c>
      <x:c r="W30" s="38" t="n">
        <x:f>IF(D30="Gold",32,IF(D30="Orange",34,30))</x:f>
        <x:v>32</x:v>
      </x:c>
      <x:c r="X30" s="38" t="n">
        <x:f>IF(D30="Grey",10,IF(D30="Green",12,IF(D30="Blue",14,IF(D30="Purple",16,18))))</x:f>
        <x:v>18</x:v>
      </x:c>
      <x:c r="Y30" s="39" t="str">
        <x:f>IF(V30=W30,"PASS","FAIL")</x:f>
        <x:v>PASS</x:v>
      </x:c>
      <x:c r="Z30" s="39" t="str">
        <x:f>IF(MAX(I30:O30)&lt;=X30,"PASS","FAIL")</x:f>
        <x:v>PASS</x:v>
      </x:c>
      <x:c r="AA30" s="79" t="str">
        <x:v>Polar Resilience</x:v>
      </x:c>
      <x:c r="AB30" s="79" t="str">
        <x:v>After successfully applying Chilled, restore 2 Magic Armour. If Magic Armour is full, gain Minor Resolve Up (+4 Resolve) until the start of your next turn.</x:v>
      </x:c>
      <x:c r="AC30" s="79" t="str">
        <x:v>Judgement Leech</x:v>
      </x:c>
      <x:c r="AD30" s="79" t="str">
        <x:v>Once per turn after a damaging skill hits an ailmented, debuffed or Marked target, restore 2 to the lower of Armour or Magic Armour, capped at its normal maximum. If both pools are full, heal 5% Maximum Health.</x:v>
      </x:c>
    </x:row>
    <x:row r="31" ht="26.399999618530273" hidden="0" customHeight="1">
      <x:c r="A31" s="24" t="str">
        <x:v>Ostrich</x:v>
      </x:c>
      <x:c r="B31" s="24" t="str">
        <x:v>Brute</x:v>
      </x:c>
      <x:c r="C31" s="24" t="str">
        <x:v>Giant</x:v>
      </x:c>
      <x:c r="D31" s="24" t="str">
        <x:v>Purple</x:v>
      </x:c>
      <x:c r="E31" s="24" t="n">
        <x:v>4</x:v>
      </x:c>
      <x:c r="F31" s="24" t="str">
        <x:v>No</x:v>
      </x:c>
      <x:c r="G31" s="24" t="str">
        <x:v>Earth</x:v>
      </x:c>
      <x:c r="H31" s="24" t="n">
        <x:v>18</x:v>
      </x:c>
      <x:c r="I31" s="24" t="n">
        <x:v>5</x:v>
      </x:c>
      <x:c r="J31" s="24" t="n">
        <x:v>10</x:v>
      </x:c>
      <x:c r="K31" s="24" t="n">
        <x:v>2</x:v>
      </x:c>
      <x:c r="L31" s="24" t="n">
        <x:v>4</x:v>
      </x:c>
      <x:c r="M31" s="24" t="n">
        <x:v>0</x:v>
      </x:c>
      <x:c r="N31" s="24" t="n">
        <x:v>2</x:v>
      </x:c>
      <x:c r="O31" s="24" t="n">
        <x:v>7</x:v>
      </x:c>
      <x:c r="P31" s="30" t="n">
        <x:f>MIN(0.5,O31*0.005)</x:f>
        <x:v>0.035</x:v>
      </x:c>
      <x:c r="Q31" s="30" t="n">
        <x:v>0.07</x:v>
      </x:c>
      <x:c r="R31" s="24" t="n">
        <x:v>1.55</x:v>
      </x:c>
      <x:c r="S31" s="24" t="str">
        <x:v>Might / Guard / Vitality</x:v>
      </x:c>
      <x:c r="T31" s="24" t="str">
        <x:v>Runner Brute: high Vitality/Might/Agility; low Guard, Precision, Dodge, Resolve, Focus.</x:v>
      </x:c>
      <x:c r="U31" s="24" t="str">
        <x:v>v0.9 pre-built base allocation: 30 points; Purple cap 16; Base Health 18 from Giant size. Player and NPC instances use this same Bird Stats row.</x:v>
      </x:c>
      <x:c r="V31" s="38" t="n">
        <x:f>SUM(I31:O31)</x:f>
        <x:v>30</x:v>
      </x:c>
      <x:c r="W31" s="38" t="n">
        <x:f>IF(D31="Gold",32,IF(D31="Orange",34,30))</x:f>
        <x:v>30</x:v>
      </x:c>
      <x:c r="X31" s="38" t="n">
        <x:f>IF(D31="Grey",10,IF(D31="Green",12,IF(D31="Blue",14,IF(D31="Purple",16,18))))</x:f>
        <x:v>16</x:v>
      </x:c>
      <x:c r="Y31" s="39" t="str">
        <x:f>IF(V31=W31,"PASS","FAIL")</x:f>
        <x:v>PASS</x:v>
      </x:c>
      <x:c r="Z31" s="39" t="str">
        <x:f>IF(MAX(I31:O31)&lt;=X31,"PASS","FAIL")</x:f>
        <x:v>PASS</x:v>
      </x:c>
      <x:c r="AA31" s="79" t="str">
        <x:v>Sand-King Momentum</x:v>
      </x:c>
      <x:c r="AB31" s="79" t="str">
        <x:v>After using Momentum Charge, your next Strength weapon skill gains +20 Skill Power and +10 Precision.</x:v>
      </x:c>
      <x:c r="AC31" s="79" t="str">
        <x:v>Crushing Momentum</x:v>
      </x:c>
      <x:c r="AD31" s="79" t="str">
        <x:v>Once per turn after Armour absorbs physical damage, your next Strength weapon skill gains +10 Skill Power.</x:v>
      </x:c>
    </x:row>
    <x:row r="32" ht="26.399999618530273" hidden="0" customHeight="1">
      <x:c r="A32" s="24" t="str">
        <x:v>Cassowary</x:v>
      </x:c>
      <x:c r="B32" s="24" t="str">
        <x:v>Brute</x:v>
      </x:c>
      <x:c r="C32" s="24" t="str">
        <x:v>Giant</x:v>
      </x:c>
      <x:c r="D32" s="24" t="str">
        <x:v>Purple</x:v>
      </x:c>
      <x:c r="E32" s="24" t="n">
        <x:v>4</x:v>
      </x:c>
      <x:c r="F32" s="24" t="str">
        <x:v>No</x:v>
      </x:c>
      <x:c r="G32" s="24" t="str">
        <x:v>Earth</x:v>
      </x:c>
      <x:c r="H32" s="24" t="n">
        <x:v>18</x:v>
      </x:c>
      <x:c r="I32" s="24" t="n">
        <x:v>6</x:v>
      </x:c>
      <x:c r="J32" s="24" t="n">
        <x:v>13</x:v>
      </x:c>
      <x:c r="K32" s="24" t="n">
        <x:v>1</x:v>
      </x:c>
      <x:c r="L32" s="24" t="n">
        <x:v>5</x:v>
      </x:c>
      <x:c r="M32" s="24" t="n">
        <x:v>0</x:v>
      </x:c>
      <x:c r="N32" s="24" t="n">
        <x:v>2</x:v>
      </x:c>
      <x:c r="O32" s="24" t="n">
        <x:v>3</x:v>
      </x:c>
      <x:c r="P32" s="30" t="n">
        <x:f>MIN(0.5,O32*0.005)</x:f>
        <x:v>0.015</x:v>
      </x:c>
      <x:c r="Q32" s="30" t="n">
        <x:v>0.09</x:v>
      </x:c>
      <x:c r="R32" s="24" t="n">
        <x:v>1.55</x:v>
      </x:c>
      <x:c r="S32" s="24" t="str">
        <x:v>Might / Guard / Vitality</x:v>
      </x:c>
      <x:c r="T32" s="24" t="str">
        <x:v>Killer Brute: highest Brute Might; Heavy techniques carry lower Base Precision or recoil as authored.</x:v>
      </x:c>
      <x:c r="U32" s="24" t="str">
        <x:v>v0.9 pre-built base allocation: 30 points; Purple cap 16; Base Health 18 from Giant size. Player and NPC instances use this same Bird Stats row.</x:v>
      </x:c>
      <x:c r="V32" s="38" t="n">
        <x:f>SUM(I32:O32)</x:f>
        <x:v>30</x:v>
      </x:c>
      <x:c r="W32" s="38" t="n">
        <x:f>IF(D32="Gold",32,IF(D32="Orange",34,30))</x:f>
        <x:v>30</x:v>
      </x:c>
      <x:c r="X32" s="38" t="n">
        <x:f>IF(D32="Grey",10,IF(D32="Green",12,IF(D32="Blue",14,IF(D32="Purple",16,18))))</x:f>
        <x:v>16</x:v>
      </x:c>
      <x:c r="Y32" s="39" t="str">
        <x:f>IF(V32=W32,"PASS","FAIL")</x:f>
        <x:v>PASS</x:v>
      </x:c>
      <x:c r="Z32" s="39" t="str">
        <x:f>IF(MAX(I32:O32)&lt;=X32,"PASS","FAIL")</x:f>
        <x:v>PASS</x:v>
      </x:c>
      <x:c r="AA32" s="79" t="str">
        <x:v>Helmetbreaker Wrath</x:v>
      </x:c>
      <x:c r="AB32" s="79" t="str">
        <x:v>Your first Strength weapon skill each turn against a Bleeding or Weakened target gains +10 percentage points Critical Chance and deals 2 additional Armour damage.</x:v>
      </x:c>
      <x:c r="AC32" s="79" t="str">
        <x:v>Crushing Momentum</x:v>
      </x:c>
      <x:c r="AD32" s="79" t="str">
        <x:v>Once per turn after Armour absorbs physical damage, your next Strength weapon skill gains +10 Skill Power.</x:v>
      </x:c>
    </x:row>
    <x:row r="33" ht="26.399999618530273" hidden="0" customHeight="1">
      <x:c r="A33" s="24" t="str">
        <x:v>Emu</x:v>
      </x:c>
      <x:c r="B33" s="24" t="str">
        <x:v>Brute</x:v>
      </x:c>
      <x:c r="C33" s="24" t="str">
        <x:v>Giant</x:v>
      </x:c>
      <x:c r="D33" s="24" t="str">
        <x:v>Purple</x:v>
      </x:c>
      <x:c r="E33" s="24" t="n">
        <x:v>4</x:v>
      </x:c>
      <x:c r="F33" s="24" t="str">
        <x:v>No</x:v>
      </x:c>
      <x:c r="G33" s="24" t="str">
        <x:v>Earth</x:v>
      </x:c>
      <x:c r="H33" s="24" t="n">
        <x:v>18</x:v>
      </x:c>
      <x:c r="I33" s="24" t="n">
        <x:v>5</x:v>
      </x:c>
      <x:c r="J33" s="24" t="n">
        <x:v>9</x:v>
      </x:c>
      <x:c r="K33" s="24" t="n">
        <x:v>2</x:v>
      </x:c>
      <x:c r="L33" s="24" t="n">
        <x:v>3</x:v>
      </x:c>
      <x:c r="M33" s="24" t="n">
        <x:v>0</x:v>
      </x:c>
      <x:c r="N33" s="24" t="n">
        <x:v>2</x:v>
      </x:c>
      <x:c r="O33" s="24" t="n">
        <x:v>9</x:v>
      </x:c>
      <x:c r="P33" s="30" t="n">
        <x:f>MIN(0.5,O33*0.005)</x:f>
        <x:v>0.045</x:v>
      </x:c>
      <x:c r="Q33" s="30" t="n">
        <x:v>0.06</x:v>
      </x:c>
      <x:c r="R33" s="24" t="n">
        <x:v>1.55</x:v>
      </x:c>
      <x:c r="S33" s="24" t="str">
        <x:v>Might / Guard / Vitality</x:v>
      </x:c>
      <x:c r="T33" s="24" t="str">
        <x:v>Endurance Runner Brute: fastest Brute; lower Guard/Might than Cassowary/Ostrich.</x:v>
      </x:c>
      <x:c r="U33" s="24" t="str">
        <x:v>v0.9 pre-built base allocation: 30 points; Purple cap 16; Base Health 18 from Giant size. Player and NPC instances use this same Bird Stats row.</x:v>
      </x:c>
      <x:c r="V33" s="38" t="n">
        <x:f>SUM(I33:O33)</x:f>
        <x:v>30</x:v>
      </x:c>
      <x:c r="W33" s="38" t="n">
        <x:f>IF(D33="Gold",32,IF(D33="Orange",34,30))</x:f>
        <x:v>30</x:v>
      </x:c>
      <x:c r="X33" s="38" t="n">
        <x:f>IF(D33="Grey",10,IF(D33="Green",12,IF(D33="Blue",14,IF(D33="Purple",16,18))))</x:f>
        <x:v>16</x:v>
      </x:c>
      <x:c r="Y33" s="39" t="str">
        <x:f>IF(V33=W33,"PASS","FAIL")</x:f>
        <x:v>PASS</x:v>
      </x:c>
      <x:c r="Z33" s="39" t="str">
        <x:f>IF(MAX(I33:O33)&lt;=X33,"PASS","FAIL")</x:f>
        <x:v>PASS</x:v>
      </x:c>
      <x:c r="AA33" s="79" t="str">
        <x:v>Red-Dust Stampede</x:v>
      </x:c>
      <x:c r="AB33" s="79" t="str">
        <x:v>After Armour absorbs physical damage, gain Minor Agility Up (+4 Agility) until the start of your next turn and your next Strength weapon skill gains +10 Precision.</x:v>
      </x:c>
      <x:c r="AC33" s="79" t="str">
        <x:v>Crushing Momentum</x:v>
      </x:c>
      <x:c r="AD33" s="79" t="str">
        <x:v>Once per turn after Armour absorbs physical damage, your next Strength weapon skill gains +10 Skill Power.</x:v>
      </x:c>
    </x:row>
    <x:row r="34" ht="26.399999618530273" hidden="0" customHeight="1">
      <x:c r="A34" s="24" t="str">
        <x:v>Duke Blakiston</x:v>
      </x:c>
      <x:c r="B34" s="24" t="str">
        <x:v>Duke</x:v>
      </x:c>
      <x:c r="C34" s="24" t="str">
        <x:v>Boss Override</x:v>
      </x:c>
      <x:c r="D34" s="24" t="str">
        <x:v>Orange</x:v>
      </x:c>
      <x:c r="E34" s="24" t="n">
        <x:v>6</x:v>
      </x:c>
      <x:c r="F34" s="24" t="str">
        <x:v>No</x:v>
      </x:c>
      <x:c r="G34" s="24" t="str">
        <x:v>Night</x:v>
      </x:c>
      <x:c r="H34" s="24" t="n">
        <x:v>20</x:v>
      </x:c>
      <x:c r="I34" s="24" t="n">
        <x:v>5</x:v>
      </x:c>
      <x:c r="J34" s="24" t="n">
        <x:v>4</x:v>
      </x:c>
      <x:c r="K34" s="24" t="n">
        <x:v>2</x:v>
      </x:c>
      <x:c r="L34" s="24" t="n">
        <x:v>4</x:v>
      </x:c>
      <x:c r="M34" s="24" t="n">
        <x:v>12</x:v>
      </x:c>
      <x:c r="N34" s="24" t="n">
        <x:v>5</x:v>
      </x:c>
      <x:c r="O34" s="24" t="n">
        <x:v>2</x:v>
      </x:c>
      <x:c r="P34" s="30" t="n">
        <x:f>MIN(0.5,O34*0.005)</x:f>
        <x:v>0.01</x:v>
      </x:c>
      <x:c r="Q34" s="30" t="n">
        <x:v>0.1</x:v>
      </x:c>
      <x:c r="R34" s="24" t="n">
        <x:v>1.6</x:v>
      </x:c>
      <x:c r="S34" s="24" t="str">
        <x:v>Might / Focus / Resolve</x:v>
      </x:c>
      <x:c r="T34" s="24" t="str">
        <x:v>Final boss only: above normal budget, but major punishments must be telegraphed.</x:v>
      </x:c>
      <x:c r="U34" s="24" t="str">
        <x:v>v0.9 pre-built base allocation: 34 points; Orange cap 18; Base Health 20 from Boss Override size. Player and NPC instances use this same Bird Stats row.</x:v>
      </x:c>
      <x:c r="V34" s="38" t="n">
        <x:f>SUM(I34:O34)</x:f>
        <x:v>34</x:v>
      </x:c>
      <x:c r="W34" s="38" t="n">
        <x:f>IF(D34="Gold",32,IF(D34="Orange",34,30))</x:f>
        <x:v>34</x:v>
      </x:c>
      <x:c r="X34" s="38" t="n">
        <x:f>IF(D34="Grey",10,IF(D34="Green",12,IF(D34="Blue",14,IF(D34="Purple",16,18))))</x:f>
        <x:v>18</x:v>
      </x:c>
      <x:c r="Y34" s="39" t="str">
        <x:f>IF(V34=W34,"PASS","FAIL")</x:f>
        <x:v>PASS</x:v>
      </x:c>
      <x:c r="Z34" s="39" t="str">
        <x:f>IF(MAX(I34:O34)&lt;=X34,"PASS","FAIL")</x:f>
        <x:v>PASS</x:v>
      </x:c>
      <x:c r="AA34" s="79" t="str">
        <x:v>Nightfall Sovereignty</x:v>
      </x:c>
      <x:c r="AB34" s="79" t="str">
        <x:v>The first time each combat you fall below 50% Health, restore 25% of normal Maximum Armour and Magic Armour and gain Moderate Might Up (+10 Might) and Moderate Focus Up (+10 Focus) for 2 turns.</x:v>
      </x:c>
      <x:c r="AC34" s="79" t="str">
        <x:v>Duke Ascension</x:v>
      </x:c>
      <x:c r="AD34" s="79" t="str">
        <x:v>After defeating an enemy, restore 25% of normal Maximum Armour and Magic Armour and gain +5% all damage for the remainder of combat.</x:v>
      </x:c>
    </x:row>
    <x:row r="35" ht="26.399999618530273" hidden="0" customHeight="1">
      <x:c r="A35" s="24" t="str">
        <x:v>Wren</x:v>
      </x:c>
      <x:c r="B35" s="24" t="str">
        <x:v>Rogue</x:v>
      </x:c>
      <x:c r="C35" s="24" t="str">
        <x:v>Tiny</x:v>
      </x:c>
      <x:c r="D35" s="24" t="str">
        <x:v>Grey</x:v>
      </x:c>
      <x:c r="E35" s="24" t="n">
        <x:v>1</x:v>
      </x:c>
      <x:c r="F35" s="24" t="str">
        <x:v>No</x:v>
      </x:c>
      <x:c r="G35" s="24" t="str">
        <x:v>Sky</x:v>
      </x:c>
      <x:c r="H35" s="24" t="n">
        <x:v>8</x:v>
      </x:c>
      <x:c r="I35" s="24" t="n">
        <x:v>1</x:v>
      </x:c>
      <x:c r="J35" s="24" t="n">
        <x:v>2</x:v>
      </x:c>
      <x:c r="K35" s="24" t="n">
        <x:v>10</x:v>
      </x:c>
      <x:c r="L35" s="24" t="n">
        <x:v>2</x:v>
      </x:c>
      <x:c r="M35" s="24" t="n">
        <x:v>0</x:v>
      </x:c>
      <x:c r="N35" s="24" t="n">
        <x:v>5</x:v>
      </x:c>
      <x:c r="O35" s="24" t="n">
        <x:v>10</x:v>
      </x:c>
      <x:c r="P35" s="30" t="n">
        <x:f>MIN(0.5,O35*0.005)</x:f>
        <x:v>0.05</x:v>
      </x:c>
      <x:c r="Q35" s="30" t="n">
        <x:v>0.12</x:v>
      </x:c>
      <x:c r="R35" s="24" t="n">
        <x:v>1.55</x:v>
      </x:c>
      <x:c r="S35" s="24" t="str">
        <x:v>Dexterity</x:v>
      </x:c>
      <x:c r="T35" s="24" t="str">
        <x:v>Tiny rogue: top-tier Dodge and tempo; fragile and low Might.</x:v>
      </x:c>
      <x:c r="U35" s="24" t="str">
        <x:v>v0.9 pre-built base allocation: 30 points; Grey cap 10; Base Health 8 from Tiny size. Player and NPC instances use this same Bird Stats row.</x:v>
      </x:c>
      <x:c r="V35" s="38" t="n">
        <x:f>SUM(I35:O35)</x:f>
        <x:v>30</x:v>
      </x:c>
      <x:c r="W35" s="38" t="n">
        <x:f>IF(D35="Gold",32,IF(D35="Orange",34,30))</x:f>
        <x:v>30</x:v>
      </x:c>
      <x:c r="X35" s="38" t="n">
        <x:f>IF(D35="Grey",10,IF(D35="Green",12,IF(D35="Blue",14,IF(D35="Purple",16,18))))</x:f>
        <x:v>10</x:v>
      </x:c>
      <x:c r="Y35" s="39" t="str">
        <x:f>IF(V35=W35,"PASS","FAIL")</x:f>
        <x:v>PASS</x:v>
      </x:c>
      <x:c r="Z35" s="39" t="str">
        <x:f>IF(MAX(I35:O35)&lt;=X35,"PASS","FAIL")</x:f>
        <x:v>PASS</x:v>
      </x:c>
      <x:c r="AA35" s="79" t="str">
        <x:v>Bramble Vanishing</x:v>
      </x:c>
      <x:c r="AB35" s="79" t="str">
        <x:v>After you Dodge, your next Weapon Skill 1 gains +10 Precision. If it damages Health, apply -10 Precision to the target for 1 turn.</x:v>
      </x:c>
      <x:c r="AC35" s="79" t="str">
        <x:v>Rogue Tempo</x:v>
      </x:c>
      <x:c r="AD35" s="79" t="str">
        <x:v>Once per turn, if acting before the target, your first Weapon Skill 1 gains +10 Precision. If that skill breaks Armour, gain Minor Agility Up (+4 Agility) until the start of your next turn.</x:v>
      </x:c>
    </x:row>
    <x:row r="36" ht="26.399999618530273" hidden="0" customHeight="1">
      <x:c r="A36" s="24" t="str">
        <x:v>Superb Fairywren</x:v>
      </x:c>
      <x:c r="B36" s="24" t="str">
        <x:v>Bard</x:v>
      </x:c>
      <x:c r="C36" s="24" t="str">
        <x:v>Tiny</x:v>
      </x:c>
      <x:c r="D36" s="24" t="str">
        <x:v>Green</x:v>
      </x:c>
      <x:c r="E36" s="24" t="n">
        <x:v>2</x:v>
      </x:c>
      <x:c r="F36" s="24" t="str">
        <x:v>No</x:v>
      </x:c>
      <x:c r="G36" s="24" t="str">
        <x:v>Day</x:v>
      </x:c>
      <x:c r="H36" s="24" t="n">
        <x:v>8</x:v>
      </x:c>
      <x:c r="I36" s="24" t="n">
        <x:v>2</x:v>
      </x:c>
      <x:c r="J36" s="24" t="n">
        <x:v>0</x:v>
      </x:c>
      <x:c r="K36" s="24" t="n">
        <x:v>5</x:v>
      </x:c>
      <x:c r="L36" s="24" t="n">
        <x:v>3</x:v>
      </x:c>
      <x:c r="M36" s="24" t="n">
        <x:v>7</x:v>
      </x:c>
      <x:c r="N36" s="24" t="n">
        <x:v>5</x:v>
      </x:c>
      <x:c r="O36" s="24" t="n">
        <x:v>8</x:v>
      </x:c>
      <x:c r="P36" s="30" t="n">
        <x:f>MIN(0.5,O36*0.005)</x:f>
        <x:v>0.04</x:v>
      </x:c>
      <x:c r="Q36" s="30" t="n">
        <x:v>0.09</x:v>
      </x:c>
      <x:c r="R36" s="24" t="n">
        <x:v>1.5</x:v>
      </x:c>
      <x:c r="S36" s="24" t="str">
        <x:v>Dexterity / Focus</x:v>
      </x:c>
      <x:c r="T36" s="24" t="str">
        <x:v>Tiny Bard: evasive support; lower Vitality/Might/Guard so it is not an all-rounder.</x:v>
      </x:c>
      <x:c r="U36" s="24" t="str">
        <x:v>v0.9 pre-built base allocation: 30 points; Green cap 12; Base Health 8 from Tiny size. Player and NPC instances use this same Bird Stats row.</x:v>
      </x:c>
      <x:c r="V36" s="38" t="n">
        <x:f>SUM(I36:O36)</x:f>
        <x:v>30</x:v>
      </x:c>
      <x:c r="W36" s="38" t="n">
        <x:f>IF(D36="Gold",32,IF(D36="Orange",34,30))</x:f>
        <x:v>30</x:v>
      </x:c>
      <x:c r="X36" s="38" t="n">
        <x:f>IF(D36="Grey",10,IF(D36="Green",12,IF(D36="Blue",14,IF(D36="Purple",16,18))))</x:f>
        <x:v>12</x:v>
      </x:c>
      <x:c r="Y36" s="39" t="str">
        <x:f>IF(V36=W36,"PASS","FAIL")</x:f>
        <x:v>PASS</x:v>
      </x:c>
      <x:c r="Z36" s="39" t="str">
        <x:f>IF(MAX(I36:O36)&lt;=X36,"PASS","FAIL")</x:f>
        <x:v>PASS</x:v>
      </x:c>
      <x:c r="AA36" s="79" t="str">
        <x:v>Azure Court Rhythm</x:v>
      </x:c>
      <x:c r="AB36" s="79" t="str">
        <x:v>After a Magic damaging skill, your next Finesse damaging skill gains +5 percentage points Critical Chance and restores 1 to the lower protection pool on hit.</x:v>
      </x:c>
      <x:c r="AC36" s="79" t="str">
        <x:v>Verse and Chorus</x:v>
      </x:c>
      <x:c r="AD36" s="79" t="str">
        <x:v>Once per turn, when you alternate Martial and Magic damaging skills, the second skill restores 2 to the lower protection pool. If both pools are full, it gains +10 Skill Power instead.</x:v>
      </x:c>
    </x:row>
    <x:row r="37" ht="26.399999618530273" hidden="0" customHeight="1">
      <x:c r="A37" s="24" t="str">
        <x:v>Firecrest</x:v>
      </x:c>
      <x:c r="B37" s="24" t="str">
        <x:v>Rogue</x:v>
      </x:c>
      <x:c r="C37" s="24" t="str">
        <x:v>Tiny</x:v>
      </x:c>
      <x:c r="D37" s="24" t="str">
        <x:v>Green</x:v>
      </x:c>
      <x:c r="E37" s="24" t="n">
        <x:v>2</x:v>
      </x:c>
      <x:c r="F37" s="24" t="str">
        <x:v>No</x:v>
      </x:c>
      <x:c r="G37" s="24" t="str">
        <x:v>Day</x:v>
      </x:c>
      <x:c r="H37" s="24" t="n">
        <x:v>8</x:v>
      </x:c>
      <x:c r="I37" s="24" t="n">
        <x:v>1</x:v>
      </x:c>
      <x:c r="J37" s="24" t="n">
        <x:v>0</x:v>
      </x:c>
      <x:c r="K37" s="24" t="n">
        <x:v>11</x:v>
      </x:c>
      <x:c r="L37" s="24" t="n">
        <x:v>2</x:v>
      </x:c>
      <x:c r="M37" s="24" t="n">
        <x:v>0</x:v>
      </x:c>
      <x:c r="N37" s="24" t="n">
        <x:v>4</x:v>
      </x:c>
      <x:c r="O37" s="24" t="n">
        <x:v>12</x:v>
      </x:c>
      <x:c r="P37" s="30" t="n">
        <x:f>MIN(0.5,O37*0.005)</x:f>
        <x:v>0.06</x:v>
      </x:c>
      <x:c r="Q37" s="30" t="n">
        <x:v>0.12</x:v>
      </x:c>
      <x:c r="R37" s="24" t="n">
        <x:v>1.55</x:v>
      </x:c>
      <x:c r="S37" s="24" t="str">
        <x:v>Dexterity</x:v>
      </x:c>
      <x:c r="T37" s="24" t="str">
        <x:v>Burning rogue: fastest ailment skirmisher; very fragile with modest Dodge.</x:v>
      </x:c>
      <x:c r="U37" s="24" t="str">
        <x:v>v0.9 pre-built base allocation: 30 points; Green cap 12; Base Health 8 from Tiny size. Player and NPC instances use this same Bird Stats row.</x:v>
      </x:c>
      <x:c r="V37" s="38" t="n">
        <x:f>SUM(I37:O37)</x:f>
        <x:v>30</x:v>
      </x:c>
      <x:c r="W37" s="38" t="n">
        <x:f>IF(D37="Gold",32,IF(D37="Orange",34,30))</x:f>
        <x:v>30</x:v>
      </x:c>
      <x:c r="X37" s="38" t="n">
        <x:f>IF(D37="Grey",10,IF(D37="Green",12,IF(D37="Blue",14,IF(D37="Purple",16,18))))</x:f>
        <x:v>12</x:v>
      </x:c>
      <x:c r="Y37" s="39" t="str">
        <x:f>IF(V37=W37,"PASS","FAIL")</x:f>
        <x:v>PASS</x:v>
      </x:c>
      <x:c r="Z37" s="39" t="str">
        <x:f>IF(MAX(I37:O37)&lt;=X37,"PASS","FAIL")</x:f>
        <x:v>PASS</x:v>
      </x:c>
      <x:c r="AA37" s="79" t="str">
        <x:v>Kindled Crown</x:v>
      </x:c>
      <x:c r="AB37" s="79" t="str">
        <x:v>Your first Day damaging skill each turn gains +5 percentage points Critical Chance and deals 2 additional Magic Armour damage.</x:v>
      </x:c>
      <x:c r="AC37" s="79" t="str">
        <x:v>Rogue Tempo</x:v>
      </x:c>
      <x:c r="AD37" s="79" t="str">
        <x:v>Once per turn, if acting before the target, your first Weapon Skill 1 gains +10 Precision. If that skill breaks Armour, gain Minor Agility Up (+4 Agility) until the start of your next turn.</x:v>
      </x:c>
    </x:row>
    <x:row r="38" ht="26.399999618530273" hidden="0" customHeight="1">
      <x:c r="A38" s="24" t="str">
        <x:v>Willie Wagtail</x:v>
      </x:c>
      <x:c r="B38" s="24" t="str">
        <x:v>Rogue</x:v>
      </x:c>
      <x:c r="C38" s="24" t="str">
        <x:v>Small</x:v>
      </x:c>
      <x:c r="D38" s="24" t="str">
        <x:v>Grey</x:v>
      </x:c>
      <x:c r="E38" s="24" t="n">
        <x:v>1</x:v>
      </x:c>
      <x:c r="F38" s="24" t="str">
        <x:v>No</x:v>
      </x:c>
      <x:c r="G38" s="24" t="str">
        <x:v>Sky</x:v>
      </x:c>
      <x:c r="H38" s="24" t="n">
        <x:v>10</x:v>
      </x:c>
      <x:c r="I38" s="24" t="n">
        <x:v>2</x:v>
      </x:c>
      <x:c r="J38" s="24" t="n">
        <x:v>1</x:v>
      </x:c>
      <x:c r="K38" s="24" t="n">
        <x:v>9</x:v>
      </x:c>
      <x:c r="L38" s="24" t="n">
        <x:v>3</x:v>
      </x:c>
      <x:c r="M38" s="24" t="n">
        <x:v>0</x:v>
      </x:c>
      <x:c r="N38" s="24" t="n">
        <x:v>5</x:v>
      </x:c>
      <x:c r="O38" s="24" t="n">
        <x:v>10</x:v>
      </x:c>
      <x:c r="P38" s="30" t="n">
        <x:f>MIN(0.5,O38*0.005)</x:f>
        <x:v>0.05</x:v>
      </x:c>
      <x:c r="Q38" s="30" t="n">
        <x:v>0.11</x:v>
      </x:c>
      <x:c r="R38" s="24" t="n">
        <x:v>1.55</x:v>
      </x:c>
      <x:c r="S38" s="24" t="str">
        <x:v>Dexterity</x:v>
      </x:c>
      <x:c r="T38" s="24" t="str">
        <x:v>Feint rogue: high Agility/Dodge response play with weak durability.</x:v>
      </x:c>
      <x:c r="U38" s="24" t="str">
        <x:v>v0.9 pre-built base allocation: 30 points; Grey cap 10; Base Health 10 from Small size. Player and NPC instances use this same Bird Stats row.</x:v>
      </x:c>
      <x:c r="V38" s="38" t="n">
        <x:f>SUM(I38:O38)</x:f>
        <x:v>30</x:v>
      </x:c>
      <x:c r="W38" s="38" t="n">
        <x:f>IF(D38="Gold",32,IF(D38="Orange",34,30))</x:f>
        <x:v>30</x:v>
      </x:c>
      <x:c r="X38" s="38" t="n">
        <x:f>IF(D38="Grey",10,IF(D38="Green",12,IF(D38="Blue",14,IF(D38="Purple",16,18))))</x:f>
        <x:v>10</x:v>
      </x:c>
      <x:c r="Y38" s="39" t="str">
        <x:f>IF(V38=W38,"PASS","FAIL")</x:f>
        <x:v>PASS</x:v>
      </x:c>
      <x:c r="Z38" s="39" t="str">
        <x:f>IF(MAX(I38:O38)&lt;=X38,"PASS","FAIL")</x:f>
        <x:v>PASS</x:v>
      </x:c>
      <x:c r="AA38" s="79" t="str">
        <x:v>Perilous Last Wag</x:v>
      </x:c>
      <x:c r="AB38" s="79" t="str">
        <x:v>After an enemy attack resolves against you, gain Minor Agility Up (+4 Agility) until the start of your next turn. If you Dodged the attack, also restore 1 Armour.</x:v>
      </x:c>
      <x:c r="AC38" s="79" t="str">
        <x:v>Rogue Tempo</x:v>
      </x:c>
      <x:c r="AD38" s="79" t="str">
        <x:v>Once per turn, if acting before the target, your first Weapon Skill 1 gains +10 Precision. If that skill breaks Armour, gain Minor Agility Up (+4 Agility) until the start of your next turn.</x:v>
      </x:c>
    </x:row>
    <x:row r="39" ht="26.399999618530273" hidden="0" customHeight="1">
      <x:c r="A39" s="24" t="str">
        <x:v>Galah</x:v>
      </x:c>
      <x:c r="B39" s="24" t="str">
        <x:v>Bard</x:v>
      </x:c>
      <x:c r="C39" s="24" t="str">
        <x:v>Medium</x:v>
      </x:c>
      <x:c r="D39" s="24" t="str">
        <x:v>Green</x:v>
      </x:c>
      <x:c r="E39" s="24" t="n">
        <x:v>2</x:v>
      </x:c>
      <x:c r="F39" s="24" t="str">
        <x:v>No</x:v>
      </x:c>
      <x:c r="G39" s="24" t="str">
        <x:v>Day</x:v>
      </x:c>
      <x:c r="H39" s="24" t="n">
        <x:v>12</x:v>
      </x:c>
      <x:c r="I39" s="24" t="n">
        <x:v>4</x:v>
      </x:c>
      <x:c r="J39" s="24" t="n">
        <x:v>2</x:v>
      </x:c>
      <x:c r="K39" s="24" t="n">
        <x:v>6</x:v>
      </x:c>
      <x:c r="L39" s="24" t="n">
        <x:v>4</x:v>
      </x:c>
      <x:c r="M39" s="24" t="n">
        <x:v>6</x:v>
      </x:c>
      <x:c r="N39" s="24" t="n">
        <x:v>4</x:v>
      </x:c>
      <x:c r="O39" s="24" t="n">
        <x:v>4</x:v>
      </x:c>
      <x:c r="P39" s="30" t="n">
        <x:f>MIN(0.5,O39*0.005)</x:f>
        <x:v>0.02</x:v>
      </x:c>
      <x:c r="Q39" s="30" t="n">
        <x:v>0.08</x:v>
      </x:c>
      <x:c r="R39" s="24" t="n">
        <x:v>1.5</x:v>
      </x:c>
      <x:c r="S39" s="24" t="str">
        <x:v>Dexterity / Focus</x:v>
      </x:c>
      <x:c r="T39" s="24" t="str">
        <x:v>Balanced Bard: steady hybrid support with no extreme stat.</x:v>
      </x:c>
      <x:c r="U39" s="24" t="str">
        <x:v>v0.9 pre-built base allocation: 30 points; Green cap 12; Base Health 12 from Medium size. Player and NPC instances use this same Bird Stats row.</x:v>
      </x:c>
      <x:c r="V39" s="38" t="n">
        <x:f>SUM(I39:O39)</x:f>
        <x:v>30</x:v>
      </x:c>
      <x:c r="W39" s="38" t="n">
        <x:f>IF(D39="Gold",32,IF(D39="Orange",34,30))</x:f>
        <x:v>30</x:v>
      </x:c>
      <x:c r="X39" s="38" t="n">
        <x:f>IF(D39="Grey",10,IF(D39="Green",12,IF(D39="Blue",14,IF(D39="Purple",16,18))))</x:f>
        <x:v>12</x:v>
      </x:c>
      <x:c r="Y39" s="39" t="str">
        <x:f>IF(V39=W39,"PASS","FAIL")</x:f>
        <x:v>PASS</x:v>
      </x:c>
      <x:c r="Z39" s="39" t="str">
        <x:f>IF(MAX(I39:O39)&lt;=X39,"PASS","FAIL")</x:f>
        <x:v>PASS</x:v>
      </x:c>
      <x:c r="AA39" s="79" t="str">
        <x:v>Rosefeather Revel</x:v>
      </x:c>
      <x:c r="AB39" s="79" t="str">
        <x:v>After using a song or call, restore 2 Magic Armour. If Magic Armour is full, gain Minor Agility Up (+4 Agility) until the start of your next turn.</x:v>
      </x:c>
      <x:c r="AC39" s="79" t="str">
        <x:v>Verse and Chorus</x:v>
      </x:c>
      <x:c r="AD39" s="79" t="str">
        <x:v>Once per turn, when you alternate Martial and Magic damaging skills, the second skill restores 2 to the lower protection pool. If both pools are full, it gains +10 Skill Power instead.</x:v>
      </x:c>
    </x:row>
    <x:row r="40" ht="26.399999618530273" hidden="0" customHeight="1">
      <x:c r="A40" s="24" t="str">
        <x:v>Blue Jay</x:v>
      </x:c>
      <x:c r="B40" s="24" t="str">
        <x:v>Inquisitor</x:v>
      </x:c>
      <x:c r="C40" s="24" t="str">
        <x:v>Small</x:v>
      </x:c>
      <x:c r="D40" s="24" t="str">
        <x:v>Green</x:v>
      </x:c>
      <x:c r="E40" s="24" t="n">
        <x:v>2</x:v>
      </x:c>
      <x:c r="F40" s="24" t="str">
        <x:v>No</x:v>
      </x:c>
      <x:c r="G40" s="24" t="str">
        <x:v>Storm</x:v>
      </x:c>
      <x:c r="H40" s="24" t="n">
        <x:v>10</x:v>
      </x:c>
      <x:c r="I40" s="24" t="n">
        <x:v>4</x:v>
      </x:c>
      <x:c r="J40" s="24" t="n">
        <x:v>5</x:v>
      </x:c>
      <x:c r="K40" s="24" t="n">
        <x:v>2</x:v>
      </x:c>
      <x:c r="L40" s="24" t="n">
        <x:v>4</x:v>
      </x:c>
      <x:c r="M40" s="24" t="n">
        <x:v>4</x:v>
      </x:c>
      <x:c r="N40" s="24" t="n">
        <x:v>7</x:v>
      </x:c>
      <x:c r="O40" s="24" t="n">
        <x:v>4</x:v>
      </x:c>
      <x:c r="P40" s="30" t="n">
        <x:f>MIN(0.5,O40*0.005)</x:f>
        <x:v>0.02</x:v>
      </x:c>
      <x:c r="Q40" s="30" t="n">
        <x:v>0.07</x:v>
      </x:c>
      <x:c r="R40" s="24" t="n">
        <x:v>1.5</x:v>
      </x:c>
      <x:c r="S40" s="24" t="str">
        <x:v>Might / Focus / Resolve</x:v>
      </x:c>
      <x:c r="T40" s="24" t="str">
        <x:v>Small Inquisitor: quicker and more accurate than bulky Inquisitors; lower Vitality/Resolve.</x:v>
      </x:c>
      <x:c r="U40" s="24" t="str">
        <x:v>v0.9 pre-built base allocation: 30 points; Green cap 12; Base Health 10 from Small size. Player and NPC instances use this same Bird Stats row.</x:v>
      </x:c>
      <x:c r="V40" s="38" t="n">
        <x:f>SUM(I40:O40)</x:f>
        <x:v>30</x:v>
      </x:c>
      <x:c r="W40" s="38" t="n">
        <x:f>IF(D40="Gold",32,IF(D40="Orange",34,30))</x:f>
        <x:v>30</x:v>
      </x:c>
      <x:c r="X40" s="38" t="n">
        <x:f>IF(D40="Grey",10,IF(D40="Green",12,IF(D40="Blue",14,IF(D40="Purple",16,18))))</x:f>
        <x:v>12</x:v>
      </x:c>
      <x:c r="Y40" s="39" t="str">
        <x:f>IF(V40=W40,"PASS","FAIL")</x:f>
        <x:v>PASS</x:v>
      </x:c>
      <x:c r="Z40" s="39" t="str">
        <x:f>IF(MAX(I40:O40)&lt;=X40,"PASS","FAIL")</x:f>
        <x:v>PASS</x:v>
      </x:c>
      <x:c r="AA40" s="79" t="str">
        <x:v>Cobalt Plunder</x:v>
      </x:c>
      <x:c r="AB40" s="79" t="str">
        <x:v>The first time each turn a Storm damaging skill hits a debuffed or Marked target, gain 3 Ward Magic Armour for 1 turn.</x:v>
      </x:c>
      <x:c r="AC40" s="79" t="str">
        <x:v>Judgement Leech</x:v>
      </x:c>
      <x:c r="AD40" s="79" t="str">
        <x:v>Once per turn after a damaging skill hits an ailmented, debuffed or Marked target, restore 2 to the lower of Armour or Magic Armour, capped at its normal maximum. If both pools are full, heal 5% Maximum Health.</x:v>
      </x:c>
    </x:row>
    <x:row r="41" ht="26.399999618530273" hidden="0" customHeight="1">
      <x:c r="A41" s="24" t="str">
        <x:v>Cardinal</x:v>
      </x:c>
      <x:c r="B41" s="24" t="str">
        <x:v>Mage</x:v>
      </x:c>
      <x:c r="C41" s="24" t="str">
        <x:v>Small</x:v>
      </x:c>
      <x:c r="D41" s="24" t="str">
        <x:v>Green</x:v>
      </x:c>
      <x:c r="E41" s="24" t="n">
        <x:v>2</x:v>
      </x:c>
      <x:c r="F41" s="24" t="str">
        <x:v>No</x:v>
      </x:c>
      <x:c r="G41" s="24" t="str">
        <x:v>Day</x:v>
      </x:c>
      <x:c r="H41" s="24" t="n">
        <x:v>10</x:v>
      </x:c>
      <x:c r="I41" s="24" t="n">
        <x:v>1</x:v>
      </x:c>
      <x:c r="J41" s="24" t="n">
        <x:v>0</x:v>
      </x:c>
      <x:c r="K41" s="24" t="n">
        <x:v>0</x:v>
      </x:c>
      <x:c r="L41" s="24" t="n">
        <x:v>2</x:v>
      </x:c>
      <x:c r="M41" s="24" t="n">
        <x:v>12</x:v>
      </x:c>
      <x:c r="N41" s="24" t="n">
        <x:v>8</x:v>
      </x:c>
      <x:c r="O41" s="24" t="n">
        <x:v>7</x:v>
      </x:c>
      <x:c r="P41" s="30" t="n">
        <x:f>MIN(0.5,O41*0.005)</x:f>
        <x:v>0.035</x:v>
      </x:c>
      <x:c r="Q41" s="30" t="n">
        <x:v>0.07</x:v>
      </x:c>
      <x:c r="R41" s="24" t="n">
        <x:v>1.5</x:v>
      </x:c>
      <x:c r="S41" s="24" t="str">
        <x:v>Focus</x:v>
      </x:c>
      <x:c r="T41" s="24" t="str">
        <x:v>Focused mage: clean spell damage with safe Focus and a fragile Martial profile.</x:v>
      </x:c>
      <x:c r="U41" s="24" t="str">
        <x:v>v0.9 pre-built base allocation: 30 points; Green cap 12; Base Health 10 from Small size. Player and NPC instances use this same Bird Stats row.</x:v>
      </x:c>
      <x:c r="V41" s="38" t="n">
        <x:f>SUM(I41:O41)</x:f>
        <x:v>30</x:v>
      </x:c>
      <x:c r="W41" s="38" t="n">
        <x:f>IF(D41="Gold",32,IF(D41="Orange",34,30))</x:f>
        <x:v>30</x:v>
      </x:c>
      <x:c r="X41" s="38" t="n">
        <x:f>IF(D41="Grey",10,IF(D41="Green",12,IF(D41="Blue",14,IF(D41="Purple",16,18))))</x:f>
        <x:v>12</x:v>
      </x:c>
      <x:c r="Y41" s="39" t="str">
        <x:f>IF(V41=W41,"PASS","FAIL")</x:f>
        <x:v>PASS</x:v>
      </x:c>
      <x:c r="Z41" s="39" t="str">
        <x:f>IF(MAX(I41:O41)&lt;=X41,"PASS","FAIL")</x:f>
        <x:v>PASS</x:v>
      </x:c>
      <x:c r="AA41" s="79" t="str">
        <x:v>Crimson Benediction</x:v>
      </x:c>
      <x:c r="AB41" s="79" t="str">
        <x:v>Your first Day Magic weapon skill each turn against a Burning target gains +20 Skill Power against Magic Armour. If it damages Health, heal 5% Maximum Health.</x:v>
      </x:c>
      <x:c r="AC41" s="79" t="str">
        <x:v>Arcane Pressure</x:v>
      </x:c>
      <x:c r="AD41" s="79" t="str">
        <x:v>The first Magic weapon skill you use each turn deals 10% additional damage to Magic Armour only. This bonus does not increase Health damage.</x:v>
      </x:c>
    </x:row>
    <x:row r="42" ht="26.399999618530273" hidden="0" customHeight="1">
      <x:c r="A42" s="24" t="str">
        <x:v>Bush Turkey</x:v>
      </x:c>
      <x:c r="B42" s="24" t="str">
        <x:v>Knight</x:v>
      </x:c>
      <x:c r="C42" s="24" t="str">
        <x:v>Large</x:v>
      </x:c>
      <x:c r="D42" s="24" t="str">
        <x:v>Green</x:v>
      </x:c>
      <x:c r="E42" s="24" t="n">
        <x:v>2</x:v>
      </x:c>
      <x:c r="F42" s="24" t="str">
        <x:v>No</x:v>
      </x:c>
      <x:c r="G42" s="24" t="str">
        <x:v>Earth</x:v>
      </x:c>
      <x:c r="H42" s="24" t="n">
        <x:v>14</x:v>
      </x:c>
      <x:c r="I42" s="24" t="n">
        <x:v>6</x:v>
      </x:c>
      <x:c r="J42" s="24" t="n">
        <x:v>7</x:v>
      </x:c>
      <x:c r="K42" s="24" t="n">
        <x:v>1</x:v>
      </x:c>
      <x:c r="L42" s="24" t="n">
        <x:v>8</x:v>
      </x:c>
      <x:c r="M42" s="24" t="n">
        <x:v>0</x:v>
      </x:c>
      <x:c r="N42" s="24" t="n">
        <x:v>5</x:v>
      </x:c>
      <x:c r="O42" s="24" t="n">
        <x:v>3</x:v>
      </x:c>
      <x:c r="P42" s="30" t="n">
        <x:f>MIN(0.5,O42*0.005)</x:f>
        <x:v>0.015</x:v>
      </x:c>
      <x:c r="Q42" s="30" t="n">
        <x:v>0.05</x:v>
      </x:c>
      <x:c r="R42" s="24" t="n">
        <x:v>1.5</x:v>
      </x:c>
      <x:c r="S42" s="24" t="str">
        <x:v>Might / Guard</x:v>
      </x:c>
      <x:c r="T42" s="24" t="str">
        <x:v>Defensive Knight: mound-guard durability; lower tempo and damage than martial Knights.</x:v>
      </x:c>
      <x:c r="U42" s="24" t="str">
        <x:v>v0.9 pre-built base allocation: 30 points; Green cap 12; Base Health 14 from Large size. Player and NPC instances use this same Bird Stats row.</x:v>
      </x:c>
      <x:c r="V42" s="38" t="n">
        <x:f>SUM(I42:O42)</x:f>
        <x:v>30</x:v>
      </x:c>
      <x:c r="W42" s="38" t="n">
        <x:f>IF(D42="Gold",32,IF(D42="Orange",34,30))</x:f>
        <x:v>30</x:v>
      </x:c>
      <x:c r="X42" s="38" t="n">
        <x:f>IF(D42="Grey",10,IF(D42="Green",12,IF(D42="Blue",14,IF(D42="Purple",16,18))))</x:f>
        <x:v>12</x:v>
      </x:c>
      <x:c r="Y42" s="39" t="str">
        <x:f>IF(V42=W42,"PASS","FAIL")</x:f>
        <x:v>PASS</x:v>
      </x:c>
      <x:c r="Z42" s="39" t="str">
        <x:f>IF(MAX(I42:O42)&lt;=X42,"PASS","FAIL")</x:f>
        <x:v>PASS</x:v>
      </x:c>
      <x:c r="AA42" s="79" t="str">
        <x:v>Mound-King Claim</x:v>
      </x:c>
      <x:c r="AB42" s="79" t="str">
        <x:v>Once per turn, an Armour Restoration or Fortify skill you use grants 1 additional Armour.</x:v>
      </x:c>
      <x:c r="AC42" s="79" t="str">
        <x:v>Bulwark Oath</x:v>
      </x:c>
      <x:c r="AD42" s="79" t="str">
        <x:v>Once per turn, after using Armour Restoration or Fortify, gain Minor Guard Up (+4 Guard) until the start of your next turn.</x:v>
      </x:c>
    </x:row>
    <x:row r="43" ht="26.399999618530273" hidden="0" customHeight="1">
      <x:c r="A43" s="24" t="str">
        <x:v>Vulture</x:v>
      </x:c>
      <x:c r="B43" s="24" t="str">
        <x:v>Inquisitor</x:v>
      </x:c>
      <x:c r="C43" s="24" t="str">
        <x:v>Large</x:v>
      </x:c>
      <x:c r="D43" s="24" t="str">
        <x:v>Blue</x:v>
      </x:c>
      <x:c r="E43" s="24" t="n">
        <x:v>3</x:v>
      </x:c>
      <x:c r="F43" s="24" t="str">
        <x:v>No</x:v>
      </x:c>
      <x:c r="G43" s="24" t="str">
        <x:v>Sky</x:v>
      </x:c>
      <x:c r="H43" s="24" t="n">
        <x:v>14</x:v>
      </x:c>
      <x:c r="I43" s="24" t="n">
        <x:v>5</x:v>
      </x:c>
      <x:c r="J43" s="24" t="n">
        <x:v>5</x:v>
      </x:c>
      <x:c r="K43" s="24" t="n">
        <x:v>1</x:v>
      </x:c>
      <x:c r="L43" s="24" t="n">
        <x:v>4</x:v>
      </x:c>
      <x:c r="M43" s="24" t="n">
        <x:v>5</x:v>
      </x:c>
      <x:c r="N43" s="24" t="n">
        <x:v>7</x:v>
      </x:c>
      <x:c r="O43" s="24" t="n">
        <x:v>3</x:v>
      </x:c>
      <x:c r="P43" s="30" t="n">
        <x:f>MIN(0.5,O43*0.005)</x:f>
        <x:v>0.015</x:v>
      </x:c>
      <x:c r="Q43" s="30" t="n">
        <x:v>0.06</x:v>
      </x:c>
      <x:c r="R43" s="24" t="n">
        <x:v>1.5</x:v>
      </x:c>
      <x:c r="S43" s="24" t="str">
        <x:v>Might / Focus / Resolve</x:v>
      </x:c>
      <x:c r="T43" s="24" t="str">
        <x:v>Sustain Inquisitor: ailment-drain scavenger with balanced bulk and low Agility.</x:v>
      </x:c>
      <x:c r="U43" s="24" t="str">
        <x:v>v0.9 pre-built base allocation: 30 points; Blue cap 14; Base Health 14 from Large size. Player and NPC instances use this same Bird Stats row.</x:v>
      </x:c>
      <x:c r="V43" s="38" t="n">
        <x:f>SUM(I43:O43)</x:f>
        <x:v>30</x:v>
      </x:c>
      <x:c r="W43" s="38" t="n">
        <x:f>IF(D43="Gold",32,IF(D43="Orange",34,30))</x:f>
        <x:v>30</x:v>
      </x:c>
      <x:c r="X43" s="38" t="n">
        <x:f>IF(D43="Grey",10,IF(D43="Green",12,IF(D43="Blue",14,IF(D43="Purple",16,18))))</x:f>
        <x:v>14</x:v>
      </x:c>
      <x:c r="Y43" s="39" t="str">
        <x:f>IF(V43=W43,"PASS","FAIL")</x:f>
        <x:v>PASS</x:v>
      </x:c>
      <x:c r="Z43" s="39" t="str">
        <x:f>IF(MAX(I43:O43)&lt;=X43,"PASS","FAIL")</x:f>
        <x:v>PASS</x:v>
      </x:c>
      <x:c r="AA43" s="79" t="str">
        <x:v>Patient Scavenger</x:v>
      </x:c>
      <x:c r="AB43" s="79" t="str">
        <x:v>While the target is below 50% Health, gain +10 Precision. The first time each turn you damage that target's Health, restore 1 to the lower protection pool.</x:v>
      </x:c>
      <x:c r="AC43" s="79" t="str">
        <x:v>Judgement Leech</x:v>
      </x:c>
      <x:c r="AD43" s="79" t="str">
        <x:v>Once per turn after a damaging skill hits an ailmented, debuffed or Marked target, restore 2 to the lower of Armour or Magic Armour, capped at its normal maximum. If both pools are full, heal 5% Maximum Health.</x:v>
      </x:c>
    </x:row>
    <x:row r="44" ht="26.399999618530273" hidden="0" customHeight="1">
      <x:c r="A44" s="24" t="str">
        <x:v>Barn Owl</x:v>
      </x:c>
      <x:c r="B44" s="24" t="str">
        <x:v>Mage</x:v>
      </x:c>
      <x:c r="C44" s="24" t="str">
        <x:v>Medium</x:v>
      </x:c>
      <x:c r="D44" s="24" t="str">
        <x:v>Green</x:v>
      </x:c>
      <x:c r="E44" s="24" t="n">
        <x:v>2</x:v>
      </x:c>
      <x:c r="F44" s="24" t="str">
        <x:v>No</x:v>
      </x:c>
      <x:c r="G44" s="24" t="str">
        <x:v>Night</x:v>
      </x:c>
      <x:c r="H44" s="24" t="n">
        <x:v>12</x:v>
      </x:c>
      <x:c r="I44" s="24" t="n">
        <x:v>2</x:v>
      </x:c>
      <x:c r="J44" s="24" t="n">
        <x:v>0</x:v>
      </x:c>
      <x:c r="K44" s="24" t="n">
        <x:v>0</x:v>
      </x:c>
      <x:c r="L44" s="24" t="n">
        <x:v>2</x:v>
      </x:c>
      <x:c r="M44" s="24" t="n">
        <x:v>11</x:v>
      </x:c>
      <x:c r="N44" s="24" t="n">
        <x:v>8</x:v>
      </x:c>
      <x:c r="O44" s="24" t="n">
        <x:v>7</x:v>
      </x:c>
      <x:c r="P44" s="30" t="n">
        <x:f>MIN(0.5,O44*0.005)</x:f>
        <x:v>0.035</x:v>
      </x:c>
      <x:c r="Q44" s="30" t="n">
        <x:v>0.08</x:v>
      </x:c>
      <x:c r="R44" s="24" t="n">
        <x:v>1.5</x:v>
      </x:c>
      <x:c r="S44" s="24" t="str">
        <x:v>Focus</x:v>
      </x:c>
      <x:c r="T44" s="24" t="str">
        <x:v>Stealth mage: accurate mid-Focus caster with lower Vitality than Snowy Owl.</x:v>
      </x:c>
      <x:c r="U44" s="24" t="str">
        <x:v>v0.9 pre-built base allocation: 30 points; Green cap 12; Base Health 12 from Medium size. Player and NPC instances use this same Bird Stats row.</x:v>
      </x:c>
      <x:c r="V44" s="38" t="n">
        <x:f>SUM(I44:O44)</x:f>
        <x:v>30</x:v>
      </x:c>
      <x:c r="W44" s="38" t="n">
        <x:f>IF(D44="Gold",32,IF(D44="Orange",34,30))</x:f>
        <x:v>30</x:v>
      </x:c>
      <x:c r="X44" s="38" t="n">
        <x:f>IF(D44="Grey",10,IF(D44="Green",12,IF(D44="Blue",14,IF(D44="Purple",16,18))))</x:f>
        <x:v>12</x:v>
      </x:c>
      <x:c r="Y44" s="39" t="str">
        <x:f>IF(V44=W44,"PASS","FAIL")</x:f>
        <x:v>PASS</x:v>
      </x:c>
      <x:c r="Z44" s="39" t="str">
        <x:f>IF(MAX(I44:O44)&lt;=X44,"PASS","FAIL")</x:f>
        <x:v>PASS</x:v>
      </x:c>
      <x:c r="AA44" s="79" t="str">
        <x:v>Rafter-Moon Judgement</x:v>
      </x:c>
      <x:c r="AB44" s="79" t="str">
        <x:v>If acting before the target, your first Night Magic weapon skill each turn gains +5 percentage points Critical Chance and deals 2 additional Magic Armour damage.</x:v>
      </x:c>
      <x:c r="AC44" s="79" t="str">
        <x:v>Arcane Pressure</x:v>
      </x:c>
      <x:c r="AD44" s="79" t="str">
        <x:v>The first Magic weapon skill you use each turn deals 10% additional damage to Magic Armour only. This bonus does not increase Health damage.</x:v>
      </x:c>
    </x:row>
    <x:row r="45" ht="26.399999618530273" hidden="0" customHeight="1">
      <x:c r="A45" s="24" t="str">
        <x:v>Bustard</x:v>
      </x:c>
      <x:c r="B45" s="24" t="str">
        <x:v>Knight</x:v>
      </x:c>
      <x:c r="C45" s="24" t="str">
        <x:v>Very Large</x:v>
      </x:c>
      <x:c r="D45" s="24" t="str">
        <x:v>Blue</x:v>
      </x:c>
      <x:c r="E45" s="24" t="n">
        <x:v>3</x:v>
      </x:c>
      <x:c r="F45" s="24" t="str">
        <x:v>No</x:v>
      </x:c>
      <x:c r="G45" s="24" t="str">
        <x:v>Earth</x:v>
      </x:c>
      <x:c r="H45" s="24" t="n">
        <x:v>16</x:v>
      </x:c>
      <x:c r="I45" s="24" t="n">
        <x:v>8</x:v>
      </x:c>
      <x:c r="J45" s="24" t="n">
        <x:v>8</x:v>
      </x:c>
      <x:c r="K45" s="24" t="n">
        <x:v>0</x:v>
      </x:c>
      <x:c r="L45" s="24" t="n">
        <x:v>10</x:v>
      </x:c>
      <x:c r="M45" s="24" t="n">
        <x:v>0</x:v>
      </x:c>
      <x:c r="N45" s="24" t="n">
        <x:v>3</x:v>
      </x:c>
      <x:c r="O45" s="24" t="n">
        <x:v>1</x:v>
      </x:c>
      <x:c r="P45" s="30" t="n">
        <x:f>MIN(0.5,O45*0.005)</x:f>
        <x:v>0.005</x:v>
      </x:c>
      <x:c r="Q45" s="30" t="n">
        <x:v>0.06</x:v>
      </x:c>
      <x:c r="R45" s="24" t="n">
        <x:v>1.5</x:v>
      </x:c>
      <x:c r="S45" s="24" t="str">
        <x:v>Might / Guard</x:v>
      </x:c>
      <x:c r="T45" s="24" t="str">
        <x:v>Heavy Knight: strong Vitality/Guard/Might but poor Agility/Dodge. Action Precision is skill-owned.</x:v>
      </x:c>
      <x:c r="U45" s="24" t="str">
        <x:v>v0.9 pre-built base allocation: 30 points; Blue cap 14; Base Health 16 from Very Large size. Player and NPC instances use this same Bird Stats row.</x:v>
      </x:c>
      <x:c r="V45" s="38" t="n">
        <x:f>SUM(I45:O45)</x:f>
        <x:v>30</x:v>
      </x:c>
      <x:c r="W45" s="38" t="n">
        <x:f>IF(D45="Gold",32,IF(D45="Orange",34,30))</x:f>
        <x:v>30</x:v>
      </x:c>
      <x:c r="X45" s="38" t="n">
        <x:f>IF(D45="Grey",10,IF(D45="Green",12,IF(D45="Blue",14,IF(D45="Purple",16,18))))</x:f>
        <x:v>14</x:v>
      </x:c>
      <x:c r="Y45" s="39" t="str">
        <x:f>IF(V45=W45,"PASS","FAIL")</x:f>
        <x:v>PASS</x:v>
      </x:c>
      <x:c r="Z45" s="39" t="str">
        <x:f>IF(MAX(I45:O45)&lt;=X45,"PASS","FAIL")</x:f>
        <x:v>PASS</x:v>
      </x:c>
      <x:c r="AA45" s="79" t="str">
        <x:v>Grassland Warlord</x:v>
      </x:c>
      <x:c r="AB45" s="79" t="str">
        <x:v>While below 50% Health, restoring Armour or gaining Fortify also grants Minor Might Up (+4 Might) until the start of your next turn.</x:v>
      </x:c>
      <x:c r="AC45" s="79" t="str">
        <x:v>Bulwark Oath</x:v>
      </x:c>
      <x:c r="AD45" s="79" t="str">
        <x:v>Once per turn, after using Armour Restoration or Fortify, gain Minor Guard Up (+4 Guard) until the start of your next turn.</x:v>
      </x:c>
    </x:row>
    <x:row r="46" ht="26.399999618530273" hidden="0" customHeight="1">
      <x:c r="A46" s="24" t="str">
        <x:v>Golden Eagle</x:v>
      </x:c>
      <x:c r="B46" s="24" t="str">
        <x:v>Rogue</x:v>
      </x:c>
      <x:c r="C46" s="24" t="str">
        <x:v>Large</x:v>
      </x:c>
      <x:c r="D46" s="24" t="str">
        <x:v>Gold</x:v>
      </x:c>
      <x:c r="E46" s="24" t="n">
        <x:v>5</x:v>
      </x:c>
      <x:c r="F46" s="24" t="str">
        <x:v>No</x:v>
      </x:c>
      <x:c r="G46" s="24" t="str">
        <x:v>Day</x:v>
      </x:c>
      <x:c r="H46" s="24" t="n">
        <x:v>14</x:v>
      </x:c>
      <x:c r="I46" s="24" t="n">
        <x:v>3</x:v>
      </x:c>
      <x:c r="J46" s="24" t="n">
        <x:v>2</x:v>
      </x:c>
      <x:c r="K46" s="24" t="n">
        <x:v>17</x:v>
      </x:c>
      <x:c r="L46" s="24" t="n">
        <x:v>2</x:v>
      </x:c>
      <x:c r="M46" s="24" t="n">
        <x:v>0</x:v>
      </x:c>
      <x:c r="N46" s="24" t="n">
        <x:v>2</x:v>
      </x:c>
      <x:c r="O46" s="24" t="n">
        <x:v>6</x:v>
      </x:c>
      <x:c r="P46" s="30" t="n">
        <x:f>MIN(0.5,O46*0.005)</x:f>
        <x:v>0.03</x:v>
      </x:c>
      <x:c r="Q46" s="30" t="n">
        <x:v>0.15</x:v>
      </x:c>
      <x:c r="R46" s="24" t="n">
        <x:v>1.55</x:v>
      </x:c>
      <x:c r="S46" s="24" t="str">
        <x:v>Dexterity</x:v>
      </x:c>
      <x:c r="T46" s="24" t="str">
        <x:v>Power rogue: stronger Might/Vitality than small rogues, but lower Precision/Dodge.</x:v>
      </x:c>
      <x:c r="U46" s="24" t="str">
        <x:v>v0.9 pre-built base allocation: 32 points; Gold cap 18; Base Health 14 from Large size. Player and NPC instances use this same Bird Stats row.</x:v>
      </x:c>
      <x:c r="V46" s="38" t="n">
        <x:f>SUM(I46:O46)</x:f>
        <x:v>32</x:v>
      </x:c>
      <x:c r="W46" s="38" t="n">
        <x:f>IF(D46="Gold",32,IF(D46="Orange",34,30))</x:f>
        <x:v>32</x:v>
      </x:c>
      <x:c r="X46" s="38" t="n">
        <x:f>IF(D46="Grey",10,IF(D46="Green",12,IF(D46="Blue",14,IF(D46="Purple",16,18))))</x:f>
        <x:v>18</x:v>
      </x:c>
      <x:c r="Y46" s="39" t="str">
        <x:f>IF(V46=W46,"PASS","FAIL")</x:f>
        <x:v>PASS</x:v>
      </x:c>
      <x:c r="Z46" s="39" t="str">
        <x:f>IF(MAX(I46:O46)&lt;=X46,"PASS","FAIL")</x:f>
        <x:v>PASS</x:v>
      </x:c>
      <x:c r="AA46" s="79" t="str">
        <x:v>Sun-Crown Trial</x:v>
      </x:c>
      <x:c r="AB46" s="79" t="str">
        <x:v>Your first damaging skill each turn against a target below 50% Health gains +10 percentage points Critical Chance and deals 2 additional damage to the matching protection pool.</x:v>
      </x:c>
      <x:c r="AC46" s="79" t="str">
        <x:v>Rogue Tempo</x:v>
      </x:c>
      <x:c r="AD46" s="79" t="str">
        <x:v>Once per turn, if acting before the target, your first Weapon Skill 1 gains +10 Precision. If that skill breaks Armour, gain Minor Agility Up (+4 Agility) until the start of your next turn.</x:v>
      </x:c>
    </x:row>
    <x:row r="47" ht="26.399999618530273" hidden="0" customHeight="1">
      <x:c r="A47" s="24" t="str">
        <x:v>Australian Pelican</x:v>
      </x:c>
      <x:c r="B47" s="24" t="str">
        <x:v>Brute</x:v>
      </x:c>
      <x:c r="C47" s="24" t="str">
        <x:v>Very Large</x:v>
      </x:c>
      <x:c r="D47" s="24" t="str">
        <x:v>Purple</x:v>
      </x:c>
      <x:c r="E47" s="24" t="n">
        <x:v>4</x:v>
      </x:c>
      <x:c r="F47" s="24" t="str">
        <x:v>No</x:v>
      </x:c>
      <x:c r="G47" s="24" t="str">
        <x:v>Water</x:v>
      </x:c>
      <x:c r="H47" s="24" t="n">
        <x:v>16</x:v>
      </x:c>
      <x:c r="I47" s="24" t="n">
        <x:v>9</x:v>
      </x:c>
      <x:c r="J47" s="24" t="n">
        <x:v>9</x:v>
      </x:c>
      <x:c r="K47" s="24" t="n">
        <x:v>0</x:v>
      </x:c>
      <x:c r="L47" s="24" t="n">
        <x:v>9</x:v>
      </x:c>
      <x:c r="M47" s="24" t="n">
        <x:v>0</x:v>
      </x:c>
      <x:c r="N47" s="24" t="n">
        <x:v>2</x:v>
      </x:c>
      <x:c r="O47" s="24" t="n">
        <x:v>1</x:v>
      </x:c>
      <x:c r="P47" s="30" t="n">
        <x:f>MIN(0.5,O47*0.005)</x:f>
        <x:v>0.005</x:v>
      </x:c>
      <x:c r="Q47" s="30" t="n">
        <x:v>0.05</x:v>
      </x:c>
      <x:c r="R47" s="24" t="n">
        <x:v>1.55</x:v>
      </x:c>
      <x:c r="S47" s="24" t="str">
        <x:v>Might / Guard / Vitality</x:v>
      </x:c>
      <x:c r="T47" s="24" t="str">
        <x:v>Wall Brute: highest Vitality/Guard Brute with the lowest Agility/Dodge and lower Might.</x:v>
      </x:c>
      <x:c r="U47" s="24" t="str">
        <x:v>v0.9 pre-built base allocation: 30 points; Purple cap 16; Base Health 16 from Very Large size. Player and NPC instances use this same Bird Stats row.</x:v>
      </x:c>
      <x:c r="V47" s="38" t="n">
        <x:f>SUM(I47:O47)</x:f>
        <x:v>30</x:v>
      </x:c>
      <x:c r="W47" s="38" t="n">
        <x:f>IF(D47="Gold",32,IF(D47="Orange",34,30))</x:f>
        <x:v>30</x:v>
      </x:c>
      <x:c r="X47" s="38" t="n">
        <x:f>IF(D47="Grey",10,IF(D47="Green",12,IF(D47="Blue",14,IF(D47="Purple",16,18))))</x:f>
        <x:v>16</x:v>
      </x:c>
      <x:c r="Y47" s="39" t="str">
        <x:f>IF(V47=W47,"PASS","FAIL")</x:f>
        <x:v>PASS</x:v>
      </x:c>
      <x:c r="Z47" s="39" t="str">
        <x:f>IF(MAX(I47:O47)&lt;=X47,"PASS","FAIL")</x:f>
        <x:v>PASS</x:v>
      </x:c>
      <x:c r="AA47" s="79" t="str">
        <x:v>Tidemouth Bastion</x:v>
      </x:c>
      <x:c r="AB47" s="79" t="str">
        <x:v>After using a Water action, restore 2 Armour. Your next Strength weapon hit may apply Minor Might Down (-4 Might) only if Armour is depleted and Health is damaged.</x:v>
      </x:c>
      <x:c r="AC47" s="79" t="str">
        <x:v>Crushing Momentum</x:v>
      </x:c>
      <x:c r="AD47" s="79" t="str">
        <x:v>Once per turn after Armour absorbs physical damage, your next Strength weapon skill gains +10 Skill Power.</x:v>
      </x:c>
    </x:row>
    <x:row r="48" ht="26.399999618530273" hidden="0" customHeight="1">
      <x:c r="A48" s="24" t="str">
        <x:v>Marabou Stork</x:v>
      </x:c>
      <x:c r="B48" s="24" t="str">
        <x:v>Inquisitor</x:v>
      </x:c>
      <x:c r="C48" s="24" t="str">
        <x:v>Very Large</x:v>
      </x:c>
      <x:c r="D48" s="24" t="str">
        <x:v>Purple</x:v>
      </x:c>
      <x:c r="E48" s="24" t="n">
        <x:v>4</x:v>
      </x:c>
      <x:c r="F48" s="24" t="str">
        <x:v>No</x:v>
      </x:c>
      <x:c r="G48" s="24" t="str">
        <x:v>Water</x:v>
      </x:c>
      <x:c r="H48" s="24" t="n">
        <x:v>16</x:v>
      </x:c>
      <x:c r="I48" s="24" t="n">
        <x:v>7</x:v>
      </x:c>
      <x:c r="J48" s="24" t="n">
        <x:v>6</x:v>
      </x:c>
      <x:c r="K48" s="24" t="n">
        <x:v>1</x:v>
      </x:c>
      <x:c r="L48" s="24" t="n">
        <x:v>4</x:v>
      </x:c>
      <x:c r="M48" s="24" t="n">
        <x:v>3</x:v>
      </x:c>
      <x:c r="N48" s="24" t="n">
        <x:v>8</x:v>
      </x:c>
      <x:c r="O48" s="24" t="n">
        <x:v>1</x:v>
      </x:c>
      <x:c r="P48" s="30" t="n">
        <x:f>MIN(0.5,O48*0.005)</x:f>
        <x:v>0.005</x:v>
      </x:c>
      <x:c r="Q48" s="30" t="n">
        <x:v>0.06</x:v>
      </x:c>
      <x:c r="R48" s="24" t="n">
        <x:v>1.5</x:v>
      </x:c>
      <x:c r="S48" s="24" t="str">
        <x:v>Might / Focus / Resolve</x:v>
      </x:c>
      <x:c r="T48" s="24" t="str">
        <x:v>Executioner Inquisitor: sturdy finisher with low Agility/Dodge.</x:v>
      </x:c>
      <x:c r="U48" s="24" t="str">
        <x:v>v0.9 pre-built base allocation: 30 points; Purple cap 16; Base Health 16 from Very Large size. Player and NPC instances use this same Bird Stats row.</x:v>
      </x:c>
      <x:c r="V48" s="38" t="n">
        <x:f>SUM(I48:O48)</x:f>
        <x:v>30</x:v>
      </x:c>
      <x:c r="W48" s="38" t="n">
        <x:f>IF(D48="Gold",32,IF(D48="Orange",34,30))</x:f>
        <x:v>30</x:v>
      </x:c>
      <x:c r="X48" s="38" t="n">
        <x:f>IF(D48="Grey",10,IF(D48="Green",12,IF(D48="Blue",14,IF(D48="Purple",16,18))))</x:f>
        <x:v>16</x:v>
      </x:c>
      <x:c r="Y48" s="39" t="str">
        <x:f>IF(V48=W48,"PASS","FAIL")</x:f>
        <x:v>PASS</x:v>
      </x:c>
      <x:c r="Z48" s="39" t="str">
        <x:f>IF(MAX(I48:O48)&lt;=X48,"PASS","FAIL")</x:f>
        <x:v>PASS</x:v>
      </x:c>
      <x:c r="AA48" s="79" t="str">
        <x:v>Carrion Opportunist</x:v>
      </x:c>
      <x:c r="AB48" s="79" t="str">
        <x:v>Your first damaging action each turn against a target below 50% Health gains +10 Skill Power. If it damages Health, restore 2 to the lower protection pool.</x:v>
      </x:c>
      <x:c r="AC48" s="79" t="str">
        <x:v>Judgement Leech</x:v>
      </x:c>
      <x:c r="AD48" s="79" t="str">
        <x:v>Once per turn after a damaging skill hits an ailmented, debuffed or Marked target, restore 2 to the lower of Armour or Magic Armour, capped at its normal maximum. If both pools are full, heal 5% Maximum Health.</x:v>
      </x:c>
    </x:row>
    <x:row r="49" ht="26.399999618530273" hidden="0" customHeight="1">
      <x:c r="A49" s="24" t="str">
        <x:v>Pigeon</x:v>
      </x:c>
      <x:c r="B49" s="24" t="str">
        <x:v>Bard</x:v>
      </x:c>
      <x:c r="C49" s="24" t="str">
        <x:v>Medium</x:v>
      </x:c>
      <x:c r="D49" s="24" t="str">
        <x:v>Grey</x:v>
      </x:c>
      <x:c r="E49" s="24" t="n">
        <x:v>1</x:v>
      </x:c>
      <x:c r="F49" s="24" t="str">
        <x:v>No</x:v>
      </x:c>
      <x:c r="G49" s="24" t="str">
        <x:v>Earth</x:v>
      </x:c>
      <x:c r="H49" s="24" t="n">
        <x:v>12</x:v>
      </x:c>
      <x:c r="I49" s="24" t="n">
        <x:v>4</x:v>
      </x:c>
      <x:c r="J49" s="24" t="n">
        <x:v>2</x:v>
      </x:c>
      <x:c r="K49" s="24" t="n">
        <x:v>5</x:v>
      </x:c>
      <x:c r="L49" s="24" t="n">
        <x:v>4</x:v>
      </x:c>
      <x:c r="M49" s="24" t="n">
        <x:v>5</x:v>
      </x:c>
      <x:c r="N49" s="24" t="n">
        <x:v>5</x:v>
      </x:c>
      <x:c r="O49" s="24" t="n">
        <x:v>5</x:v>
      </x:c>
      <x:c r="P49" s="30" t="n">
        <x:f>MIN(0.5,O49*0.005)</x:f>
        <x:v>0.025</x:v>
      </x:c>
      <x:c r="Q49" s="30" t="n">
        <x:v>0.07</x:v>
      </x:c>
      <x:c r="R49" s="24" t="n">
        <x:v>1.5</x:v>
      </x:c>
      <x:c r="S49" s="24" t="str">
        <x:v>Dexterity / Focus</x:v>
      </x:c>
      <x:c r="T49" s="24" t="str">
        <x:v>Average Bard: intentionally plain and fair; useful but no elite stat.</x:v>
      </x:c>
      <x:c r="U49" s="24" t="str">
        <x:v>v0.9 pre-built base allocation: 30 points; Grey cap 10; Base Health 12 from Medium size. Player and NPC instances use this same Bird Stats row.</x:v>
      </x:c>
      <x:c r="V49" s="38" t="n">
        <x:f>SUM(I49:O49)</x:f>
        <x:v>30</x:v>
      </x:c>
      <x:c r="W49" s="38" t="n">
        <x:f>IF(D49="Gold",32,IF(D49="Orange",34,30))</x:f>
        <x:v>30</x:v>
      </x:c>
      <x:c r="X49" s="38" t="n">
        <x:f>IF(D49="Grey",10,IF(D49="Green",12,IF(D49="Blue",14,IF(D49="Purple",16,18))))</x:f>
        <x:v>10</x:v>
      </x:c>
      <x:c r="Y49" s="39" t="str">
        <x:f>IF(V49=W49,"PASS","FAIL")</x:f>
        <x:v>PASS</x:v>
      </x:c>
      <x:c r="Z49" s="39" t="str">
        <x:f>IF(MAX(I49:O49)&lt;=X49,"PASS","FAIL")</x:f>
        <x:v>PASS</x:v>
      </x:c>
      <x:c r="AA49" s="79" t="str">
        <x:v>Cobble-Crown Muster</x:v>
      </x:c>
      <x:c r="AB49" s="79" t="str">
        <x:v>After using a support utility, your next Earth damaging skill gains +10 Skill Power and restores 1 to the lower protection pool on hit.</x:v>
      </x:c>
      <x:c r="AC49" s="79" t="str">
        <x:v>Verse and Chorus</x:v>
      </x:c>
      <x:c r="AD49" s="79" t="str">
        <x:v>Once per turn, when you alternate Martial and Magic damaging skills, the second skill restores 2 to the lower protection pool. If both pools are full, it gains +10 Skill Power instead.</x:v>
      </x:c>
    </x:row>
    <x:row r="50" ht="26.399999618530273" hidden="0" customHeight="1">
      <x:c r="A50" s="24" t="str">
        <x:v>Rock Pigeon</x:v>
      </x:c>
      <x:c r="B50" s="24" t="str">
        <x:v>Knight</x:v>
      </x:c>
      <x:c r="C50" s="24" t="str">
        <x:v>Medium</x:v>
      </x:c>
      <x:c r="D50" s="24" t="str">
        <x:v>Grey</x:v>
      </x:c>
      <x:c r="E50" s="24" t="n">
        <x:v>1</x:v>
      </x:c>
      <x:c r="F50" s="24" t="str">
        <x:v>No</x:v>
      </x:c>
      <x:c r="G50" s="24" t="str">
        <x:v>Earth</x:v>
      </x:c>
      <x:c r="H50" s="24" t="n">
        <x:v>12</x:v>
      </x:c>
      <x:c r="I50" s="24" t="n">
        <x:v>5</x:v>
      </x:c>
      <x:c r="J50" s="24" t="n">
        <x:v>7</x:v>
      </x:c>
      <x:c r="K50" s="24" t="n">
        <x:v>2</x:v>
      </x:c>
      <x:c r="L50" s="24" t="n">
        <x:v>8</x:v>
      </x:c>
      <x:c r="M50" s="24" t="n">
        <x:v>0</x:v>
      </x:c>
      <x:c r="N50" s="24" t="n">
        <x:v>4</x:v>
      </x:c>
      <x:c r="O50" s="24" t="n">
        <x:v>4</x:v>
      </x:c>
      <x:c r="P50" s="30" t="n">
        <x:f>MIN(0.5,O50*0.005)</x:f>
        <x:v>0.02</x:v>
      </x:c>
      <x:c r="Q50" s="30" t="n">
        <x:v>0.05</x:v>
      </x:c>
      <x:c r="R50" s="24" t="n">
        <x:v>1.5</x:v>
      </x:c>
      <x:c r="S50" s="24" t="str">
        <x:v>Might / Guard</x:v>
      </x:c>
      <x:c r="T50" s="24" t="str">
        <x:v>Common Knight: stocky and durable, but below premium Knight damage.</x:v>
      </x:c>
      <x:c r="U50" s="24" t="str">
        <x:v>v0.9 pre-built base allocation: 30 points; Grey cap 10; Base Health 12 from Medium size. Player and NPC instances use this same Bird Stats row.</x:v>
      </x:c>
      <x:c r="V50" s="38" t="n">
        <x:f>SUM(I50:O50)</x:f>
        <x:v>30</x:v>
      </x:c>
      <x:c r="W50" s="38" t="n">
        <x:f>IF(D50="Gold",32,IF(D50="Orange",34,30))</x:f>
        <x:v>30</x:v>
      </x:c>
      <x:c r="X50" s="38" t="n">
        <x:f>IF(D50="Grey",10,IF(D50="Green",12,IF(D50="Blue",14,IF(D50="Purple",16,18))))</x:f>
        <x:v>10</x:v>
      </x:c>
      <x:c r="Y50" s="39" t="str">
        <x:f>IF(V50=W50,"PASS","FAIL")</x:f>
        <x:v>PASS</x:v>
      </x:c>
      <x:c r="Z50" s="39" t="str">
        <x:f>IF(MAX(I50:O50)&lt;=X50,"PASS","FAIL")</x:f>
        <x:v>PASS</x:v>
      </x:c>
      <x:c r="AA50" s="79" t="str">
        <x:v>Quarrylord Rise</x:v>
      </x:c>
      <x:c r="AB50" s="79" t="str">
        <x:v>After restoring Armour or gaining Fortify, your next Earth hit deals 2 additional Armour damage. If it damages Health, apply Minor Guard Down (-4 Guard) for 1 turn.</x:v>
      </x:c>
      <x:c r="AC50" s="79" t="str">
        <x:v>Bulwark Oath</x:v>
      </x:c>
      <x:c r="AD50" s="79" t="str">
        <x:v>Once per turn, after using Armour Restoration or Fortify, gain Minor Guard Up (+4 Guard) until the start of your next turn.</x:v>
      </x:c>
    </x:row>
    <x:row r="51" ht="26.399999618530273" hidden="0" customHeight="1">
      <x:c r="A51" s="24" t="str">
        <x:v>Dove</x:v>
      </x:c>
      <x:c r="B51" s="24" t="str">
        <x:v>Bard</x:v>
      </x:c>
      <x:c r="C51" s="24" t="str">
        <x:v>Small</x:v>
      </x:c>
      <x:c r="D51" s="24" t="str">
        <x:v>Grey</x:v>
      </x:c>
      <x:c r="E51" s="24" t="n">
        <x:v>1</x:v>
      </x:c>
      <x:c r="F51" s="24" t="str">
        <x:v>No</x:v>
      </x:c>
      <x:c r="G51" s="24" t="str">
        <x:v>Day</x:v>
      </x:c>
      <x:c r="H51" s="24" t="n">
        <x:v>10</x:v>
      </x:c>
      <x:c r="I51" s="24" t="n">
        <x:v>2</x:v>
      </x:c>
      <x:c r="J51" s="24" t="n">
        <x:v>0</x:v>
      </x:c>
      <x:c r="K51" s="24" t="n">
        <x:v>4</x:v>
      </x:c>
      <x:c r="L51" s="24" t="n">
        <x:v>3</x:v>
      </x:c>
      <x:c r="M51" s="24" t="n">
        <x:v>7</x:v>
      </x:c>
      <x:c r="N51" s="24" t="n">
        <x:v>7</x:v>
      </x:c>
      <x:c r="O51" s="24" t="n">
        <x:v>7</x:v>
      </x:c>
      <x:c r="P51" s="30" t="n">
        <x:f>MIN(0.5,O51*0.005)</x:f>
        <x:v>0.035</x:v>
      </x:c>
      <x:c r="Q51" s="30" t="n">
        <x:v>0.06</x:v>
      </x:c>
      <x:c r="R51" s="24" t="n">
        <x:v>1.5</x:v>
      </x:c>
      <x:c r="S51" s="24" t="str">
        <x:v>Dexterity / Focus</x:v>
      </x:c>
      <x:c r="T51" s="24" t="str">
        <x:v>Support Bard: fragile but accurate, with Resolve and tempo identity.</x:v>
      </x:c>
      <x:c r="U51" s="24" t="str">
        <x:v>v0.9 pre-built base allocation: 30 points; Grey cap 10; Base Health 10 from Small size. Player and NPC instances use this same Bird Stats row.</x:v>
      </x:c>
      <x:c r="V51" s="38" t="n">
        <x:f>SUM(I51:O51)</x:f>
        <x:v>30</x:v>
      </x:c>
      <x:c r="W51" s="38" t="n">
        <x:f>IF(D51="Gold",32,IF(D51="Orange",34,30))</x:f>
        <x:v>30</x:v>
      </x:c>
      <x:c r="X51" s="38" t="n">
        <x:f>IF(D51="Grey",10,IF(D51="Green",12,IF(D51="Blue",14,IF(D51="Purple",16,18))))</x:f>
        <x:v>10</x:v>
      </x:c>
      <x:c r="Y51" s="39" t="str">
        <x:f>IF(V51=W51,"PASS","FAIL")</x:f>
        <x:v>PASS</x:v>
      </x:c>
      <x:c r="Z51" s="39" t="str">
        <x:f>IF(MAX(I51:O51)&lt;=X51,"PASS","FAIL")</x:f>
        <x:v>PASS</x:v>
      </x:c>
      <x:c r="AA51" s="79" t="str">
        <x:v>White-Feather Covenant</x:v>
      </x:c>
      <x:c r="AB51" s="79" t="str">
        <x:v>The first support or song skill you use each turn restores 2 Magic Armour. If Magic Armour is full, gain Minor Resolve Up (+4 Resolve) until the start of your next turn.</x:v>
      </x:c>
      <x:c r="AC51" s="79" t="str">
        <x:v>Verse and Chorus</x:v>
      </x:c>
      <x:c r="AD51" s="79" t="str">
        <x:v>Once per turn, when you alternate Martial and Magic damaging skills, the second skill restores 2 to the lower protection pool. If both pools are full, it gains +10 Skill Power instead.</x:v>
      </x:c>
    </x:row>
    <x:row r="52" ht="26.399999618530273" hidden="0" customHeight="1">
      <x:c r="A52" s="24" t="str">
        <x:v>Rock Dove</x:v>
      </x:c>
      <x:c r="B52" s="24" t="str">
        <x:v>Bard</x:v>
      </x:c>
      <x:c r="C52" s="24" t="str">
        <x:v>Medium</x:v>
      </x:c>
      <x:c r="D52" s="24" t="str">
        <x:v>Grey</x:v>
      </x:c>
      <x:c r="E52" s="24" t="n">
        <x:v>1</x:v>
      </x:c>
      <x:c r="F52" s="24" t="str">
        <x:v>No</x:v>
      </x:c>
      <x:c r="G52" s="24" t="str">
        <x:v>Earth</x:v>
      </x:c>
      <x:c r="H52" s="24" t="n">
        <x:v>12</x:v>
      </x:c>
      <x:c r="I52" s="24" t="n">
        <x:v>4</x:v>
      </x:c>
      <x:c r="J52" s="24" t="n">
        <x:v>2</x:v>
      </x:c>
      <x:c r="K52" s="24" t="n">
        <x:v>5</x:v>
      </x:c>
      <x:c r="L52" s="24" t="n">
        <x:v>5</x:v>
      </x:c>
      <x:c r="M52" s="24" t="n">
        <x:v>4</x:v>
      </x:c>
      <x:c r="N52" s="24" t="n">
        <x:v>5</x:v>
      </x:c>
      <x:c r="O52" s="24" t="n">
        <x:v>5</x:v>
      </x:c>
      <x:c r="P52" s="30" t="n">
        <x:f>MIN(0.5,O52*0.005)</x:f>
        <x:v>0.025</x:v>
      </x:c>
      <x:c r="Q52" s="30" t="n">
        <x:v>0.07</x:v>
      </x:c>
      <x:c r="R52" s="24" t="n">
        <x:v>1.5</x:v>
      </x:c>
      <x:c r="S52" s="24" t="str">
        <x:v>Dexterity / Focus</x:v>
      </x:c>
      <x:c r="T52" s="24" t="str">
        <x:v>Average Bard: slightly sturdier Dove/Pigeon mix; no major spike stat.</x:v>
      </x:c>
      <x:c r="U52" s="24" t="str">
        <x:v>v0.9 pre-built base allocation: 30 points; Grey cap 10; Base Health 12 from Medium size. Player and NPC instances use this same Bird Stats row.</x:v>
      </x:c>
      <x:c r="V52" s="38" t="n">
        <x:f>SUM(I52:O52)</x:f>
        <x:v>30</x:v>
      </x:c>
      <x:c r="W52" s="38" t="n">
        <x:f>IF(D52="Gold",32,IF(D52="Orange",34,30))</x:f>
        <x:v>30</x:v>
      </x:c>
      <x:c r="X52" s="38" t="n">
        <x:f>IF(D52="Grey",10,IF(D52="Green",12,IF(D52="Blue",14,IF(D52="Purple",16,18))))</x:f>
        <x:v>10</x:v>
      </x:c>
      <x:c r="Y52" s="39" t="str">
        <x:f>IF(V52=W52,"PASS","FAIL")</x:f>
        <x:v>PASS</x:v>
      </x:c>
      <x:c r="Z52" s="39" t="str">
        <x:f>IF(MAX(I52:O52)&lt;=X52,"PASS","FAIL")</x:f>
        <x:v>PASS</x:v>
      </x:c>
      <x:c r="AA52" s="79" t="str">
        <x:v>Stone-Court Oath</x:v>
      </x:c>
      <x:c r="AB52" s="79" t="str">
        <x:v>After Armour absorbs physical damage, your next song or call restores 3 Armour, capped at its normal maximum.</x:v>
      </x:c>
      <x:c r="AC52" s="79" t="str">
        <x:v>Verse and Chorus</x:v>
      </x:c>
      <x:c r="AD52" s="79" t="str">
        <x:v>Once per turn, when you alternate Martial and Magic damaging skills, the second skill restores 2 to the lower protection pool. If both pools are full, it gains +10 Skill Power instead.</x:v>
      </x:c>
    </x:row>
    <x:row r="53" ht="26.399999618530273" hidden="0" customHeight="1">
      <x:c r="A53" s="24" t="str">
        <x:v>Kakapo</x:v>
      </x:c>
      <x:c r="B53" s="24" t="str">
        <x:v>Bard</x:v>
      </x:c>
      <x:c r="C53" s="24" t="str">
        <x:v>Large</x:v>
      </x:c>
      <x:c r="D53" s="24" t="str">
        <x:v>Green</x:v>
      </x:c>
      <x:c r="E53" s="24" t="n">
        <x:v>2</x:v>
      </x:c>
      <x:c r="F53" s="24" t="str">
        <x:v>No</x:v>
      </x:c>
      <x:c r="G53" s="24" t="str">
        <x:v>Earth</x:v>
      </x:c>
      <x:c r="H53" s="24" t="n">
        <x:v>14</x:v>
      </x:c>
      <x:c r="I53" s="24" t="n">
        <x:v>6</x:v>
      </x:c>
      <x:c r="J53" s="24" t="n">
        <x:v>1</x:v>
      </x:c>
      <x:c r="K53" s="24" t="n">
        <x:v>4</x:v>
      </x:c>
      <x:c r="L53" s="24" t="n">
        <x:v>5</x:v>
      </x:c>
      <x:c r="M53" s="24" t="n">
        <x:v>5</x:v>
      </x:c>
      <x:c r="N53" s="24" t="n">
        <x:v>7</x:v>
      </x:c>
      <x:c r="O53" s="24" t="n">
        <x:v>2</x:v>
      </x:c>
      <x:c r="P53" s="30" t="n">
        <x:f>MIN(0.5,O53*0.005)</x:f>
        <x:v>0.01</x:v>
      </x:c>
      <x:c r="Q53" s="30" t="n">
        <x:v>0.06</x:v>
      </x:c>
      <x:c r="R53" s="24" t="n">
        <x:v>1.5</x:v>
      </x:c>
      <x:c r="S53" s="24" t="str">
        <x:v>Dexterity / Focus</x:v>
      </x:c>
      <x:c r="T53" s="24" t="str">
        <x:v>Bulky Bard: high Vitality/Resolve support with low Agility/Dodge. Action Precision is skill-owned.</x:v>
      </x:c>
      <x:c r="U53" s="24" t="str">
        <x:v>v0.9 pre-built base allocation: 30 points; Green cap 12; Base Health 14 from Large size. Player and NPC instances use this same Bird Stats row.</x:v>
      </x:c>
      <x:c r="V53" s="38" t="n">
        <x:f>SUM(I53:O53)</x:f>
        <x:v>30</x:v>
      </x:c>
      <x:c r="W53" s="38" t="n">
        <x:f>IF(D53="Gold",32,IF(D53="Orange",34,30))</x:f>
        <x:v>30</x:v>
      </x:c>
      <x:c r="X53" s="38" t="n">
        <x:f>IF(D53="Grey",10,IF(D53="Green",12,IF(D53="Blue",14,IF(D53="Purple",16,18))))</x:f>
        <x:v>12</x:v>
      </x:c>
      <x:c r="Y53" s="39" t="str">
        <x:f>IF(V53=W53,"PASS","FAIL")</x:f>
        <x:v>PASS</x:v>
      </x:c>
      <x:c r="Z53" s="39" t="str">
        <x:f>IF(MAX(I53:O53)&lt;=X53,"PASS","FAIL")</x:f>
        <x:v>PASS</x:v>
      </x:c>
      <x:c r="AA53" s="79" t="str">
        <x:v>Moss-King Dream</x:v>
      </x:c>
      <x:c r="AB53" s="79" t="str">
        <x:v>While below 50% Health, the first song you use restores 2 to the lower protection pool and heals 5% Maximum Health.</x:v>
      </x:c>
      <x:c r="AC53" s="79" t="str">
        <x:v>Verse and Chorus</x:v>
      </x:c>
      <x:c r="AD53" s="79" t="str">
        <x:v>Once per turn, when you alternate Martial and Magic damaging skills, the second skill restores 2 to the lower protection pool. If both pools are full, it gains +10 Skill Power instead.</x:v>
      </x:c>
    </x:row>
    <x:row r="54" ht="26.399999618530273" hidden="0" customHeight="1">
      <x:c r="A54" s="24" t="str">
        <x:v>Dodo</x:v>
      </x:c>
      <x:c r="B54" s="24" t="str">
        <x:v>Knight</x:v>
      </x:c>
      <x:c r="C54" s="24" t="str">
        <x:v>Very Large</x:v>
      </x:c>
      <x:c r="D54" s="24" t="str">
        <x:v>Green</x:v>
      </x:c>
      <x:c r="E54" s="24" t="n">
        <x:v>2</x:v>
      </x:c>
      <x:c r="F54" s="24" t="str">
        <x:v>No</x:v>
      </x:c>
      <x:c r="G54" s="24" t="str">
        <x:v>Earth</x:v>
      </x:c>
      <x:c r="H54" s="24" t="n">
        <x:v>16</x:v>
      </x:c>
      <x:c r="I54" s="24" t="n">
        <x:v>7</x:v>
      </x:c>
      <x:c r="J54" s="24" t="n">
        <x:v>7</x:v>
      </x:c>
      <x:c r="K54" s="24" t="n">
        <x:v>1</x:v>
      </x:c>
      <x:c r="L54" s="24" t="n">
        <x:v>9</x:v>
      </x:c>
      <x:c r="M54" s="24" t="n">
        <x:v>0</x:v>
      </x:c>
      <x:c r="N54" s="24" t="n">
        <x:v>4</x:v>
      </x:c>
      <x:c r="O54" s="24" t="n">
        <x:v>2</x:v>
      </x:c>
      <x:c r="P54" s="30" t="n">
        <x:f>MIN(0.5,O54*0.005)</x:f>
        <x:v>0.01</x:v>
      </x:c>
      <x:c r="Q54" s="30" t="n">
        <x:v>0.04</x:v>
      </x:c>
      <x:c r="R54" s="24" t="n">
        <x:v>1.5</x:v>
      </x:c>
      <x:c r="S54" s="24" t="str">
        <x:v>Might / Guard</x:v>
      </x:c>
      <x:c r="T54" s="24" t="str">
        <x:v>Clumsy Knight: high Vitality/Guard with low Agility/Dodge and no Focus. Action Precision is skill-owned.</x:v>
      </x:c>
      <x:c r="U54" s="24" t="str">
        <x:v>v0.9 pre-built base allocation: 30 points; Green cap 12; Base Health 16 from Very Large size. Player and NPC instances use this same Bird Stats row.</x:v>
      </x:c>
      <x:c r="V54" s="38" t="n">
        <x:f>SUM(I54:O54)</x:f>
        <x:v>30</x:v>
      </x:c>
      <x:c r="W54" s="38" t="n">
        <x:f>IF(D54="Gold",32,IF(D54="Orange",34,30))</x:f>
        <x:v>30</x:v>
      </x:c>
      <x:c r="X54" s="38" t="n">
        <x:f>IF(D54="Grey",10,IF(D54="Green",12,IF(D54="Blue",14,IF(D54="Purple",16,18))))</x:f>
        <x:v>12</x:v>
      </x:c>
      <x:c r="Y54" s="39" t="str">
        <x:f>IF(V54=W54,"PASS","FAIL")</x:f>
        <x:v>PASS</x:v>
      </x:c>
      <x:c r="Z54" s="39" t="str">
        <x:f>IF(MAX(I54:O54)&lt;=X54,"PASS","FAIL")</x:f>
        <x:v>PASS</x:v>
      </x:c>
      <x:c r="AA54" s="79" t="str">
        <x:v>Fool-King Reckoning</x:v>
      </x:c>
      <x:c r="AB54" s="79" t="str">
        <x:v>The first time each combat your Armour reaches 0 while below 50% Health, restore 4 Armour and gain Minor Guard Up (+4 Guard) until the start of your next turn.</x:v>
      </x:c>
      <x:c r="AC54" s="79" t="str">
        <x:v>Bulwark Oath</x:v>
      </x:c>
      <x:c r="AD54" s="79" t="str">
        <x:v>Once per turn, after using Armour Restoration or Fortify, gain Minor Guard Up (+4 Guard) until the start of your next turn.</x:v>
      </x:c>
    </x:row>
    <x:row r="55" ht="26.399999618530273" hidden="0" customHeight="1">
      <x:c r="A55" s="24" t="str">
        <x:v>Chickadee</x:v>
      </x:c>
      <x:c r="B55" s="24" t="str">
        <x:v>Rogue</x:v>
      </x:c>
      <x:c r="C55" s="24" t="str">
        <x:v>Tiny</x:v>
      </x:c>
      <x:c r="D55" s="24" t="str">
        <x:v>Grey</x:v>
      </x:c>
      <x:c r="E55" s="24" t="n">
        <x:v>1</x:v>
      </x:c>
      <x:c r="F55" s="24" t="str">
        <x:v>No</x:v>
      </x:c>
      <x:c r="G55" s="24" t="str">
        <x:v>Earth</x:v>
      </x:c>
      <x:c r="H55" s="24" t="n">
        <x:v>8</x:v>
      </x:c>
      <x:c r="I55" s="24" t="n">
        <x:v>2</x:v>
      </x:c>
      <x:c r="J55" s="24" t="n">
        <x:v>2</x:v>
      </x:c>
      <x:c r="K55" s="24" t="n">
        <x:v>8</x:v>
      </x:c>
      <x:c r="L55" s="24" t="n">
        <x:v>4</x:v>
      </x:c>
      <x:c r="M55" s="24" t="n">
        <x:v>1</x:v>
      </x:c>
      <x:c r="N55" s="24" t="n">
        <x:v>4</x:v>
      </x:c>
      <x:c r="O55" s="24" t="n">
        <x:v>9</x:v>
      </x:c>
      <x:c r="P55" s="30" t="n">
        <x:f>MIN(0.5,O55*0.005)</x:f>
        <x:v>0.045</x:v>
      </x:c>
      <x:c r="Q55" s="30" t="n">
        <x:v>0.1</x:v>
      </x:c>
      <x:c r="R55" s="24" t="n">
        <x:v>1.55</x:v>
      </x:c>
      <x:c r="S55" s="24" t="str">
        <x:v>Dexterity</x:v>
      </x:c>
      <x:c r="T55" s="24" t="str">
        <x:v>Weak tiny rogue: fast and evasive but very low survivability and power.</x:v>
      </x:c>
      <x:c r="U55" s="24" t="str">
        <x:v>v0.9 pre-built base allocation: 30 points; Grey cap 10; Base Health 8 from Tiny size. Player and NPC instances use this same Bird Stats row.</x:v>
      </x:c>
      <x:c r="V55" s="38" t="n">
        <x:f>SUM(I55:O55)</x:f>
        <x:v>30</x:v>
      </x:c>
      <x:c r="W55" s="38" t="n">
        <x:f>IF(D55="Gold",32,IF(D55="Orange",34,30))</x:f>
        <x:v>30</x:v>
      </x:c>
      <x:c r="X55" s="38" t="n">
        <x:f>IF(D55="Grey",10,IF(D55="Green",12,IF(D55="Blue",14,IF(D55="Purple",16,18))))</x:f>
        <x:v>10</x:v>
      </x:c>
      <x:c r="Y55" s="39" t="str">
        <x:f>IF(V55=W55,"PASS","FAIL")</x:f>
        <x:v>PASS</x:v>
      </x:c>
      <x:c r="Z55" s="39" t="str">
        <x:f>IF(MAX(I55:O55)&lt;=X55,"PASS","FAIL")</x:f>
        <x:v>PASS</x:v>
      </x:c>
      <x:c r="AA55" s="79" t="str">
        <x:v>Pine-Nest Covenant</x:v>
      </x:c>
      <x:c r="AB55" s="79" t="str">
        <x:v>After using Pine Cover, your next Weapon Skill 1 gains +10 Skill Power and +10 Precision.</x:v>
      </x:c>
      <x:c r="AC55" s="79" t="str">
        <x:v>Rogue Tempo</x:v>
      </x:c>
      <x:c r="AD55" s="79" t="str">
        <x:v>Once per turn, if acting before the target, your first Weapon Skill 1 gains +10 Precision. If that skill breaks Armour, gain Minor Agility Up (+4 Agility) until the start of your next turn.</x:v>
      </x:c>
    </x:row>
    <x:row r="56" ht="26.399999618530273" hidden="0" customHeight="1">
      <x:c r="A56" s="24" t="str">
        <x:v>Finch</x:v>
      </x:c>
      <x:c r="B56" s="24" t="str">
        <x:v>Rogue</x:v>
      </x:c>
      <x:c r="C56" s="24" t="str">
        <x:v>Small</x:v>
      </x:c>
      <x:c r="D56" s="24" t="str">
        <x:v>Grey</x:v>
      </x:c>
      <x:c r="E56" s="24" t="n">
        <x:v>1</x:v>
      </x:c>
      <x:c r="F56" s="24" t="str">
        <x:v>No</x:v>
      </x:c>
      <x:c r="G56" s="24" t="str">
        <x:v>Earth</x:v>
      </x:c>
      <x:c r="H56" s="24" t="n">
        <x:v>10</x:v>
      </x:c>
      <x:c r="I56" s="24" t="n">
        <x:v>2</x:v>
      </x:c>
      <x:c r="J56" s="24" t="n">
        <x:v>1</x:v>
      </x:c>
      <x:c r="K56" s="24" t="n">
        <x:v>9</x:v>
      </x:c>
      <x:c r="L56" s="24" t="n">
        <x:v>4</x:v>
      </x:c>
      <x:c r="M56" s="24" t="n">
        <x:v>0</x:v>
      </x:c>
      <x:c r="N56" s="24" t="n">
        <x:v>5</x:v>
      </x:c>
      <x:c r="O56" s="24" t="n">
        <x:v>9</x:v>
      </x:c>
      <x:c r="P56" s="30" t="n">
        <x:f>MIN(0.5,O56*0.005)</x:f>
        <x:v>0.045</x:v>
      </x:c>
      <x:c r="Q56" s="30" t="n">
        <x:v>0.1</x:v>
      </x:c>
      <x:c r="R56" s="24" t="n">
        <x:v>1.55</x:v>
      </x:c>
      <x:c r="S56" s="24" t="str">
        <x:v>Dexterity</x:v>
      </x:c>
      <x:c r="T56" s="24" t="str">
        <x:v>Weak common rogue: nimble starter/common role with low damage and bulk.</x:v>
      </x:c>
      <x:c r="U56" s="24" t="str">
        <x:v>v0.9 pre-built base allocation: 30 points; Grey cap 10; Base Health 10 from Small size. Player and NPC instances use this same Bird Stats row.</x:v>
      </x:c>
      <x:c r="V56" s="38" t="n">
        <x:f>SUM(I56:O56)</x:f>
        <x:v>30</x:v>
      </x:c>
      <x:c r="W56" s="38" t="n">
        <x:f>IF(D56="Gold",32,IF(D56="Orange",34,30))</x:f>
        <x:v>30</x:v>
      </x:c>
      <x:c r="X56" s="38" t="n">
        <x:f>IF(D56="Grey",10,IF(D56="Green",12,IF(D56="Blue",14,IF(D56="Purple",16,18))))</x:f>
        <x:v>10</x:v>
      </x:c>
      <x:c r="Y56" s="39" t="str">
        <x:f>IF(V56=W56,"PASS","FAIL")</x:f>
        <x:v>PASS</x:v>
      </x:c>
      <x:c r="Z56" s="39" t="str">
        <x:f>IF(MAX(I56:O56)&lt;=X56,"PASS","FAIL")</x:f>
        <x:v>PASS</x:v>
      </x:c>
      <x:c r="AA56" s="79" t="str">
        <x:v>Seed-Crown Flourish</x:v>
      </x:c>
      <x:c r="AB56" s="79" t="str">
        <x:v>After using Natural Strike, your next Earth Weapon Skill 1 or 2 gains +10 Skill Power and restores 1 Armour on hit.</x:v>
      </x:c>
      <x:c r="AC56" s="79" t="str">
        <x:v>Rogue Tempo</x:v>
      </x:c>
      <x:c r="AD56" s="79" t="str">
        <x:v>Once per turn, if acting before the target, your first Weapon Skill 1 gains +10 Precision. If that skill breaks Armour, gain Minor Agility Up (+4 Agility) until the start of your next turn.</x:v>
      </x:c>
    </x:row>
  </x:sheetData>
  <x:mergeCells>
    <x:mergeCell ref="A2:U2"/>
    <x:mergeCell ref="A1:A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24" hidden="0" customWidth="1"/>
    <x:col min="5" max="5" width="48" hidden="0" customWidth="1"/>
    <x:col min="6" max="6" width="38" hidden="0" customWidth="1"/>
    <x:col min="7" max="7" width="10.630000114440918" hidden="0" customWidth="1"/>
    <x:col min="8" max="8" width="11.880000114440918" hidden="0" customWidth="1"/>
    <x:col min="9" max="9" width="11.25" hidden="0" customWidth="1"/>
    <x:col min="10" max="10" width="24" hidden="0" customWidth="1"/>
    <x:col min="11" max="11" width="2.630000114440918" hidden="0" customWidth="1"/>
    <x:col min="12" max="12" width="8.25" hidden="0" customWidth="1"/>
    <x:col min="13" max="13" width="5.630000114440918" hidden="0" customWidth="1"/>
    <x:col min="14" max="14" width="48" hidden="0" customWidth="1"/>
    <x:col min="15" max="15" width="9.75" hidden="0" customWidth="1"/>
    <x:col min="16" max="16" width="11" hidden="0" customWidth="1"/>
    <x:col min="17" max="17" width="10.380000114440918" hidden="0" customWidth="1"/>
    <x:col min="18" max="18" width="22" hidden="0" customWidth="1"/>
    <x:col min="19" max="19" width="50" hidden="0" customWidth="1"/>
    <x:col min="20" max="20" width="38" hidden="0" customWidth="1"/>
    <x:col min="21" max="21" width="42" hidden="0" customWidth="1"/>
    <x:col min="22" max="22" width="32" hidden="0" customWidth="1"/>
    <x:col min="23" max="23" width="12" hidden="0" customWidth="1"/>
    <x:col min="24" max="24" width="15" hidden="0" customWidth="1"/>
    <x:col min="25" max="25" width="12" hidden="0" customWidth="1"/>
    <x:col min="26" max="26" width="10" hidden="0" customWidth="1"/>
    <x:col min="27" max="27" width="10" hidden="0" customWidth="1"/>
    <x:col min="28" max="28" width="18" hidden="0" customWidth="1"/>
    <x:col min="29" max="29" width="16" hidden="0" customWidth="1"/>
    <x:col min="30" max="30" width="17" hidden="0" customWidth="1"/>
    <x:col min="31" max="31" width="17" hidden="0" customWidth="1"/>
    <x:col min="32" max="32" width="52" hidden="0" customWidth="1"/>
  </x:cols>
  <x:sheetData>
    <x:row r="1" ht="30" customHeight="1">
      <x:c r="A1" s="62" t="str">
        <x:v>Bird Passives, Innate Utilities and Class Perks — v1.0 New-System Integration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  <x:c r="AA1" s="62"/>
      <x:c r="AB1" s="62"/>
      <x:c r="AC1" s="62"/>
      <x:c r="AD1" s="62"/>
      <x:c r="AE1" s="62"/>
      <x:c r="AF1" s="62"/>
    </x:row>
    <x:row r="2" ht="38" customHeight="1">
      <x:c r="A2" s="69" t="str">
        <x:v>One fixed species Passive and one 1 EN Innate Utility per bird. Passives now reference Weapon Skill 1/2, Armour, Magic Armour, restoration, Fortify, Ward, protection breaks and ailment gates. Barrier, Brace, Evasion and generic Damage Up wording have been removed.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</x:row>
    <x:row r="4" ht="30" customHeight="1">
      <x:c r="A4" s="76" t="str">
        <x:v>Bird Name</x:v>
      </x:c>
      <x:c r="B4" s="76" t="str">
        <x:v>Class</x:v>
      </x:c>
      <x:c r="C4" s="76" t="str">
        <x:v>Affinity</x:v>
      </x:c>
      <x:c r="D4" s="76" t="str">
        <x:v>Passive Name</x:v>
      </x:c>
      <x:c r="E4" s="76" t="str">
        <x:v>Passive Effect</x:v>
      </x:c>
      <x:c r="F4" s="76" t="str">
        <x:v>Trigger / Limit</x:v>
      </x:c>
      <x:c r="G4" s="76" t="str">
        <x:v>Passive Score</x:v>
      </x:c>
      <x:c r="H4" s="76" t="str">
        <x:v>Passive Budget</x:v>
      </x:c>
      <x:c r="I4" s="76" t="str">
        <x:v>Passive Status</x:v>
      </x:c>
      <x:c r="J4" s="76" t="str">
        <x:v>Innate Utility</x:v>
      </x:c>
      <x:c r="K4" s="76" t="str">
        <x:v>EN</x:v>
      </x:c>
      <x:c r="L4" s="76" t="str">
        <x:v>Cooldown</x:v>
      </x:c>
      <x:c r="M4" s="76" t="str">
        <x:v>Target</x:v>
      </x:c>
      <x:c r="N4" s="76" t="str">
        <x:v>Utility Effect</x:v>
      </x:c>
      <x:c r="O4" s="76" t="str">
        <x:v>Utility Score</x:v>
      </x:c>
      <x:c r="P4" s="76" t="str">
        <x:v>Utility Budget</x:v>
      </x:c>
      <x:c r="Q4" s="76" t="str">
        <x:v>Utility Status</x:v>
      </x:c>
      <x:c r="R4" s="76" t="str">
        <x:v>Class Perk</x:v>
      </x:c>
      <x:c r="S4" s="76" t="str">
        <x:v>Class Perk Summary</x:v>
      </x:c>
      <x:c r="T4" s="76" t="str">
        <x:v>Equipment Synergy</x:v>
      </x:c>
      <x:c r="U4" s="76" t="str">
        <x:v>Design Notes</x:v>
      </x:c>
      <x:c r="V4" s="76" t="str">
        <x:v>New System Hook</x:v>
      </x:c>
      <x:c r="W4" s="76" t="str">
        <x:v>Uses Armour</x:v>
      </x:c>
      <x:c r="X4" s="76" t="str">
        <x:v>Uses Magic Armour</x:v>
      </x:c>
      <x:c r="Y4" s="76" t="str">
        <x:v>Restoration</x:v>
      </x:c>
      <x:c r="Z4" s="76" t="str">
        <x:v>Fortify</x:v>
      </x:c>
      <x:c r="AA4" s="76" t="str">
        <x:v>Ward</x:v>
      </x:c>
      <x:c r="AB4" s="76" t="str">
        <x:v>Break / Pressure</x:v>
      </x:c>
      <x:c r="AC4" s="76" t="str">
        <x:v>Ailment Gate</x:v>
      </x:c>
      <x:c r="AD4" s="76" t="str">
        <x:v>Legacy Term Audit</x:v>
      </x:c>
      <x:c r="AE4" s="76" t="str">
        <x:v>Duplicate Audit</x:v>
      </x:c>
      <x:c r="AF4" s="76" t="str">
        <x:v>GitHub Export Summary</x:v>
      </x:c>
    </x:row>
    <x:row r="5">
      <x:c r="A5" s="79" t="str">
        <x:v>Sparrow</x:v>
      </x:c>
      <x:c r="B5" s="79" t="str">
        <x:v>Rogue</x:v>
      </x:c>
      <x:c r="C5" s="79" t="str">
        <x:v>Sky</x:v>
      </x:c>
      <x:c r="D5" s="79" t="str">
        <x:v>Fledgling Grit</x:v>
      </x:c>
      <x:c r="E5" s="79" t="str">
        <x:v>After using Hedge Hop, your next Weapon Skill 1 gains +10 Precision and +5 percentage points Critical Chance.</x:v>
      </x:c>
      <x:c r="F5" s="79" t="str">
        <x:v>Once per turn; consumed on the next 2 EN Weapon Skill 1.</x:v>
      </x:c>
      <x:c r="G5" s="79" t="n">
        <x:v>1</x:v>
      </x:c>
      <x:c r="H5" s="79" t="n">
        <x:v>1.5</x:v>
      </x:c>
      <x:c r="I5" s="79" t="str">
        <x:v>PASS v1.0</x:v>
      </x:c>
      <x:c r="J5" s="79" t="str">
        <x:v>Hedge Hop</x:v>
      </x:c>
      <x:c r="K5" s="79" t="n">
        <x:v>1</x:v>
      </x:c>
      <x:c r="L5" s="79" t="n">
        <x:v>2</x:v>
      </x:c>
      <x:c r="M5" s="79" t="str">
        <x:v>Self</x:v>
      </x:c>
      <x:c r="N5" s="79" t="str">
        <x:v>Gain Minor Agility Up (+4 Agility) until the start of your next turn.</x:v>
      </x:c>
      <x:c r="O5" s="79" t="n">
        <x:v>1</x:v>
      </x:c>
      <x:c r="P5" s="79" t="n">
        <x:v>2</x:v>
      </x:c>
      <x:c r="Q5" s="79" t="str">
        <x:v>PASS v1.0</x:v>
      </x:c>
      <x:c r="R5" s="79" t="str">
        <x:v>Rogue Tempo</x:v>
      </x:c>
      <x:c r="S5" s="79" t="str">
        <x:v>Once per turn, if acting before the target, your first Weapon Skill 1 gains +10 Precision. If that skill breaks Armour, gain Minor Agility Up (+4 Agility) until the start of your next turn.</x:v>
      </x:c>
      <x:c r="T5" s="79" t="str">
        <x:v>Light weapons, Shadowplume and early-turn Rogue Tempo.</x:v>
      </x:c>
      <x:c r="U5" s="79" t="str">
        <x:v>Starter Rogue loop now points to the 2 EN weapon skill structure.</x:v>
      </x:c>
      <x:c r="V5" s="79" t="str">
        <x:v>Weapon Skill 1; Agility; Precision; Critical</x:v>
      </x:c>
      <x:c r="W5" s="79" t="str">
        <x:v>—</x:v>
      </x:c>
      <x:c r="X5" s="79" t="str">
        <x:v>—</x:v>
      </x:c>
      <x:c r="Y5" s="79" t="str">
        <x:v>—</x:v>
      </x:c>
      <x:c r="Z5" s="79" t="str">
        <x:v>—</x:v>
      </x:c>
      <x:c r="AA5" s="79" t="str">
        <x:v>—</x:v>
      </x:c>
      <x:c r="AB5" s="79" t="str">
        <x:v>—</x:v>
      </x:c>
      <x:c r="AC5" s="79" t="str">
        <x:v>—</x:v>
      </x:c>
      <x:c r="AD5" s="79" t="str">
        <x:v>PASS</x:v>
      </x:c>
      <x:c r="AE5" s="79" t="str">
        <x:v>PASS</x:v>
      </x:c>
      <x:c r="AF5" s="79" t="str">
        <x:v>Fledgling Grit: After using Hedge Hop, your next Weapon Skill 1 gains +10 Precision and +5 percentage points Critical Chance.</x:v>
      </x:c>
    </x:row>
    <x:row r="6">
      <x:c r="A6" s="79" t="str">
        <x:v>Hummingbird</x:v>
      </x:c>
      <x:c r="B6" s="79" t="str">
        <x:v>Rogue</x:v>
      </x:c>
      <x:c r="C6" s="79" t="str">
        <x:v>Sky</x:v>
      </x:c>
      <x:c r="D6" s="79" t="str">
        <x:v>Ruby Needle Tempo</x:v>
      </x:c>
      <x:c r="E6" s="79" t="str">
        <x:v>After using two different skills in the same turn, gain Minor Agility Up (+4 Agility) until the start of your next turn and restore 1 Magic Armour, capped at its normal maximum.</x:v>
      </x:c>
      <x:c r="F6" s="79" t="str">
        <x:v>Once per turn; repeated copies of the same skill do not count.</x:v>
      </x:c>
      <x:c r="G6" s="79" t="n">
        <x:v>1</x:v>
      </x:c>
      <x:c r="H6" s="79" t="n">
        <x:v>1.5</x:v>
      </x:c>
      <x:c r="I6" s="79" t="str">
        <x:v>PASS v1.0</x:v>
      </x:c>
      <x:c r="J6" s="79" t="str">
        <x:v>Blurred Wings</x:v>
      </x:c>
      <x:c r="K6" s="79" t="n">
        <x:v>1</x:v>
      </x:c>
      <x:c r="L6" s="79" t="n">
        <x:v>3</x:v>
      </x:c>
      <x:c r="M6" s="79" t="str">
        <x:v>Self</x:v>
      </x:c>
      <x:c r="N6" s="79" t="str">
        <x:v>Gain Moderate Agility Up (+10 Agility) until the start of your next turn.</x:v>
      </x:c>
      <x:c r="O6" s="79" t="n">
        <x:v>2.5</x:v>
      </x:c>
      <x:c r="P6" s="79" t="n">
        <x:v>2.5</x:v>
      </x:c>
      <x:c r="Q6" s="79" t="str">
        <x:v>PASS v1.0</x:v>
      </x:c>
      <x:c r="R6" s="79" t="str">
        <x:v>Rogue Tempo</x:v>
      </x:c>
      <x:c r="S6" s="79" t="str">
        <x:v>Once per turn, if acting before the target, your first Weapon Skill 1 gains +10 Precision. If that skill breaks Armour, gain Minor Agility Up (+4 Agility) until the start of your next turn.</x:v>
      </x:c>
      <x:c r="T6" s="79" t="str">
        <x:v>One-handed weapons, accessories and multi-action turns.</x:v>
      </x:c>
      <x:c r="U6" s="79" t="str">
        <x:v>No longer requires two separate 1 EN actions.</x:v>
      </x:c>
      <x:c r="V6" s="79" t="str">
        <x:v>Action chaining; Agility; Magic Armour restoration</x:v>
      </x:c>
      <x:c r="W6" s="79" t="str">
        <x:v>YES</x:v>
      </x:c>
      <x:c r="X6" s="79" t="str">
        <x:v>YES</x:v>
      </x:c>
      <x:c r="Y6" s="79" t="str">
        <x:v>YES</x:v>
      </x:c>
      <x:c r="Z6" s="79" t="str">
        <x:v>—</x:v>
      </x:c>
      <x:c r="AA6" s="79" t="str">
        <x:v>—</x:v>
      </x:c>
      <x:c r="AB6" s="79" t="str">
        <x:v>—</x:v>
      </x:c>
      <x:c r="AC6" s="79" t="str">
        <x:v>—</x:v>
      </x:c>
      <x:c r="AD6" s="79" t="str">
        <x:v>PASS</x:v>
      </x:c>
      <x:c r="AE6" s="79" t="str">
        <x:v>PASS</x:v>
      </x:c>
      <x:c r="AF6" s="79" t="str">
        <x:v>Ruby Needle Tempo: After using two different skills in the same turn, gain Minor Agility Up (+4 Agility) until the start of your next turn and restore 1 Magic Armour, capped at its normal maximum.</x:v>
      </x:c>
    </x:row>
    <x:row r="7">
      <x:c r="A7" s="79" t="str">
        <x:v>Blackbird</x:v>
      </x:c>
      <x:c r="B7" s="79" t="str">
        <x:v>Mage</x:v>
      </x:c>
      <x:c r="C7" s="79" t="str">
        <x:v>Night</x:v>
      </x:c>
      <x:c r="D7" s="79" t="str">
        <x:v>Plague-Nocturne</x:v>
      </x:c>
      <x:c r="E7" s="79" t="str">
        <x:v>Your first Night Magic weapon skill each turn against a debuffed target gains +10 Skill Power against Magic Armour. If it damages Health, it also gains +10 Precision for its debuff or ailment roll.</x:v>
      </x:c>
      <x:c r="F7" s="79" t="str">
        <x:v>Once per turn; the Skill Power bonus applies only to Magic Armour damage.</x:v>
      </x:c>
      <x:c r="G7" s="79" t="n">
        <x:v>1</x:v>
      </x:c>
      <x:c r="H7" s="79" t="n">
        <x:v>1.5</x:v>
      </x:c>
      <x:c r="I7" s="79" t="str">
        <x:v>PASS v1.0</x:v>
      </x:c>
      <x:c r="J7" s="79" t="str">
        <x:v>Grim Sign</x:v>
      </x:c>
      <x:c r="K7" s="79" t="n">
        <x:v>1</x:v>
      </x:c>
      <x:c r="L7" s="79" t="n">
        <x:v>2</x:v>
      </x:c>
      <x:c r="M7" s="79" t="str">
        <x:v>Enemy</x:v>
      </x:c>
      <x:c r="N7" s="79" t="str">
        <x:v>Apply Minor Resolve Down (-4 Resolve) for 2 turns. This effect is blocked while the target has Magic Armour.</x:v>
      </x:c>
      <x:c r="O7" s="79" t="n">
        <x:v>1</x:v>
      </x:c>
      <x:c r="P7" s="79" t="n">
        <x:v>2</x:v>
      </x:c>
      <x:c r="Q7" s="79" t="str">
        <x:v>PASS v1.0</x:v>
      </x:c>
      <x:c r="R7" s="79" t="str">
        <x:v>Arcane Pressure</x:v>
      </x:c>
      <x:c r="S7" s="79" t="str">
        <x:v>The first Magic weapon skill you use each turn deals 10% additional damage to Magic Armour only. This bonus does not increase Health damage.</x:v>
      </x:c>
      <x:c r="T7" s="79" t="str">
        <x:v>Night Wands, Staffs, Runewoven and Nightweave equipment.</x:v>
      </x:c>
      <x:c r="U7" s="79" t="str">
        <x:v>Replaces generic Magic Damage Up.</x:v>
      </x:c>
      <x:c r="V7" s="79" t="str">
        <x:v>Magic Armour pressure; debuff gate; Skill Power</x:v>
      </x:c>
      <x:c r="W7" s="79" t="str">
        <x:v>YES</x:v>
      </x:c>
      <x:c r="X7" s="79" t="str">
        <x:v>YES</x:v>
      </x:c>
      <x:c r="Y7" s="79" t="str">
        <x:v>—</x:v>
      </x:c>
      <x:c r="Z7" s="79" t="str">
        <x:v>—</x:v>
      </x:c>
      <x:c r="AA7" s="79" t="str">
        <x:v>—</x:v>
      </x:c>
      <x:c r="AB7" s="79" t="str">
        <x:v>Magic Armour</x:v>
      </x:c>
      <x:c r="AC7" s="79" t="str">
        <x:v>YES</x:v>
      </x:c>
      <x:c r="AD7" s="79" t="str">
        <x:v>PASS</x:v>
      </x:c>
      <x:c r="AE7" s="79" t="str">
        <x:v>PASS</x:v>
      </x:c>
      <x:c r="AF7" s="79" t="str">
        <x:v>Plague-Nocturne: Your first Night Magic weapon skill each turn against a debuffed target gains +10 Skill Power against Magic Armour. If it damages Health, it also gains +10 Precision for its debuff or ailment roll.</x:v>
      </x:c>
    </x:row>
    <x:row r="8">
      <x:c r="A8" s="79" t="str">
        <x:v>Macaw</x:v>
      </x:c>
      <x:c r="B8" s="79" t="str">
        <x:v>Bard</x:v>
      </x:c>
      <x:c r="C8" s="79" t="str">
        <x:v>Day</x:v>
      </x:c>
      <x:c r="D8" s="79" t="str">
        <x:v>Scarlet Echo Call</x:v>
      </x:c>
      <x:c r="E8" s="79" t="str">
        <x:v>When Verse and Chorus triggers, the second skill also gains +10 Precision and restores 1 to the lower protection pool, capped at its normal maximum.</x:v>
      </x:c>
      <x:c r="F8" s="79" t="str">
        <x:v>Once per turn with Verse and Chorus.</x:v>
      </x:c>
      <x:c r="G8" s="79" t="n">
        <x:v>1</x:v>
      </x:c>
      <x:c r="H8" s="79" t="n">
        <x:v>1.5</x:v>
      </x:c>
      <x:c r="I8" s="79" t="str">
        <x:v>PASS v1.0</x:v>
      </x:c>
      <x:c r="J8" s="79" t="str">
        <x:v>Mimic Voice</x:v>
      </x:c>
      <x:c r="K8" s="79" t="n">
        <x:v>1</x:v>
      </x:c>
      <x:c r="L8" s="79" t="n">
        <x:v>3</x:v>
      </x:c>
      <x:c r="M8" s="79" t="str">
        <x:v>Self</x:v>
      </x:c>
      <x:c r="N8" s="79" t="str">
        <x:v>Copy one Minor positive core-stat effect currently on the enemy until the end of its normal duration; if none exists, gain Minor Focus Up (+4 Focus) for 2 turns.</x:v>
      </x:c>
      <x:c r="O8" s="79" t="n">
        <x:v>2</x:v>
      </x:c>
      <x:c r="P8" s="79" t="n">
        <x:v>2.5</x:v>
      </x:c>
      <x:c r="Q8" s="79" t="str">
        <x:v>PASS v1.0</x:v>
      </x:c>
      <x:c r="R8" s="79" t="str">
        <x:v>Verse and Chorus</x:v>
      </x:c>
      <x:c r="S8" s="79" t="str">
        <x:v>Once per turn, when you alternate Martial and Magic damaging skills, the second skill restores 2 to the lower protection pool. If both pools are full, it gains +10 Skill Power instead.</x:v>
      </x:c>
      <x:c r="T8" s="79" t="str">
        <x:v>Bard Song, Talon Blade, Focus Orb and balanced defensive sets.</x:v>
      </x:c>
      <x:c r="U8" s="79" t="str">
        <x:v>Strengthens the class perk without duplicating its Skill Power reward.</x:v>
      </x:c>
      <x:c r="V8" s="79" t="str">
        <x:v>Hybrid alternation; protection restoration; Precision</x:v>
      </x:c>
      <x:c r="W8" s="79" t="str">
        <x:v>—</x:v>
      </x:c>
      <x:c r="X8" s="79" t="str">
        <x:v>—</x:v>
      </x:c>
      <x:c r="Y8" s="79" t="str">
        <x:v>YES</x:v>
      </x:c>
      <x:c r="Z8" s="79" t="str">
        <x:v>—</x:v>
      </x:c>
      <x:c r="AA8" s="79" t="str">
        <x:v>—</x:v>
      </x:c>
      <x:c r="AB8" s="79" t="str">
        <x:v>—</x:v>
      </x:c>
      <x:c r="AC8" s="79" t="str">
        <x:v>—</x:v>
      </x:c>
      <x:c r="AD8" s="79" t="str">
        <x:v>PASS</x:v>
      </x:c>
      <x:c r="AE8" s="79" t="str">
        <x:v>PASS</x:v>
      </x:c>
      <x:c r="AF8" s="79" t="str">
        <x:v>Scarlet Echo Call: When Verse and Chorus triggers, the second skill also gains +10 Precision and restores 1 to the lower protection pool, capped at its normal maximum.</x:v>
      </x:c>
    </x:row>
    <x:row r="9">
      <x:c r="A9" s="79" t="str">
        <x:v>Peregrine Falcon</x:v>
      </x:c>
      <x:c r="B9" s="79" t="str">
        <x:v>Rogue</x:v>
      </x:c>
      <x:c r="C9" s="79" t="str">
        <x:v>Sky</x:v>
      </x:c>
      <x:c r="D9" s="79" t="str">
        <x:v>Skyfall Precision</x:v>
      </x:c>
      <x:c r="E9" s="79" t="str">
        <x:v>If acting before the target, your first Finesse Weapon Skill 1 or 2 each turn ignores 4 Guard.</x:v>
      </x:c>
      <x:c r="F9" s="79" t="str">
        <x:v>Once per turn; flat and percentage penetration still follow the normal penetration order.</x:v>
      </x:c>
      <x:c r="G9" s="79" t="n">
        <x:v>1</x:v>
      </x:c>
      <x:c r="H9" s="79" t="n">
        <x:v>1.5</x:v>
      </x:c>
      <x:c r="I9" s="79" t="str">
        <x:v>PASS v1.0</x:v>
      </x:c>
      <x:c r="J9" s="79" t="str">
        <x:v>Keen-Eye Stoop</x:v>
      </x:c>
      <x:c r="K9" s="79" t="n">
        <x:v>1</x:v>
      </x:c>
      <x:c r="L9" s="79" t="n">
        <x:v>2</x:v>
      </x:c>
      <x:c r="M9" s="79" t="str">
        <x:v>Self</x:v>
      </x:c>
      <x:c r="N9" s="79" t="str">
        <x:v>Your next weapon skill gains +10 Precision and cannot be redirected.</x:v>
      </x:c>
      <x:c r="O9" s="79" t="n">
        <x:v>1</x:v>
      </x:c>
      <x:c r="P9" s="79" t="n">
        <x:v>2</x:v>
      </x:c>
      <x:c r="Q9" s="79" t="str">
        <x:v>PASS v1.0</x:v>
      </x:c>
      <x:c r="R9" s="79" t="str">
        <x:v>Rogue Tempo</x:v>
      </x:c>
      <x:c r="S9" s="79" t="str">
        <x:v>Once per turn, if acting before the target, your first Weapon Skill 1 gains +10 Precision. If that skill breaks Armour, gain Minor Agility Up (+4 Agility) until the start of your next turn.</x:v>
      </x:c>
      <x:c r="T9" s="79" t="str">
        <x:v>Dagger Pinion, Talon Blade, Bow and Greatbow.</x:v>
      </x:c>
      <x:c r="U9" s="79" t="str">
        <x:v>Converted percentage Guard ignore into controlled flat penetration.</x:v>
      </x:c>
      <x:c r="V9" s="79" t="str">
        <x:v>Turn order; Finesse weapon skills; flat penetration</x:v>
      </x:c>
      <x:c r="W9" s="79" t="str">
        <x:v>—</x:v>
      </x:c>
      <x:c r="X9" s="79" t="str">
        <x:v>—</x:v>
      </x:c>
      <x:c r="Y9" s="79" t="str">
        <x:v>—</x:v>
      </x:c>
      <x:c r="Z9" s="79" t="str">
        <x:v>—</x:v>
      </x:c>
      <x:c r="AA9" s="79" t="str">
        <x:v>—</x:v>
      </x:c>
      <x:c r="AB9" s="79" t="str">
        <x:v>—</x:v>
      </x:c>
      <x:c r="AC9" s="79" t="str">
        <x:v>—</x:v>
      </x:c>
      <x:c r="AD9" s="79" t="str">
        <x:v>PASS</x:v>
      </x:c>
      <x:c r="AE9" s="79" t="str">
        <x:v>PASS</x:v>
      </x:c>
      <x:c r="AF9" s="79" t="str">
        <x:v>Skyfall Precision: If acting before the target, your first Finesse Weapon Skill 1 or 2 each turn ignores 4 Guard.</x:v>
      </x:c>
    </x:row>
    <x:row r="10">
      <x:c r="A10" s="79" t="str">
        <x:v>Snowy Owl</x:v>
      </x:c>
      <x:c r="B10" s="79" t="str">
        <x:v>Mage</x:v>
      </x:c>
      <x:c r="C10" s="79" t="str">
        <x:v>Water</x:v>
      </x:c>
      <x:c r="D10" s="79" t="str">
        <x:v>Frost-Sight Vigil</x:v>
      </x:c>
      <x:c r="E10" s="79" t="str">
        <x:v>After applying Chilled, your next Magic weapon skill gains +20 Skill Power against Magic Armour.</x:v>
      </x:c>
      <x:c r="F10" s="79" t="str">
        <x:v>2-turn cooldown; consumed on hit or miss; bonus does not increase Health damage.</x:v>
      </x:c>
      <x:c r="G10" s="79" t="n">
        <x:v>1.25</x:v>
      </x:c>
      <x:c r="H10" s="79" t="n">
        <x:v>1.5</x:v>
      </x:c>
      <x:c r="I10" s="79" t="str">
        <x:v>PASS v1.0</x:v>
      </x:c>
      <x:c r="J10" s="79" t="str">
        <x:v>Frost Glide</x:v>
      </x:c>
      <x:c r="K10" s="79" t="n">
        <x:v>1</x:v>
      </x:c>
      <x:c r="L10" s="79" t="n">
        <x:v>3</x:v>
      </x:c>
      <x:c r="M10" s="79" t="str">
        <x:v>Enemy</x:v>
      </x:c>
      <x:c r="N10" s="79" t="str">
        <x:v>Deal 3 Magic Armour damage. If the target has no Magic Armour after the effect, attempt to apply 1 Chilled stack.</x:v>
      </x:c>
      <x:c r="O10" s="79" t="n">
        <x:v>1</x:v>
      </x:c>
      <x:c r="P10" s="79" t="n">
        <x:v>2.5</x:v>
      </x:c>
      <x:c r="Q10" s="79" t="str">
        <x:v>PASS v1.0</x:v>
      </x:c>
      <x:c r="R10" s="79" t="str">
        <x:v>Arcane Pressure</x:v>
      </x:c>
      <x:c r="S10" s="79" t="str">
        <x:v>The first Magic weapon skill you use each turn deals 10% additional damage to Magic Armour only. This bonus does not increase Health damage.</x:v>
      </x:c>
      <x:c r="T10" s="79" t="str">
        <x:v>Frost-infused Staffs, Orbs and Runewoven equipment.</x:v>
      </x:c>
      <x:c r="U10" s="79" t="str">
        <x:v>Chilled remains gated by Magic Armour.</x:v>
      </x:c>
      <x:c r="V10" s="79" t="str">
        <x:v>Magic Armour break; Chilled; Skill Power</x:v>
      </x:c>
      <x:c r="W10" s="79" t="str">
        <x:v>YES</x:v>
      </x:c>
      <x:c r="X10" s="79" t="str">
        <x:v>YES</x:v>
      </x:c>
      <x:c r="Y10" s="79" t="str">
        <x:v>—</x:v>
      </x:c>
      <x:c r="Z10" s="79" t="str">
        <x:v>—</x:v>
      </x:c>
      <x:c r="AA10" s="79" t="str">
        <x:v>—</x:v>
      </x:c>
      <x:c r="AB10" s="79" t="str">
        <x:v>—</x:v>
      </x:c>
      <x:c r="AC10" s="79" t="str">
        <x:v>—</x:v>
      </x:c>
      <x:c r="AD10" s="79" t="str">
        <x:v>PASS</x:v>
      </x:c>
      <x:c r="AE10" s="79" t="str">
        <x:v>PASS</x:v>
      </x:c>
      <x:c r="AF10" s="79" t="str">
        <x:v>Frost-Sight Vigil: After applying Chilled, your next Magic weapon skill gains +20 Skill Power against Magic Armour.</x:v>
      </x:c>
    </x:row>
    <x:row r="11">
      <x:c r="A11" s="79" t="str">
        <x:v>Kiwi</x:v>
      </x:c>
      <x:c r="B11" s="79" t="str">
        <x:v>Inquisitor</x:v>
      </x:c>
      <x:c r="C11" s="79" t="str">
        <x:v>Earth</x:v>
      </x:c>
      <x:c r="D11" s="79" t="str">
        <x:v>Night Forager</x:v>
      </x:c>
      <x:c r="E11" s="79" t="str">
        <x:v>Your first physical weapon hit each turn against a debuffed or Marked target ignores 4 Guard.</x:v>
      </x:c>
      <x:c r="F11" s="79" t="str">
        <x:v>Once per turn; total penetration remains subject to the normal cap.</x:v>
      </x:c>
      <x:c r="G11" s="79" t="n">
        <x:v>1</x:v>
      </x:c>
      <x:c r="H11" s="79" t="n">
        <x:v>1.5</x:v>
      </x:c>
      <x:c r="I11" s="79" t="str">
        <x:v>PASS v1.0</x:v>
      </x:c>
      <x:c r="J11" s="79" t="str">
        <x:v>Scent Hunt</x:v>
      </x:c>
      <x:c r="K11" s="79" t="n">
        <x:v>1</x:v>
      </x:c>
      <x:c r="L11" s="79" t="n">
        <x:v>2</x:v>
      </x:c>
      <x:c r="M11" s="79" t="str">
        <x:v>Self</x:v>
      </x:c>
      <x:c r="N11" s="79" t="str">
        <x:v>Your next attack against a debuffed or Marked target gains +10 Precision and ignores 2 of the matching defence.</x:v>
      </x:c>
      <x:c r="O11" s="79" t="n">
        <x:v>2</x:v>
      </x:c>
      <x:c r="P11" s="79" t="n">
        <x:v>2</x:v>
      </x:c>
      <x:c r="Q11" s="79" t="str">
        <x:v>PASS v1.0</x:v>
      </x:c>
      <x:c r="R11" s="79" t="str">
        <x:v>Judgement Leech</x:v>
      </x:c>
      <x:c r="S11" s="79" t="str">
        <x:v>Once per turn after a damaging skill hits an ailmented, debuffed or Marked target, restore 2 to the lower of Armour or Magic Armour, capped at its normal maximum. If both pools are full, heal 5% Maximum Health.</x:v>
      </x:c>
      <x:c r="T11" s="79" t="str">
        <x:v>War Scythe, Bell Sceptre hybrids and Judgement Leech.</x:v>
      </x:c>
      <x:c r="U11" s="79" t="str">
        <x:v>Supports both debuff and Mark builds.</x:v>
      </x:c>
      <x:c r="V11" s="79" t="str">
        <x:v>Marks; debuffs; flat penetration</x:v>
      </x:c>
      <x:c r="W11" s="79" t="str">
        <x:v>—</x:v>
      </x:c>
      <x:c r="X11" s="79" t="str">
        <x:v>—</x:v>
      </x:c>
      <x:c r="Y11" s="79" t="str">
        <x:v>—</x:v>
      </x:c>
      <x:c r="Z11" s="79" t="str">
        <x:v>—</x:v>
      </x:c>
      <x:c r="AA11" s="79" t="str">
        <x:v>—</x:v>
      </x:c>
      <x:c r="AB11" s="79" t="str">
        <x:v>—</x:v>
      </x:c>
      <x:c r="AC11" s="79" t="str">
        <x:v>—</x:v>
      </x:c>
      <x:c r="AD11" s="79" t="str">
        <x:v>PASS</x:v>
      </x:c>
      <x:c r="AE11" s="79" t="str">
        <x:v>PASS</x:v>
      </x:c>
      <x:c r="AF11" s="79" t="str">
        <x:v>Night Forager: Your first physical weapon hit each turn against a debuffed or Marked target ignores 4 Guard.</x:v>
      </x:c>
    </x:row>
    <x:row r="12">
      <x:c r="A12" s="79" t="str">
        <x:v>Black Cockatoo</x:v>
      </x:c>
      <x:c r="B12" s="79" t="str">
        <x:v>Bard</x:v>
      </x:c>
      <x:c r="C12" s="79" t="str">
        <x:v>Storm</x:v>
      </x:c>
      <x:c r="D12" s="79" t="str">
        <x:v>Ashen Rhythm</x:v>
      </x:c>
      <x:c r="E12" s="79" t="str">
        <x:v>After using a song or call, your next Magic damaging skill deals 2 additional Magic Armour damage. If it damages Health, apply -10 Precision for 1 turn.</x:v>
      </x:c>
      <x:c r="F12" s="79" t="str">
        <x:v>2-turn cooldown; the debuff remains blocked if Magic Armour was not depleted.</x:v>
      </x:c>
      <x:c r="G12" s="79" t="n">
        <x:v>1</x:v>
      </x:c>
      <x:c r="H12" s="79" t="n">
        <x:v>1.5</x:v>
      </x:c>
      <x:c r="I12" s="79" t="str">
        <x:v>PASS v1.0</x:v>
      </x:c>
      <x:c r="J12" s="79" t="str">
        <x:v>Boom Call</x:v>
      </x:c>
      <x:c r="K12" s="79" t="n">
        <x:v>1</x:v>
      </x:c>
      <x:c r="L12" s="79" t="n">
        <x:v>2</x:v>
      </x:c>
      <x:c r="M12" s="79" t="str">
        <x:v>Enemy</x:v>
      </x:c>
      <x:c r="N12" s="79" t="str">
        <x:v>Apply Minor Might Down (-4 Might) and Minor Focus Down (-4 Focus) for 1 turn. This effect is blocked by Magic Armour.</x:v>
      </x:c>
      <x:c r="O12" s="79" t="n">
        <x:v>1</x:v>
      </x:c>
      <x:c r="P12" s="79" t="n">
        <x:v>2</x:v>
      </x:c>
      <x:c r="Q12" s="79" t="str">
        <x:v>PASS v1.0</x:v>
      </x:c>
      <x:c r="R12" s="79" t="str">
        <x:v>Verse and Chorus</x:v>
      </x:c>
      <x:c r="S12" s="79" t="str">
        <x:v>Once per turn, when you alternate Martial and Magic damaging skills, the second skill restores 2 to the lower protection pool. If both pools are full, it gains +10 Skill Power instead.</x:v>
      </x:c>
      <x:c r="T12" s="79" t="str">
        <x:v>Lament Song, Bard Song, Crystalwind and Nightweave.</x:v>
      </x:c>
      <x:c r="U12" s="79" t="str">
        <x:v>Replaces generic Damage Down and Precision tier wording.</x:v>
      </x:c>
      <x:c r="V12" s="79" t="str">
        <x:v>Songs; Magic Armour damage; debuff gate</x:v>
      </x:c>
      <x:c r="W12" s="79" t="str">
        <x:v>YES</x:v>
      </x:c>
      <x:c r="X12" s="79" t="str">
        <x:v>YES</x:v>
      </x:c>
      <x:c r="Y12" s="79" t="str">
        <x:v>—</x:v>
      </x:c>
      <x:c r="Z12" s="79" t="str">
        <x:v>—</x:v>
      </x:c>
      <x:c r="AA12" s="79" t="str">
        <x:v>—</x:v>
      </x:c>
      <x:c r="AB12" s="79" t="str">
        <x:v>Magic Armour</x:v>
      </x:c>
      <x:c r="AC12" s="79" t="str">
        <x:v>YES</x:v>
      </x:c>
      <x:c r="AD12" s="79" t="str">
        <x:v>PASS</x:v>
      </x:c>
      <x:c r="AE12" s="79" t="str">
        <x:v>PASS</x:v>
      </x:c>
      <x:c r="AF12" s="79" t="str">
        <x:v>Ashen Rhythm: After using a song or call, your next Magic damaging skill deals 2 additional Magic Armour damage. If it damages Health, apply -10 Precision for 1 turn.</x:v>
      </x:c>
    </x:row>
    <x:row r="13">
      <x:c r="A13" s="79" t="str">
        <x:v>Crow</x:v>
      </x:c>
      <x:c r="B13" s="79" t="str">
        <x:v>Knight</x:v>
      </x:c>
      <x:c r="C13" s="79" t="str">
        <x:v>Storm</x:v>
      </x:c>
      <x:c r="D13" s="79" t="str">
        <x:v>Carrion Guard</x:v>
      </x:c>
      <x:c r="E13" s="79" t="str">
        <x:v>Once per turn after Armour absorbs physical damage, your next weapon skill deals 10% additional damage to Armour. If that hit damages Health, it may apply Minor Might Down (-4 Might) for 1 turn.</x:v>
      </x:c>
      <x:c r="F13" s="79" t="str">
        <x:v>Once per turn; the Might debuff requires Armour to be depleted and Health to be damaged.</x:v>
      </x:c>
      <x:c r="G13" s="79" t="n">
        <x:v>1</x:v>
      </x:c>
      <x:c r="H13" s="79" t="n">
        <x:v>1.5</x:v>
      </x:c>
      <x:c r="I13" s="79" t="str">
        <x:v>PASS v1.0</x:v>
      </x:c>
      <x:c r="J13" s="79" t="str">
        <x:v>Battle Focus</x:v>
      </x:c>
      <x:c r="K13" s="79" t="n">
        <x:v>1</x:v>
      </x:c>
      <x:c r="L13" s="79" t="n">
        <x:v>2</x:v>
      </x:c>
      <x:c r="M13" s="79" t="str">
        <x:v>Self</x:v>
      </x:c>
      <x:c r="N13" s="79" t="str">
        <x:v>Restore 4 Armour, capped at normal Maximum Armour.</x:v>
      </x:c>
      <x:c r="O13" s="79" t="n">
        <x:v>1</x:v>
      </x:c>
      <x:c r="P13" s="79" t="n">
        <x:v>2</x:v>
      </x:c>
      <x:c r="Q13" s="79" t="str">
        <x:v>PASS v1.0</x:v>
      </x:c>
      <x:c r="R13" s="79" t="str">
        <x:v>Bulwark Oath</x:v>
      </x:c>
      <x:c r="S13" s="79" t="str">
        <x:v>Once per turn, after using Armour Restoration or Fortify, gain Minor Guard Up (+4 Guard) until the start of your next turn.</x:v>
      </x:c>
      <x:c r="T13" s="79" t="str">
        <x:v>Ironfeather, shields, Beak Hammer and Bulwark Oath.</x:v>
      </x:c>
      <x:c r="U13" s="79" t="str">
        <x:v>Replaces Brace and Barrier triggers.</x:v>
      </x:c>
      <x:c r="V13" s="79" t="str">
        <x:v>Armour absorption; Armour restoration; protection break</x:v>
      </x:c>
      <x:c r="W13" s="79" t="str">
        <x:v>YES</x:v>
      </x:c>
      <x:c r="X13" s="79" t="str">
        <x:v>—</x:v>
      </x:c>
      <x:c r="Y13" s="79" t="str">
        <x:v>YES</x:v>
      </x:c>
      <x:c r="Z13" s="79" t="str">
        <x:v>—</x:v>
      </x:c>
      <x:c r="AA13" s="79" t="str">
        <x:v>—</x:v>
      </x:c>
      <x:c r="AB13" s="79" t="str">
        <x:v>Armour</x:v>
      </x:c>
      <x:c r="AC13" s="79" t="str">
        <x:v>YES</x:v>
      </x:c>
      <x:c r="AD13" s="79" t="str">
        <x:v>PASS</x:v>
      </x:c>
      <x:c r="AE13" s="79" t="str">
        <x:v>PASS</x:v>
      </x:c>
      <x:c r="AF13" s="79" t="str">
        <x:v>Carrion Guard: Once per turn after Armour absorbs physical damage, your next weapon skill deals 10% additional damage to Armour. If that hit damages Health, it may apply Minor Might Down (-4 Might) for 1 turn.</x:v>
      </x:c>
    </x:row>
    <x:row r="14">
      <x:c r="A14" s="79" t="str">
        <x:v>Kookaburra</x:v>
      </x:c>
      <x:c r="B14" s="79" t="str">
        <x:v>Siren</x:v>
      </x:c>
      <x:c r="C14" s="79" t="str">
        <x:v>Sky</x:v>
      </x:c>
      <x:c r="D14" s="79" t="str">
        <x:v>Gallows Laugh</x:v>
      </x:c>
      <x:c r="E14" s="79" t="str">
        <x:v>After successfully applying a stat debuff, your next magical ailment or debuff against that target gains +10 percentage points application chance.</x:v>
      </x:c>
      <x:c r="F14" s="79" t="str">
        <x:v>2-turn cooldown; does not bypass Magic Armour or recursively trigger Cursed Call.</x:v>
      </x:c>
      <x:c r="G14" s="79" t="n">
        <x:v>1</x:v>
      </x:c>
      <x:c r="H14" s="79" t="n">
        <x:v>1.5</x:v>
      </x:c>
      <x:c r="I14" s="79" t="str">
        <x:v>PASS v1.0</x:v>
      </x:c>
      <x:c r="J14" s="79" t="str">
        <x:v>Gallows Laugh</x:v>
      </x:c>
      <x:c r="K14" s="79" t="n">
        <x:v>1</x:v>
      </x:c>
      <x:c r="L14" s="79" t="n">
        <x:v>2</x:v>
      </x:c>
      <x:c r="M14" s="79" t="str">
        <x:v>Enemy</x:v>
      </x:c>
      <x:c r="N14" s="79" t="str">
        <x:v>Deal 3 Magic Armour damage. If the target has no Magic Armour after the effect, apply -10 Precision for 1 turn.</x:v>
      </x:c>
      <x:c r="O14" s="79" t="n">
        <x:v>1</x:v>
      </x:c>
      <x:c r="P14" s="79" t="n">
        <x:v>2</x:v>
      </x:c>
      <x:c r="Q14" s="79" t="str">
        <x:v>PASS v1.0</x:v>
      </x:c>
      <x:c r="R14" s="79" t="str">
        <x:v>Cursed Call</x:v>
      </x:c>
      <x:c r="S14" s="79" t="str">
        <x:v>Once per turn after you break Magic Armour, the next ailment or stat debuff you apply to that target gains +10 percentage points application chance and lasts 1 additional turn.</x:v>
      </x:c>
      <x:c r="T14" s="79" t="str">
        <x:v>Hexwood Wand, Lament Song and Siren ailment equipment.</x:v>
      </x:c>
      <x:c r="U14" s="79" t="str">
        <x:v>Retains the Gallows Laugh setup identity.</x:v>
      </x:c>
      <x:c r="V14" s="79" t="str">
        <x:v>Magic Armour pressure; debuff application</x:v>
      </x:c>
      <x:c r="W14" s="79" t="str">
        <x:v>YES</x:v>
      </x:c>
      <x:c r="X14" s="79" t="str">
        <x:v>YES</x:v>
      </x:c>
      <x:c r="Y14" s="79" t="str">
        <x:v>—</x:v>
      </x:c>
      <x:c r="Z14" s="79" t="str">
        <x:v>—</x:v>
      </x:c>
      <x:c r="AA14" s="79" t="str">
        <x:v>—</x:v>
      </x:c>
      <x:c r="AB14" s="79" t="str">
        <x:v>Magic Armour</x:v>
      </x:c>
      <x:c r="AC14" s="79" t="str">
        <x:v>—</x:v>
      </x:c>
      <x:c r="AD14" s="79" t="str">
        <x:v>PASS</x:v>
      </x:c>
      <x:c r="AE14" s="79" t="str">
        <x:v>PASS</x:v>
      </x:c>
      <x:c r="AF14" s="79" t="str">
        <x:v>Gallows Laugh: After successfully applying a stat debuff, your next magical ailment or debuff against that target gains +10 percentage points application chance.</x:v>
      </x:c>
    </x:row>
    <x:row r="15">
      <x:c r="A15" s="79" t="str">
        <x:v>Lyrebird</x:v>
      </x:c>
      <x:c r="B15" s="79" t="str">
        <x:v>Bard</x:v>
      </x:c>
      <x:c r="C15" s="79" t="str">
        <x:v>Storm</x:v>
      </x:c>
      <x:c r="D15" s="79" t="str">
        <x:v>Mimic Court</x:v>
      </x:c>
      <x:c r="E15" s="79" t="str">
        <x:v>The first time each combat a song grants Might Up or Focus Up, also gain the other stat at Minor tier (+4) for the same duration and restore 2 Magic Armour.</x:v>
      </x:c>
      <x:c r="F15" s="79" t="str">
        <x:v>Once per combat; only copies Might Up or Focus Up.</x:v>
      </x:c>
      <x:c r="G15" s="79" t="n">
        <x:v>1.25</x:v>
      </x:c>
      <x:c r="H15" s="79" t="n">
        <x:v>1.5</x:v>
      </x:c>
      <x:c r="I15" s="79" t="str">
        <x:v>PASS v1.0</x:v>
      </x:c>
      <x:c r="J15" s="79" t="str">
        <x:v>Mimic Refrain</x:v>
      </x:c>
      <x:c r="K15" s="79" t="n">
        <x:v>1</x:v>
      </x:c>
      <x:c r="L15" s="79" t="n">
        <x:v>3</x:v>
      </x:c>
      <x:c r="M15" s="79" t="str">
        <x:v>Self</x:v>
      </x:c>
      <x:c r="N15" s="79" t="str">
        <x:v>Repeat the last Minor positive core-stat effect you gained until the start of your next turn. If none exists, restore 3 Magic Armour.</x:v>
      </x:c>
      <x:c r="O15" s="79" t="n">
        <x:v>2</x:v>
      </x:c>
      <x:c r="P15" s="79" t="n">
        <x:v>2.5</x:v>
      </x:c>
      <x:c r="Q15" s="79" t="str">
        <x:v>PASS v1.0</x:v>
      </x:c>
      <x:c r="R15" s="79" t="str">
        <x:v>Verse and Chorus</x:v>
      </x:c>
      <x:c r="S15" s="79" t="str">
        <x:v>Once per turn, when you alternate Martial and Magic damaging skills, the second skill restores 2 to the lower protection pool. If both pools are full, it gains +10 Skill Power instead.</x:v>
      </x:c>
      <x:c r="T15" s="79" t="str">
        <x:v>Bard Song, mixed weapons and Runewoven equipment.</x:v>
      </x:c>
      <x:c r="U15" s="79" t="str">
        <x:v>Keeps a bounded mimic rule.</x:v>
      </x:c>
      <x:c r="V15" s="79" t="str">
        <x:v>Buff copying; Magic Armour restoration</x:v>
      </x:c>
      <x:c r="W15" s="79" t="str">
        <x:v>YES</x:v>
      </x:c>
      <x:c r="X15" s="79" t="str">
        <x:v>YES</x:v>
      </x:c>
      <x:c r="Y15" s="79" t="str">
        <x:v>YES</x:v>
      </x:c>
      <x:c r="Z15" s="79" t="str">
        <x:v>—</x:v>
      </x:c>
      <x:c r="AA15" s="79" t="str">
        <x:v>—</x:v>
      </x:c>
      <x:c r="AB15" s="79" t="str">
        <x:v>—</x:v>
      </x:c>
      <x:c r="AC15" s="79" t="str">
        <x:v>—</x:v>
      </x:c>
      <x:c r="AD15" s="79" t="str">
        <x:v>PASS</x:v>
      </x:c>
      <x:c r="AE15" s="79" t="str">
        <x:v>PASS</x:v>
      </x:c>
      <x:c r="AF15" s="79" t="str">
        <x:v>Mimic Court: The first time each combat a song grants Might Up or Focus Up, also gain the other stat at Minor tier (+4) for the same duration and restore 2 Magic Armour.</x:v>
      </x:c>
    </x:row>
    <x:row r="16">
      <x:c r="A16" s="79" t="str">
        <x:v>Raven</x:v>
      </x:c>
      <x:c r="B16" s="79" t="str">
        <x:v>Siren</x:v>
      </x:c>
      <x:c r="C16" s="79" t="str">
        <x:v>Storm</x:v>
      </x:c>
      <x:c r="D16" s="79" t="str">
        <x:v>Omen King</x:v>
      </x:c>
      <x:c r="E16" s="79" t="str">
        <x:v>The first stat debuff you successfully apply each turn also deals 2 Magic Armour damage. If the target already has no Magic Armour, it instead applies -10 Precision for 1 turn.</x:v>
      </x:c>
      <x:c r="F16" s="79" t="str">
        <x:v>Once per turn; strongest Precision Down value applies.</x:v>
      </x:c>
      <x:c r="G16" s="79" t="n">
        <x:v>1</x:v>
      </x:c>
      <x:c r="H16" s="79" t="n">
        <x:v>1.5</x:v>
      </x:c>
      <x:c r="I16" s="79" t="str">
        <x:v>PASS v1.0</x:v>
      </x:c>
      <x:c r="J16" s="79" t="str">
        <x:v>Dread Omen</x:v>
      </x:c>
      <x:c r="K16" s="79" t="n">
        <x:v>1</x:v>
      </x:c>
      <x:c r="L16" s="79" t="n">
        <x:v>2</x:v>
      </x:c>
      <x:c r="M16" s="79" t="str">
        <x:v>Enemy</x:v>
      </x:c>
      <x:c r="N16" s="79" t="str">
        <x:v>Apply Minor Focus Down (-4 Focus) for 2 turns. This effect is blocked by Magic Armour.</x:v>
      </x:c>
      <x:c r="O16" s="79" t="n">
        <x:v>1</x:v>
      </x:c>
      <x:c r="P16" s="79" t="n">
        <x:v>2</x:v>
      </x:c>
      <x:c r="Q16" s="79" t="str">
        <x:v>PASS v1.0</x:v>
      </x:c>
      <x:c r="R16" s="79" t="str">
        <x:v>Cursed Call</x:v>
      </x:c>
      <x:c r="S16" s="79" t="str">
        <x:v>Once per turn after you break Magic Armour, the next ailment or stat debuff you apply to that target gains +10 percentage points application chance and lasts 1 additional turn.</x:v>
      </x:c>
      <x:c r="T16" s="79" t="str">
        <x:v>Lament Song, Hexwood Wand and Nightweave.</x:v>
      </x:c>
      <x:c r="U16" s="79" t="str">
        <x:v>Does not bypass Magic Armour.</x:v>
      </x:c>
      <x:c r="V16" s="79" t="str">
        <x:v>Magic Armour pressure; debuffs; Precision</x:v>
      </x:c>
      <x:c r="W16" s="79" t="str">
        <x:v>YES</x:v>
      </x:c>
      <x:c r="X16" s="79" t="str">
        <x:v>YES</x:v>
      </x:c>
      <x:c r="Y16" s="79" t="str">
        <x:v>—</x:v>
      </x:c>
      <x:c r="Z16" s="79" t="str">
        <x:v>—</x:v>
      </x:c>
      <x:c r="AA16" s="79" t="str">
        <x:v>—</x:v>
      </x:c>
      <x:c r="AB16" s="79" t="str">
        <x:v>Magic Armour</x:v>
      </x:c>
      <x:c r="AC16" s="79" t="str">
        <x:v>YES</x:v>
      </x:c>
      <x:c r="AD16" s="79" t="str">
        <x:v>PASS</x:v>
      </x:c>
      <x:c r="AE16" s="79" t="str">
        <x:v>PASS</x:v>
      </x:c>
      <x:c r="AF16" s="79" t="str">
        <x:v>Omen King: The first stat debuff you successfully apply each turn also deals 2 Magic Armour damage. If the target already has no Magic Armour, it instead applies -10 Precision for 1 turn.</x:v>
      </x:c>
    </x:row>
    <x:row r="17">
      <x:c r="A17" s="79" t="str">
        <x:v>Magpie</x:v>
      </x:c>
      <x:c r="B17" s="79" t="str">
        <x:v>Rogue</x:v>
      </x:c>
      <x:c r="C17" s="79" t="str">
        <x:v>Storm</x:v>
      </x:c>
      <x:c r="D17" s="79" t="str">
        <x:v>Silver Swoop</x:v>
      </x:c>
      <x:c r="E17" s="79" t="str">
        <x:v>After successfully applying Precision Down, your next Finesse weapon skill gains +10 Skill Power against Armour and +10 Precision.</x:v>
      </x:c>
      <x:c r="F17" s="79" t="str">
        <x:v>Once per turn; consumed on hit or miss.</x:v>
      </x:c>
      <x:c r="G17" s="79" t="n">
        <x:v>1</x:v>
      </x:c>
      <x:c r="H17" s="79" t="n">
        <x:v>1.5</x:v>
      </x:c>
      <x:c r="I17" s="79" t="str">
        <x:v>PASS v1.0</x:v>
      </x:c>
      <x:c r="J17" s="79" t="str">
        <x:v>Feather Feint</x:v>
      </x:c>
      <x:c r="K17" s="79" t="n">
        <x:v>1</x:v>
      </x:c>
      <x:c r="L17" s="79" t="n">
        <x:v>2</x:v>
      </x:c>
      <x:c r="M17" s="79" t="str">
        <x:v>Enemy</x:v>
      </x:c>
      <x:c r="N17" s="79" t="str">
        <x:v>Deal 2 Armour damage. If the target has no Armour after the effect, apply -10 Precision for 1 turn.</x:v>
      </x:c>
      <x:c r="O17" s="79" t="n">
        <x:v>1</x:v>
      </x:c>
      <x:c r="P17" s="79" t="n">
        <x:v>2</x:v>
      </x:c>
      <x:c r="Q17" s="79" t="str">
        <x:v>PASS v1.0</x:v>
      </x:c>
      <x:c r="R17" s="79" t="str">
        <x:v>Rogue Tempo</x:v>
      </x:c>
      <x:c r="S17" s="79" t="str">
        <x:v>Once per turn, if acting before the target, your first Weapon Skill 1 gains +10 Precision. If that skill breaks Armour, gain Minor Agility Up (+4 Agility) until the start of your next turn.</x:v>
      </x:c>
      <x:c r="T17" s="79" t="str">
        <x:v>Dagger Pinion, Talon Blade and Shadowplume.</x:v>
      </x:c>
      <x:c r="U17" s="79" t="str">
        <x:v>Replaces generic Martial Damage Up.</x:v>
      </x:c>
      <x:c r="V17" s="79" t="str">
        <x:v>Armour pressure; Finesse weapon skills; Precision</x:v>
      </x:c>
      <x:c r="W17" s="79" t="str">
        <x:v>YES</x:v>
      </x:c>
      <x:c r="X17" s="79" t="str">
        <x:v>—</x:v>
      </x:c>
      <x:c r="Y17" s="79" t="str">
        <x:v>—</x:v>
      </x:c>
      <x:c r="Z17" s="79" t="str">
        <x:v>—</x:v>
      </x:c>
      <x:c r="AA17" s="79" t="str">
        <x:v>—</x:v>
      </x:c>
      <x:c r="AB17" s="79" t="str">
        <x:v>—</x:v>
      </x:c>
      <x:c r="AC17" s="79" t="str">
        <x:v>—</x:v>
      </x:c>
      <x:c r="AD17" s="79" t="str">
        <x:v>PASS</x:v>
      </x:c>
      <x:c r="AE17" s="79" t="str">
        <x:v>PASS</x:v>
      </x:c>
      <x:c r="AF17" s="79" t="str">
        <x:v>Silver Swoop: After successfully applying Precision Down, your next Finesse weapon skill gains +10 Skill Power against Armour and +10 Precision.</x:v>
      </x:c>
    </x:row>
    <x:row r="18">
      <x:c r="A18" s="79" t="str">
        <x:v>Robin</x:v>
      </x:c>
      <x:c r="B18" s="79" t="str">
        <x:v>Bard</x:v>
      </x:c>
      <x:c r="C18" s="79" t="str">
        <x:v>Day</x:v>
      </x:c>
      <x:c r="D18" s="79" t="str">
        <x:v>Dawn-Breast Vow</x:v>
      </x:c>
      <x:c r="E18" s="79" t="str">
        <x:v>After using a support utility, your next Day damaging skill gains +10 Skill Power and restores 2 Magic Armour on hit, capped at its normal maximum.</x:v>
      </x:c>
      <x:c r="F18" s="79" t="str">
        <x:v>Once per turn; consumed on hit or miss.</x:v>
      </x:c>
      <x:c r="G18" s="79" t="n">
        <x:v>1</x:v>
      </x:c>
      <x:c r="H18" s="79" t="n">
        <x:v>1.5</x:v>
      </x:c>
      <x:c r="I18" s="79" t="str">
        <x:v>PASS v1.0</x:v>
      </x:c>
      <x:c r="J18" s="79" t="str">
        <x:v>Bright Chirp</x:v>
      </x:c>
      <x:c r="K18" s="79" t="n">
        <x:v>1</x:v>
      </x:c>
      <x:c r="L18" s="79" t="n">
        <x:v>3</x:v>
      </x:c>
      <x:c r="M18" s="79" t="str">
        <x:v>Self</x:v>
      </x:c>
      <x:c r="N18" s="79" t="str">
        <x:v>Heal 10% Maximum Health and restore 2 Magic Armour.</x:v>
      </x:c>
      <x:c r="O18" s="79" t="n">
        <x:v>2.5</x:v>
      </x:c>
      <x:c r="P18" s="79" t="n">
        <x:v>2.5</x:v>
      </x:c>
      <x:c r="Q18" s="79" t="str">
        <x:v>PASS v1.0</x:v>
      </x:c>
      <x:c r="R18" s="79" t="str">
        <x:v>Verse and Chorus</x:v>
      </x:c>
      <x:c r="S18" s="79" t="str">
        <x:v>Once per turn, when you alternate Martial and Magic damaging skills, the second skill restores 2 to the lower protection pool. If both pools are full, it gains +10 Skill Power instead.</x:v>
      </x:c>
      <x:c r="T18" s="79" t="str">
        <x:v>Day weapons, Dawnfeather and Bard support skills.</x:v>
      </x:c>
      <x:c r="U18" s="79" t="str">
        <x:v>Creates a support-to-offence loop without broad Damage Up.</x:v>
      </x:c>
      <x:c r="V18" s="79" t="str">
        <x:v>Support utility; Skill Power; Magic Armour restoration</x:v>
      </x:c>
      <x:c r="W18" s="79" t="str">
        <x:v>YES</x:v>
      </x:c>
      <x:c r="X18" s="79" t="str">
        <x:v>YES</x:v>
      </x:c>
      <x:c r="Y18" s="79" t="str">
        <x:v>YES</x:v>
      </x:c>
      <x:c r="Z18" s="79" t="str">
        <x:v>—</x:v>
      </x:c>
      <x:c r="AA18" s="79" t="str">
        <x:v>—</x:v>
      </x:c>
      <x:c r="AB18" s="79" t="str">
        <x:v>—</x:v>
      </x:c>
      <x:c r="AC18" s="79" t="str">
        <x:v>—</x:v>
      </x:c>
      <x:c r="AD18" s="79" t="str">
        <x:v>PASS</x:v>
      </x:c>
      <x:c r="AE18" s="79" t="str">
        <x:v>PASS</x:v>
      </x:c>
      <x:c r="AF18" s="79" t="str">
        <x:v>Dawn-Breast Vow: After using a support utility, your next Day damaging skill gains +10 Skill Power and restores 2 Magic Armour on hit, capped at its normal maximum.</x:v>
      </x:c>
    </x:row>
    <x:row r="19">
      <x:c r="A19" s="79" t="str">
        <x:v>Bowerbird</x:v>
      </x:c>
      <x:c r="B19" s="79" t="str">
        <x:v>Siren</x:v>
      </x:c>
      <x:c r="C19" s="79" t="str">
        <x:v>Day</x:v>
      </x:c>
      <x:c r="D19" s="79" t="str">
        <x:v>Jewel Lure</x:v>
      </x:c>
      <x:c r="E19" s="79" t="str">
        <x:v>After using Jewel Display, your next Magic hit deals 2 additional Magic Armour damage. If it damages Health, its ailment or debuff gains +10 percentage points application chance.</x:v>
      </x:c>
      <x:c r="F19" s="79" t="str">
        <x:v>Once per turn; consumed on hit or miss.</x:v>
      </x:c>
      <x:c r="G19" s="79" t="n">
        <x:v>1</x:v>
      </x:c>
      <x:c r="H19" s="79" t="n">
        <x:v>1.5</x:v>
      </x:c>
      <x:c r="I19" s="79" t="str">
        <x:v>PASS v1.0</x:v>
      </x:c>
      <x:c r="J19" s="79" t="str">
        <x:v>Jewel Display</x:v>
      </x:c>
      <x:c r="K19" s="79" t="n">
        <x:v>1</x:v>
      </x:c>
      <x:c r="L19" s="79" t="n">
        <x:v>3</x:v>
      </x:c>
      <x:c r="M19" s="79" t="str">
        <x:v>Enemy</x:v>
      </x:c>
      <x:c r="N19" s="79" t="str">
        <x:v>Apply Jewel Mark for 2 turns. The Mark has no stat penalty, is not blocked by protection and causes the next qualifying debuff after Magic Armour is broken to gain +10 percentage points application chance.</x:v>
      </x:c>
      <x:c r="O19" s="79" t="n">
        <x:v>1.5</x:v>
      </x:c>
      <x:c r="P19" s="79" t="n">
        <x:v>2.5</x:v>
      </x:c>
      <x:c r="Q19" s="79" t="str">
        <x:v>PASS v1.0</x:v>
      </x:c>
      <x:c r="R19" s="79" t="str">
        <x:v>Cursed Call</x:v>
      </x:c>
      <x:c r="S19" s="79" t="str">
        <x:v>Once per turn after you break Magic Armour, the next ailment or stat debuff you apply to that target gains +10 percentage points application chance and lasts 1 additional turn.</x:v>
      </x:c>
      <x:c r="T19" s="79" t="str">
        <x:v>Focus Orb, Hexwood Wand and Siren equipment.</x:v>
      </x:c>
      <x:c r="U19" s="79" t="str">
        <x:v>Jewel Mark is a Mark, not an ailment.</x:v>
      </x:c>
      <x:c r="V19" s="79" t="str">
        <x:v>Mark; Magic Armour break; debuff setup</x:v>
      </x:c>
      <x:c r="W19" s="79" t="str">
        <x:v>YES</x:v>
      </x:c>
      <x:c r="X19" s="79" t="str">
        <x:v>YES</x:v>
      </x:c>
      <x:c r="Y19" s="79" t="str">
        <x:v>—</x:v>
      </x:c>
      <x:c r="Z19" s="79" t="str">
        <x:v>—</x:v>
      </x:c>
      <x:c r="AA19" s="79" t="str">
        <x:v>—</x:v>
      </x:c>
      <x:c r="AB19" s="79" t="str">
        <x:v>—</x:v>
      </x:c>
      <x:c r="AC19" s="79" t="str">
        <x:v>YES</x:v>
      </x:c>
      <x:c r="AD19" s="79" t="str">
        <x:v>PASS</x:v>
      </x:c>
      <x:c r="AE19" s="79" t="str">
        <x:v>PASS</x:v>
      </x:c>
      <x:c r="AF19" s="79" t="str">
        <x:v>Jewel Lure: After using Jewel Display, your next Magic hit deals 2 additional Magic Armour damage. If it damages Health, its ailment or debuff gains +10 percentage points application chance.</x:v>
      </x:c>
    </x:row>
    <x:row r="20">
      <x:c r="A20" s="79" t="str">
        <x:v>Toucan</x:v>
      </x:c>
      <x:c r="B20" s="79" t="str">
        <x:v>Bard</x:v>
      </x:c>
      <x:c r="C20" s="79" t="str">
        <x:v>Day</x:v>
      </x:c>
      <x:c r="D20" s="79" t="str">
        <x:v>Sunfruit Boast</x:v>
      </x:c>
      <x:c r="E20" s="79" t="str">
        <x:v>After using a Day action, your next song or call restores 2 to the lower protection pool and gains +10 Precision.</x:v>
      </x:c>
      <x:c r="F20" s="79" t="str">
        <x:v>Once per turn.</x:v>
      </x:c>
      <x:c r="G20" s="79" t="n">
        <x:v>1</x:v>
      </x:c>
      <x:c r="H20" s="79" t="n">
        <x:v>1.5</x:v>
      </x:c>
      <x:c r="I20" s="79" t="str">
        <x:v>PASS v1.0</x:v>
      </x:c>
      <x:c r="J20" s="79" t="str">
        <x:v>Colour Display</x:v>
      </x:c>
      <x:c r="K20" s="79" t="n">
        <x:v>1</x:v>
      </x:c>
      <x:c r="L20" s="79" t="n">
        <x:v>2</x:v>
      </x:c>
      <x:c r="M20" s="79" t="str">
        <x:v>Self</x:v>
      </x:c>
      <x:c r="N20" s="79" t="str">
        <x:v>Your next damaging skill becomes Day and gains +10 Precision.</x:v>
      </x:c>
      <x:c r="O20" s="79" t="n">
        <x:v>2</x:v>
      </x:c>
      <x:c r="P20" s="79" t="n">
        <x:v>2</x:v>
      </x:c>
      <x:c r="Q20" s="79" t="str">
        <x:v>PASS v1.0</x:v>
      </x:c>
      <x:c r="R20" s="79" t="str">
        <x:v>Verse and Chorus</x:v>
      </x:c>
      <x:c r="S20" s="79" t="str">
        <x:v>Once per turn, when you alternate Martial and Magic damaging skills, the second skill restores 2 to the lower protection pool. If both pools are full, it gains +10 Skill Power instead.</x:v>
      </x:c>
      <x:c r="T20" s="79" t="str">
        <x:v>Bard Song, Talon Blade and mixed Day loadouts.</x:v>
      </x:c>
      <x:c r="U20" s="79" t="str">
        <x:v>Supports flexible affinity and hybrid equipment.</x:v>
      </x:c>
      <x:c r="V20" s="79" t="str">
        <x:v>Affinity conversion; protection restoration; Precision</x:v>
      </x:c>
      <x:c r="W20" s="79" t="str">
        <x:v>—</x:v>
      </x:c>
      <x:c r="X20" s="79" t="str">
        <x:v>—</x:v>
      </x:c>
      <x:c r="Y20" s="79" t="str">
        <x:v>YES</x:v>
      </x:c>
      <x:c r="Z20" s="79" t="str">
        <x:v>—</x:v>
      </x:c>
      <x:c r="AA20" s="79" t="str">
        <x:v>—</x:v>
      </x:c>
      <x:c r="AB20" s="79" t="str">
        <x:v>—</x:v>
      </x:c>
      <x:c r="AC20" s="79" t="str">
        <x:v>—</x:v>
      </x:c>
      <x:c r="AD20" s="79" t="str">
        <x:v>PASS</x:v>
      </x:c>
      <x:c r="AE20" s="79" t="str">
        <x:v>PASS</x:v>
      </x:c>
      <x:c r="AF20" s="79" t="str">
        <x:v>Sunfruit Boast: After using a Day action, your next song or call restores 2 to the lower protection pool and gains +10 Precision.</x:v>
      </x:c>
    </x:row>
    <x:row r="21">
      <x:c r="A21" s="79" t="str">
        <x:v>Swan</x:v>
      </x:c>
      <x:c r="B21" s="79" t="str">
        <x:v>Knight</x:v>
      </x:c>
      <x:c r="C21" s="79" t="str">
        <x:v>Water</x:v>
      </x:c>
      <x:c r="D21" s="79" t="str">
        <x:v>Mirrorlake Oath</x:v>
      </x:c>
      <x:c r="E21" s="79" t="str">
        <x:v>The first time each turn you take damage while above 50% Health, restore 2 Magic Armour, capped at its normal maximum. If Magic Armour is already full, gain Minor Resolve Up (+4 Resolve) until the start of your next turn.</x:v>
      </x:c>
      <x:c r="F21" s="79" t="str">
        <x:v>Once per turn.</x:v>
      </x:c>
      <x:c r="G21" s="79" t="n">
        <x:v>1</x:v>
      </x:c>
      <x:c r="H21" s="79" t="n">
        <x:v>1.5</x:v>
      </x:c>
      <x:c r="I21" s="79" t="str">
        <x:v>PASS v1.0</x:v>
      </x:c>
      <x:c r="J21" s="79" t="str">
        <x:v>Mirror Guard</x:v>
      </x:c>
      <x:c r="K21" s="79" t="n">
        <x:v>1</x:v>
      </x:c>
      <x:c r="L21" s="79" t="n">
        <x:v>3</x:v>
      </x:c>
      <x:c r="M21" s="79" t="str">
        <x:v>Self</x:v>
      </x:c>
      <x:c r="N21" s="79" t="str">
        <x:v>Gain 6 Ward Magic Armour for 2 turns.</x:v>
      </x:c>
      <x:c r="O21" s="79" t="n">
        <x:v>1.5</x:v>
      </x:c>
      <x:c r="P21" s="79" t="n">
        <x:v>2.5</x:v>
      </x:c>
      <x:c r="Q21" s="79" t="str">
        <x:v>PASS v1.0</x:v>
      </x:c>
      <x:c r="R21" s="79" t="str">
        <x:v>Bulwark Oath</x:v>
      </x:c>
      <x:c r="S21" s="79" t="str">
        <x:v>Once per turn, after using Armour Restoration or Fortify, gain Minor Guard Up (+4 Guard) until the start of your next turn.</x:v>
      </x:c>
      <x:c r="T21" s="79" t="str">
        <x:v>Runewoven, Layered Scale and shield builds.</x:v>
      </x:c>
      <x:c r="U21" s="79" t="str">
        <x:v>Replaces the legacy Health-based Barrier.</x:v>
      </x:c>
      <x:c r="V21" s="79" t="str">
        <x:v>Magic Armour restoration; Ward; Resolve</x:v>
      </x:c>
      <x:c r="W21" s="79" t="str">
        <x:v>YES</x:v>
      </x:c>
      <x:c r="X21" s="79" t="str">
        <x:v>YES</x:v>
      </x:c>
      <x:c r="Y21" s="79" t="str">
        <x:v>YES</x:v>
      </x:c>
      <x:c r="Z21" s="79" t="str">
        <x:v>—</x:v>
      </x:c>
      <x:c r="AA21" s="79" t="str">
        <x:v>YES</x:v>
      </x:c>
      <x:c r="AB21" s="79" t="str">
        <x:v>—</x:v>
      </x:c>
      <x:c r="AC21" s="79" t="str">
        <x:v>—</x:v>
      </x:c>
      <x:c r="AD21" s="79" t="str">
        <x:v>PASS</x:v>
      </x:c>
      <x:c r="AE21" s="79" t="str">
        <x:v>PASS</x:v>
      </x:c>
      <x:c r="AF21" s="79" t="str">
        <x:v>Mirrorlake Oath: The first time each turn you take damage while above 50% Health, restore 2 Magic Armour, capped at its normal maximum. If Magic Armour is already full, gain Minor Resolve Up (+4 Resolve) until the start of your next turn.</x:v>
      </x:c>
    </x:row>
    <x:row r="22">
      <x:c r="A22" s="79" t="str">
        <x:v>Flamingo</x:v>
      </x:c>
      <x:c r="B22" s="79" t="str">
        <x:v>Siren</x:v>
      </x:c>
      <x:c r="C22" s="79" t="str">
        <x:v>Water</x:v>
      </x:c>
      <x:c r="D22" s="79" t="str">
        <x:v>Elegant Balance</x:v>
      </x:c>
      <x:c r="E22" s="79" t="str">
        <x:v>After successfully applying a debuff, gain Minor Agility Up (+4 Agility) until the start of your next turn and restore 1 Magic Armour.</x:v>
      </x:c>
      <x:c r="F22" s="79" t="str">
        <x:v>Once per turn.</x:v>
      </x:c>
      <x:c r="G22" s="79" t="n">
        <x:v>1</x:v>
      </x:c>
      <x:c r="H22" s="79" t="n">
        <x:v>1.5</x:v>
      </x:c>
      <x:c r="I22" s="79" t="str">
        <x:v>PASS v1.0</x:v>
      </x:c>
      <x:c r="J22" s="79" t="str">
        <x:v>Balance Pose</x:v>
      </x:c>
      <x:c r="K22" s="79" t="n">
        <x:v>1</x:v>
      </x:c>
      <x:c r="L22" s="79" t="n">
        <x:v>2</x:v>
      </x:c>
      <x:c r="M22" s="79" t="str">
        <x:v>Self</x:v>
      </x:c>
      <x:c r="N22" s="79" t="str">
        <x:v>Gain Minor Agility Up (+4 Agility) and Minor Resolve Up (+4 Resolve) until the start of your next turn.</x:v>
      </x:c>
      <x:c r="O22" s="79" t="n">
        <x:v>2</x:v>
      </x:c>
      <x:c r="P22" s="79" t="n">
        <x:v>2</x:v>
      </x:c>
      <x:c r="Q22" s="79" t="str">
        <x:v>PASS v1.0</x:v>
      </x:c>
      <x:c r="R22" s="79" t="str">
        <x:v>Cursed Call</x:v>
      </x:c>
      <x:c r="S22" s="79" t="str">
        <x:v>Once per turn after you break Magic Armour, the next ailment or stat debuff you apply to that target gains +10 percentage points application chance and lasts 1 additional turn.</x:v>
      </x:c>
      <x:c r="T22" s="79" t="str">
        <x:v>Crystalwind, Focus Orb and Siren tempo builds.</x:v>
      </x:c>
      <x:c r="U22" s="79" t="str">
        <x:v>Evasion wording replaced with Agility.</x:v>
      </x:c>
      <x:c r="V22" s="79" t="str">
        <x:v>Debuffs; Agility; Magic Armour restoration</x:v>
      </x:c>
      <x:c r="W22" s="79" t="str">
        <x:v>YES</x:v>
      </x:c>
      <x:c r="X22" s="79" t="str">
        <x:v>YES</x:v>
      </x:c>
      <x:c r="Y22" s="79" t="str">
        <x:v>YES</x:v>
      </x:c>
      <x:c r="Z22" s="79" t="str">
        <x:v>—</x:v>
      </x:c>
      <x:c r="AA22" s="79" t="str">
        <x:v>—</x:v>
      </x:c>
      <x:c r="AB22" s="79" t="str">
        <x:v>—</x:v>
      </x:c>
      <x:c r="AC22" s="79" t="str">
        <x:v>—</x:v>
      </x:c>
      <x:c r="AD22" s="79" t="str">
        <x:v>PASS</x:v>
      </x:c>
      <x:c r="AE22" s="79" t="str">
        <x:v>PASS</x:v>
      </x:c>
      <x:c r="AF22" s="79" t="str">
        <x:v>Elegant Balance: After successfully applying a debuff, gain Minor Agility Up (+4 Agility) until the start of your next turn and restore 1 Magic Armour.</x:v>
      </x:c>
    </x:row>
    <x:row r="23">
      <x:c r="A23" s="79" t="str">
        <x:v>Secretary Bird</x:v>
      </x:c>
      <x:c r="B23" s="79" t="str">
        <x:v>Knight</x:v>
      </x:c>
      <x:c r="C23" s="79" t="str">
        <x:v>Earth</x:v>
      </x:c>
      <x:c r="D23" s="79" t="str">
        <x:v>Serpent-Bane Writ</x:v>
      </x:c>
      <x:c r="E23" s="79" t="str">
        <x:v>Once per turn after Armour absorbs physical damage, your next Strength weapon skill gains +10 Skill Power against Armour.</x:v>
      </x:c>
      <x:c r="F23" s="79" t="str">
        <x:v>Once per turn; consumed on hit or miss.</x:v>
      </x:c>
      <x:c r="G23" s="79" t="n">
        <x:v>1</x:v>
      </x:c>
      <x:c r="H23" s="79" t="n">
        <x:v>1.5</x:v>
      </x:c>
      <x:c r="I23" s="79" t="str">
        <x:v>PASS v1.0</x:v>
      </x:c>
      <x:c r="J23" s="79" t="str">
        <x:v>Hunter Stride</x:v>
      </x:c>
      <x:c r="K23" s="79" t="n">
        <x:v>1</x:v>
      </x:c>
      <x:c r="L23" s="79" t="n">
        <x:v>2</x:v>
      </x:c>
      <x:c r="M23" s="79" t="str">
        <x:v>Self</x:v>
      </x:c>
      <x:c r="N23" s="79" t="str">
        <x:v>Gain Minor Agility Up (+4 Agility) and +10 Precision until the start of your next turn.</x:v>
      </x:c>
      <x:c r="O23" s="79" t="n">
        <x:v>2</x:v>
      </x:c>
      <x:c r="P23" s="79" t="n">
        <x:v>2</x:v>
      </x:c>
      <x:c r="Q23" s="79" t="str">
        <x:v>PASS v1.0</x:v>
      </x:c>
      <x:c r="R23" s="79" t="str">
        <x:v>Bulwark Oath</x:v>
      </x:c>
      <x:c r="S23" s="79" t="str">
        <x:v>Once per turn, after using Armour Restoration or Fortify, gain Minor Guard Up (+4 Guard) until the start of your next turn.</x:v>
      </x:c>
      <x:c r="T23" s="79" t="str">
        <x:v>Lance, Beak Hammer and Ironfeather.</x:v>
      </x:c>
      <x:c r="U23" s="79" t="str">
        <x:v>Supports a mobile Knight identity without generic Damage Up.</x:v>
      </x:c>
      <x:c r="V23" s="79" t="str">
        <x:v>Armour absorption; Strength weapon skills</x:v>
      </x:c>
      <x:c r="W23" s="79" t="str">
        <x:v>YES</x:v>
      </x:c>
      <x:c r="X23" s="79" t="str">
        <x:v>—</x:v>
      </x:c>
      <x:c r="Y23" s="79" t="str">
        <x:v>—</x:v>
      </x:c>
      <x:c r="Z23" s="79" t="str">
        <x:v>—</x:v>
      </x:c>
      <x:c r="AA23" s="79" t="str">
        <x:v>—</x:v>
      </x:c>
      <x:c r="AB23" s="79" t="str">
        <x:v>Armour</x:v>
      </x:c>
      <x:c r="AC23" s="79" t="str">
        <x:v>—</x:v>
      </x:c>
      <x:c r="AD23" s="79" t="str">
        <x:v>PASS</x:v>
      </x:c>
      <x:c r="AE23" s="79" t="str">
        <x:v>PASS</x:v>
      </x:c>
      <x:c r="AF23" s="79" t="str">
        <x:v>Serpent-Bane Writ: Once per turn after Armour absorbs physical damage, your next Strength weapon skill gains +10 Skill Power against Armour.</x:v>
      </x:c>
    </x:row>
    <x:row r="24">
      <x:c r="A24" s="79" t="str">
        <x:v>Albatross</x:v>
      </x:c>
      <x:c r="B24" s="79" t="str">
        <x:v>Inquisitor</x:v>
      </x:c>
      <x:c r="C24" s="79" t="str">
        <x:v>Water</x:v>
      </x:c>
      <x:c r="D24" s="79" t="str">
        <x:v>Horizon Oath</x:v>
      </x:c>
      <x:c r="E24" s="79" t="str">
        <x:v>After using a Magic action, restore 2 Magic Armour. If Magic Armour is full, gain +10 Precision until the start of your next turn.</x:v>
      </x:c>
      <x:c r="F24" s="79" t="str">
        <x:v>Once per turn.</x:v>
      </x:c>
      <x:c r="G24" s="79" t="n">
        <x:v>1</x:v>
      </x:c>
      <x:c r="H24" s="79" t="n">
        <x:v>1.5</x:v>
      </x:c>
      <x:c r="I24" s="79" t="str">
        <x:v>PASS v1.0</x:v>
      </x:c>
      <x:c r="J24" s="79" t="str">
        <x:v>Horizon Glide</x:v>
      </x:c>
      <x:c r="K24" s="79" t="n">
        <x:v>1</x:v>
      </x:c>
      <x:c r="L24" s="79" t="n">
        <x:v>3</x:v>
      </x:c>
      <x:c r="M24" s="79" t="str">
        <x:v>Self</x:v>
      </x:c>
      <x:c r="N24" s="79" t="str">
        <x:v>Cleanse 1 debuff and restore 4 Magic Armour, capped at its normal maximum.</x:v>
      </x:c>
      <x:c r="O24" s="79" t="n">
        <x:v>2</x:v>
      </x:c>
      <x:c r="P24" s="79" t="n">
        <x:v>2.5</x:v>
      </x:c>
      <x:c r="Q24" s="79" t="str">
        <x:v>PASS v1.0</x:v>
      </x:c>
      <x:c r="R24" s="79" t="str">
        <x:v>Judgement Leech</x:v>
      </x:c>
      <x:c r="S24" s="79" t="str">
        <x:v>Once per turn after a damaging skill hits an ailmented, debuffed or Marked target, restore 2 to the lower of Armour or Magic Armour, capped at its normal maximum. If both pools are full, heal 5% Maximum Health.</x:v>
      </x:c>
      <x:c r="T24" s="79" t="str">
        <x:v>Bell Sceptre, Focus Orb and Dawnfeather.</x:v>
      </x:c>
      <x:c r="U24" s="79" t="str">
        <x:v>Connects Inquisitor sustain to the new protection pools.</x:v>
      </x:c>
      <x:c r="V24" s="79" t="str">
        <x:v>Magic Armour restoration; cleansing; Precision</x:v>
      </x:c>
      <x:c r="W24" s="79" t="str">
        <x:v>YES</x:v>
      </x:c>
      <x:c r="X24" s="79" t="str">
        <x:v>YES</x:v>
      </x:c>
      <x:c r="Y24" s="79" t="str">
        <x:v>YES</x:v>
      </x:c>
      <x:c r="Z24" s="79" t="str">
        <x:v>—</x:v>
      </x:c>
      <x:c r="AA24" s="79" t="str">
        <x:v>—</x:v>
      </x:c>
      <x:c r="AB24" s="79" t="str">
        <x:v>—</x:v>
      </x:c>
      <x:c r="AC24" s="79" t="str">
        <x:v>—</x:v>
      </x:c>
      <x:c r="AD24" s="79" t="str">
        <x:v>PASS</x:v>
      </x:c>
      <x:c r="AE24" s="79" t="str">
        <x:v>PASS</x:v>
      </x:c>
      <x:c r="AF24" s="79" t="str">
        <x:v>Horizon Oath: After using a Magic action, restore 2 Magic Armour. If Magic Armour is full, gain +10 Precision until the start of your next turn.</x:v>
      </x:c>
    </x:row>
    <x:row r="25">
      <x:c r="A25" s="79" t="str">
        <x:v>Seagull</x:v>
      </x:c>
      <x:c r="B25" s="79" t="str">
        <x:v>Rogue</x:v>
      </x:c>
      <x:c r="C25" s="79" t="str">
        <x:v>Water</x:v>
      </x:c>
      <x:c r="D25" s="79" t="str">
        <x:v>Dockside Raider</x:v>
      </x:c>
      <x:c r="E25" s="79" t="str">
        <x:v>After damaging a debuffed or Marked target, restore 1 to the lower protection pool and gain Minor Agility Up (+4 Agility) until the start of your next turn.</x:v>
      </x:c>
      <x:c r="F25" s="79" t="str">
        <x:v>Once per turn.</x:v>
      </x:c>
      <x:c r="G25" s="79" t="n">
        <x:v>1</x:v>
      </x:c>
      <x:c r="H25" s="79" t="n">
        <x:v>1.5</x:v>
      </x:c>
      <x:c r="I25" s="79" t="str">
        <x:v>PASS v1.0</x:v>
      </x:c>
      <x:c r="J25" s="79" t="str">
        <x:v>Scavenger's Step</x:v>
      </x:c>
      <x:c r="K25" s="79" t="n">
        <x:v>1</x:v>
      </x:c>
      <x:c r="L25" s="79" t="n">
        <x:v>2</x:v>
      </x:c>
      <x:c r="M25" s="79" t="str">
        <x:v>Self</x:v>
      </x:c>
      <x:c r="N25" s="79" t="str">
        <x:v>Cleanse 1 stat debuff. If a debuff is cleansed, restore 2 to the lower protection pool and gain Minor Agility Up (+4 Agility) until the start of your next turn.</x:v>
      </x:c>
      <x:c r="O25" s="79" t="n">
        <x:v>2</x:v>
      </x:c>
      <x:c r="P25" s="79" t="n">
        <x:v>2</x:v>
      </x:c>
      <x:c r="Q25" s="79" t="str">
        <x:v>PASS v1.0</x:v>
      </x:c>
      <x:c r="R25" s="79" t="str">
        <x:v>Rogue Tempo</x:v>
      </x:c>
      <x:c r="S25" s="79" t="str">
        <x:v>Once per turn, if acting before the target, your first Weapon Skill 1 gains +10 Precision. If that skill breaks Armour, gain Minor Agility Up (+4 Agility) until the start of your next turn.</x:v>
      </x:c>
      <x:c r="T25" s="79" t="str">
        <x:v>Light gear, marks and Rogue Tempo.</x:v>
      </x:c>
      <x:c r="U25" s="79" t="str">
        <x:v>Maintains scavenger sustain without Barrier.</x:v>
      </x:c>
      <x:c r="V25" s="79" t="str">
        <x:v>Debuffs; protection restoration; Agility</x:v>
      </x:c>
      <x:c r="W25" s="79" t="str">
        <x:v>—</x:v>
      </x:c>
      <x:c r="X25" s="79" t="str">
        <x:v>—</x:v>
      </x:c>
      <x:c r="Y25" s="79" t="str">
        <x:v>YES</x:v>
      </x:c>
      <x:c r="Z25" s="79" t="str">
        <x:v>—</x:v>
      </x:c>
      <x:c r="AA25" s="79" t="str">
        <x:v>—</x:v>
      </x:c>
      <x:c r="AB25" s="79" t="str">
        <x:v>—</x:v>
      </x:c>
      <x:c r="AC25" s="79" t="str">
        <x:v>—</x:v>
      </x:c>
      <x:c r="AD25" s="79" t="str">
        <x:v>PASS</x:v>
      </x:c>
      <x:c r="AE25" s="79" t="str">
        <x:v>PASS</x:v>
      </x:c>
      <x:c r="AF25" s="79" t="str">
        <x:v>Dockside Raider: After damaging a debuffed or Marked target, restore 1 to the lower protection pool and gain Minor Agility Up (+4 Agility) until the start of your next turn.</x:v>
      </x:c>
    </x:row>
    <x:row r="26">
      <x:c r="A26" s="79" t="str">
        <x:v>Goose</x:v>
      </x:c>
      <x:c r="B26" s="79" t="str">
        <x:v>Brute</x:v>
      </x:c>
      <x:c r="C26" s="79" t="str">
        <x:v>Water</x:v>
      </x:c>
      <x:c r="D26" s="79" t="str">
        <x:v>Marshlord Challenge</x:v>
      </x:c>
      <x:c r="E26" s="79" t="str">
        <x:v>The first time each turn Armour absorbs physical damage, restore 1 Armour after the hit, capped at normal Maximum Armour.</x:v>
      </x:c>
      <x:c r="F26" s="79" t="str">
        <x:v>Once per turn.</x:v>
      </x:c>
      <x:c r="G26" s="79" t="n">
        <x:v>1</x:v>
      </x:c>
      <x:c r="H26" s="79" t="n">
        <x:v>1.5</x:v>
      </x:c>
      <x:c r="I26" s="79" t="str">
        <x:v>PASS v1.0</x:v>
      </x:c>
      <x:c r="J26" s="79" t="str">
        <x:v>Territorial Honk</x:v>
      </x:c>
      <x:c r="K26" s="79" t="n">
        <x:v>1</x:v>
      </x:c>
      <x:c r="L26" s="79" t="n">
        <x:v>2</x:v>
      </x:c>
      <x:c r="M26" s="79" t="str">
        <x:v>Enemy</x:v>
      </x:c>
      <x:c r="N26" s="79" t="str">
        <x:v>Deal 3 Magic Armour damage. If the effect reaches Health, apply Minor Might Down (-4 Might) for 1 turn.</x:v>
      </x:c>
      <x:c r="O26" s="79" t="n">
        <x:v>1</x:v>
      </x:c>
      <x:c r="P26" s="79" t="n">
        <x:v>2</x:v>
      </x:c>
      <x:c r="Q26" s="79" t="str">
        <x:v>PASS v1.0</x:v>
      </x:c>
      <x:c r="R26" s="79" t="str">
        <x:v>Crushing Momentum</x:v>
      </x:c>
      <x:c r="S26" s="79" t="str">
        <x:v>Once per turn after Armour absorbs physical damage, your next Strength weapon skill gains +10 Skill Power.</x:v>
      </x:c>
      <x:c r="T26" s="79" t="str">
        <x:v>Ironfeather, shields and Crushing Momentum.</x:v>
      </x:c>
      <x:c r="U26" s="79" t="str">
        <x:v>No separate Brute passive or hidden multiplier.</x:v>
      </x:c>
      <x:c r="V26" s="79" t="str">
        <x:v>Armour absorption; Armour restoration; Magic Armour pressure</x:v>
      </x:c>
      <x:c r="W26" s="79" t="str">
        <x:v>YES</x:v>
      </x:c>
      <x:c r="X26" s="79" t="str">
        <x:v>YES</x:v>
      </x:c>
      <x:c r="Y26" s="79" t="str">
        <x:v>YES</x:v>
      </x:c>
      <x:c r="Z26" s="79" t="str">
        <x:v>—</x:v>
      </x:c>
      <x:c r="AA26" s="79" t="str">
        <x:v>—</x:v>
      </x:c>
      <x:c r="AB26" s="79" t="str">
        <x:v>Armour / Magic Armour</x:v>
      </x:c>
      <x:c r="AC26" s="79" t="str">
        <x:v>—</x:v>
      </x:c>
      <x:c r="AD26" s="79" t="str">
        <x:v>PASS</x:v>
      </x:c>
      <x:c r="AE26" s="79" t="str">
        <x:v>PASS</x:v>
      </x:c>
      <x:c r="AF26" s="79" t="str">
        <x:v>Marshlord Challenge: The first time each turn Armour absorbs physical damage, restore 1 Armour after the hit, capped at normal Maximum Armour.</x:v>
      </x:c>
    </x:row>
    <x:row r="27">
      <x:c r="A27" s="79" t="str">
        <x:v>Shoebill Stork</x:v>
      </x:c>
      <x:c r="B27" s="79" t="str">
        <x:v>Brute</x:v>
      </x:c>
      <x:c r="C27" s="79" t="str">
        <x:v>Water</x:v>
      </x:c>
      <x:c r="D27" s="79" t="str">
        <x:v>Boghammer Patience</x:v>
      </x:c>
      <x:c r="E27" s="79" t="str">
        <x:v>If you did not use a damaging action during your previous turn, your next Strength weapon skill gains +20 Skill Power and deals 2 additional Armour damage.</x:v>
      </x:c>
      <x:c r="F27" s="79" t="str">
        <x:v>Consumed on hit or miss; cannot trigger on the first turn.</x:v>
      </x:c>
      <x:c r="G27" s="79" t="n">
        <x:v>1.25</x:v>
      </x:c>
      <x:c r="H27" s="79" t="n">
        <x:v>1.5</x:v>
      </x:c>
      <x:c r="I27" s="79" t="str">
        <x:v>PASS v1.0</x:v>
      </x:c>
      <x:c r="J27" s="79" t="str">
        <x:v>Silent Stance</x:v>
      </x:c>
      <x:c r="K27" s="79" t="n">
        <x:v>1</x:v>
      </x:c>
      <x:c r="L27" s="79" t="n">
        <x:v>3</x:v>
      </x:c>
      <x:c r="M27" s="79" t="str">
        <x:v>Self</x:v>
      </x:c>
      <x:c r="N27" s="79" t="str">
        <x:v>Gain 4 Fortified Armour and Minor Resolve Up (+4 Resolve) for 1 turn.</x:v>
      </x:c>
      <x:c r="O27" s="79" t="n">
        <x:v>2</x:v>
      </x:c>
      <x:c r="P27" s="79" t="n">
        <x:v>2</x:v>
      </x:c>
      <x:c r="Q27" s="79" t="str">
        <x:v>PASS v1.0</x:v>
      </x:c>
      <x:c r="R27" s="79" t="str">
        <x:v>Crushing Momentum</x:v>
      </x:c>
      <x:c r="S27" s="79" t="str">
        <x:v>Once per turn after Armour absorbs physical damage, your next Strength weapon skill gains +10 Skill Power.</x:v>
      </x:c>
      <x:c r="T27" s="79" t="str">
        <x:v>Beak Hammer, Greatblade and heavy equipment.</x:v>
      </x:c>
      <x:c r="U27" s="79" t="str">
        <x:v>Patience trades tempo for a stronger Armour-breaking turn.</x:v>
      </x:c>
      <x:c r="V27" s="79" t="str">
        <x:v>Fortify; Armour damage; Strength setup</x:v>
      </x:c>
      <x:c r="W27" s="79" t="str">
        <x:v>YES</x:v>
      </x:c>
      <x:c r="X27" s="79" t="str">
        <x:v>—</x:v>
      </x:c>
      <x:c r="Y27" s="79" t="str">
        <x:v>—</x:v>
      </x:c>
      <x:c r="Z27" s="79" t="str">
        <x:v>YES</x:v>
      </x:c>
      <x:c r="AA27" s="79" t="str">
        <x:v>—</x:v>
      </x:c>
      <x:c r="AB27" s="79" t="str">
        <x:v>Armour</x:v>
      </x:c>
      <x:c r="AC27" s="79" t="str">
        <x:v>—</x:v>
      </x:c>
      <x:c r="AD27" s="79" t="str">
        <x:v>PASS</x:v>
      </x:c>
      <x:c r="AE27" s="79" t="str">
        <x:v>PASS</x:v>
      </x:c>
      <x:c r="AF27" s="79" t="str">
        <x:v>Boghammer Patience: If you did not use a damaging action during your previous turn, your next Strength weapon skill gains +20 Skill Power and deals 2 additional Armour damage.</x:v>
      </x:c>
    </x:row>
    <x:row r="28">
      <x:c r="A28" s="79" t="str">
        <x:v>Harpy Eagle</x:v>
      </x:c>
      <x:c r="B28" s="79" t="str">
        <x:v>Rogue</x:v>
      </x:c>
      <x:c r="C28" s="79" t="str">
        <x:v>Sky</x:v>
      </x:c>
      <x:c r="D28" s="79" t="str">
        <x:v>Canopy Claim</x:v>
      </x:c>
      <x:c r="E28" s="79" t="str">
        <x:v>Your first Finesse weapon skill after using Predator Grip ignores 4 Guard and deals 2 additional Armour damage.</x:v>
      </x:c>
      <x:c r="F28" s="79" t="str">
        <x:v>Consumed on hit or miss; penetration remains subject to the normal cap.</x:v>
      </x:c>
      <x:c r="G28" s="79" t="n">
        <x:v>1</x:v>
      </x:c>
      <x:c r="H28" s="79" t="n">
        <x:v>1.5</x:v>
      </x:c>
      <x:c r="I28" s="79" t="str">
        <x:v>PASS v1.0</x:v>
      </x:c>
      <x:c r="J28" s="79" t="str">
        <x:v>Predator Grip</x:v>
      </x:c>
      <x:c r="K28" s="79" t="n">
        <x:v>1</x:v>
      </x:c>
      <x:c r="L28" s="79" t="n">
        <x:v>3</x:v>
      </x:c>
      <x:c r="M28" s="79" t="str">
        <x:v>Enemy</x:v>
      </x:c>
      <x:c r="N28" s="79" t="str">
        <x:v>Apply Predator Mark for 2 turns. Your attacks gain +10 Precision against the marked target.</x:v>
      </x:c>
      <x:c r="O28" s="79" t="n">
        <x:v>2</x:v>
      </x:c>
      <x:c r="P28" s="79" t="n">
        <x:v>2.5</x:v>
      </x:c>
      <x:c r="Q28" s="79" t="str">
        <x:v>PASS v1.0</x:v>
      </x:c>
      <x:c r="R28" s="79" t="str">
        <x:v>Rogue Tempo</x:v>
      </x:c>
      <x:c r="S28" s="79" t="str">
        <x:v>Once per turn, if acting before the target, your first Weapon Skill 1 gains +10 Precision. If that skill breaks Armour, gain Minor Agility Up (+4 Agility) until the start of your next turn.</x:v>
      </x:c>
      <x:c r="T28" s="79" t="str">
        <x:v>Greatbow, Talon Blade and Shadowplume.</x:v>
      </x:c>
      <x:c r="U28" s="79" t="str">
        <x:v>Predator Mark is not a stat debuff.</x:v>
      </x:c>
      <x:c r="V28" s="79" t="str">
        <x:v>Mark; Armour damage; flat penetration</x:v>
      </x:c>
      <x:c r="W28" s="79" t="str">
        <x:v>YES</x:v>
      </x:c>
      <x:c r="X28" s="79" t="str">
        <x:v>—</x:v>
      </x:c>
      <x:c r="Y28" s="79" t="str">
        <x:v>—</x:v>
      </x:c>
      <x:c r="Z28" s="79" t="str">
        <x:v>—</x:v>
      </x:c>
      <x:c r="AA28" s="79" t="str">
        <x:v>—</x:v>
      </x:c>
      <x:c r="AB28" s="79" t="str">
        <x:v>Armour</x:v>
      </x:c>
      <x:c r="AC28" s="79" t="str">
        <x:v>—</x:v>
      </x:c>
      <x:c r="AD28" s="79" t="str">
        <x:v>PASS</x:v>
      </x:c>
      <x:c r="AE28" s="79" t="str">
        <x:v>PASS</x:v>
      </x:c>
      <x:c r="AF28" s="79" t="str">
        <x:v>Canopy Claim: Your first Finesse weapon skill after using Predator Grip ignores 4 Guard and deals 2 additional Armour damage.</x:v>
      </x:c>
    </x:row>
    <x:row r="29">
      <x:c r="A29" s="79" t="str">
        <x:v>Bald Eagle</x:v>
      </x:c>
      <x:c r="B29" s="79" t="str">
        <x:v>Inquisitor</x:v>
      </x:c>
      <x:c r="C29" s="79" t="str">
        <x:v>Sky</x:v>
      </x:c>
      <x:c r="D29" s="79" t="str">
        <x:v>Predatory Focus</x:v>
      </x:c>
      <x:c r="E29" s="79" t="str">
        <x:v>After landing a critical hit, restore 2 to the lower protection pool. If both pools are full, gain +10 Precision until the start of your next turn.</x:v>
      </x:c>
      <x:c r="F29" s="79" t="str">
        <x:v>Once per turn.</x:v>
      </x:c>
      <x:c r="G29" s="79" t="n">
        <x:v>1</x:v>
      </x:c>
      <x:c r="H29" s="79" t="n">
        <x:v>1.5</x:v>
      </x:c>
      <x:c r="I29" s="79" t="str">
        <x:v>PASS v1.0</x:v>
      </x:c>
      <x:c r="J29" s="79" t="str">
        <x:v>Starbanner Aegis</x:v>
      </x:c>
      <x:c r="K29" s="79" t="n">
        <x:v>1</x:v>
      </x:c>
      <x:c r="L29" s="79" t="n">
        <x:v>3</x:v>
      </x:c>
      <x:c r="M29" s="79" t="str">
        <x:v>Self</x:v>
      </x:c>
      <x:c r="N29" s="79" t="str">
        <x:v>Gain 4 Fortified Armour and 4 Ward Magic Armour for 1 turn.</x:v>
      </x:c>
      <x:c r="O29" s="79" t="n">
        <x:v>1.5</x:v>
      </x:c>
      <x:c r="P29" s="79" t="n">
        <x:v>2.5</x:v>
      </x:c>
      <x:c r="Q29" s="79" t="str">
        <x:v>PASS v1.0</x:v>
      </x:c>
      <x:c r="R29" s="79" t="str">
        <x:v>Judgement Leech</x:v>
      </x:c>
      <x:c r="S29" s="79" t="str">
        <x:v>Once per turn after a damaging skill hits an ailmented, debuffed or Marked target, restore 2 to the lower of Armour or Magic Armour, capped at its normal maximum. If both pools are full, heal 5% Maximum Health.</x:v>
      </x:c>
      <x:c r="T29" s="79" t="str">
        <x:v>Balanced defensive sets and Judgement Leech.</x:v>
      </x:c>
      <x:c r="U29" s="79" t="str">
        <x:v>Replaces the legacy Barrier with a small dual-pool Aegis.</x:v>
      </x:c>
      <x:c r="V29" s="79" t="str">
        <x:v>Critical; Bastion/Aegis; protection restoration</x:v>
      </x:c>
      <x:c r="W29" s="79" t="str">
        <x:v>YES</x:v>
      </x:c>
      <x:c r="X29" s="79" t="str">
        <x:v>YES</x:v>
      </x:c>
      <x:c r="Y29" s="79" t="str">
        <x:v>YES</x:v>
      </x:c>
      <x:c r="Z29" s="79" t="str">
        <x:v>YES</x:v>
      </x:c>
      <x:c r="AA29" s="79" t="str">
        <x:v>YES</x:v>
      </x:c>
      <x:c r="AB29" s="79" t="str">
        <x:v>—</x:v>
      </x:c>
      <x:c r="AC29" s="79" t="str">
        <x:v>—</x:v>
      </x:c>
      <x:c r="AD29" s="79" t="str">
        <x:v>PASS</x:v>
      </x:c>
      <x:c r="AE29" s="79" t="str">
        <x:v>PASS</x:v>
      </x:c>
      <x:c r="AF29" s="79" t="str">
        <x:v>Predatory Focus: After landing a critical hit, restore 2 to the lower protection pool. If both pools are full, gain +10 Precision until the start of your next turn.</x:v>
      </x:c>
    </x:row>
    <x:row r="30">
      <x:c r="A30" s="79" t="str">
        <x:v>Emperor Penguin</x:v>
      </x:c>
      <x:c r="B30" s="79" t="str">
        <x:v>Inquisitor</x:v>
      </x:c>
      <x:c r="C30" s="79" t="str">
        <x:v>Water</x:v>
      </x:c>
      <x:c r="D30" s="79" t="str">
        <x:v>Polar Resilience</x:v>
      </x:c>
      <x:c r="E30" s="79" t="str">
        <x:v>After successfully applying Chilled, restore 2 Magic Armour. If Magic Armour is full, gain Minor Resolve Up (+4 Resolve) until the start of your next turn.</x:v>
      </x:c>
      <x:c r="F30" s="79" t="str">
        <x:v>Once per turn.</x:v>
      </x:c>
      <x:c r="G30" s="79" t="n">
        <x:v>1</x:v>
      </x:c>
      <x:c r="H30" s="79" t="n">
        <x:v>1.5</x:v>
      </x:c>
      <x:c r="I30" s="79" t="str">
        <x:v>PASS v1.0</x:v>
      </x:c>
      <x:c r="J30" s="79" t="str">
        <x:v>Snow Wall</x:v>
      </x:c>
      <x:c r="K30" s="79" t="n">
        <x:v>1</x:v>
      </x:c>
      <x:c r="L30" s="79" t="n">
        <x:v>3</x:v>
      </x:c>
      <x:c r="M30" s="79" t="str">
        <x:v>Self</x:v>
      </x:c>
      <x:c r="N30" s="79" t="str">
        <x:v>Gain 6 Ward Magic Armour for 2 turns. The first enemy physical hit while Ward remains deals 2 Magic Armour damage back to the attacker.</x:v>
      </x:c>
      <x:c r="O30" s="79" t="n">
        <x:v>3.5</x:v>
      </x:c>
      <x:c r="P30" s="79" t="n">
        <x:v>2.5</x:v>
      </x:c>
      <x:c r="Q30" s="79" t="str">
        <x:v>PASS v1.0</x:v>
      </x:c>
      <x:c r="R30" s="79" t="str">
        <x:v>Judgement Leech</x:v>
      </x:c>
      <x:c r="S30" s="79" t="str">
        <x:v>Once per turn after a damaging skill hits an ailmented, debuffed or Marked target, restore 2 to the lower of Armour or Magic Armour, capped at its normal maximum. If both pools are full, heal 5% Maximum Health.</x:v>
      </x:c>
      <x:c r="T30" s="79" t="str">
        <x:v>Frost infusion, Runewoven and Judgement Leech.</x:v>
      </x:c>
      <x:c r="U30" s="79" t="str">
        <x:v>Retaliation damages protection and does not bypass ailment gates.</x:v>
      </x:c>
      <x:c r="V30" s="79" t="str">
        <x:v>Chilled; Ward; Magic Armour restoration</x:v>
      </x:c>
      <x:c r="W30" s="79" t="str">
        <x:v>YES</x:v>
      </x:c>
      <x:c r="X30" s="79" t="str">
        <x:v>YES</x:v>
      </x:c>
      <x:c r="Y30" s="79" t="str">
        <x:v>YES</x:v>
      </x:c>
      <x:c r="Z30" s="79" t="str">
        <x:v>—</x:v>
      </x:c>
      <x:c r="AA30" s="79" t="str">
        <x:v>YES</x:v>
      </x:c>
      <x:c r="AB30" s="79" t="str">
        <x:v>—</x:v>
      </x:c>
      <x:c r="AC30" s="79" t="str">
        <x:v>—</x:v>
      </x:c>
      <x:c r="AD30" s="79" t="str">
        <x:v>PASS</x:v>
      </x:c>
      <x:c r="AE30" s="79" t="str">
        <x:v>PASS</x:v>
      </x:c>
      <x:c r="AF30" s="79" t="str">
        <x:v>Polar Resilience: After successfully applying Chilled, restore 2 Magic Armour. If Magic Armour is full, gain Minor Resolve Up (+4 Resolve) until the start of your next turn.</x:v>
      </x:c>
    </x:row>
    <x:row r="31">
      <x:c r="A31" s="79" t="str">
        <x:v>Ostrich</x:v>
      </x:c>
      <x:c r="B31" s="79" t="str">
        <x:v>Brute</x:v>
      </x:c>
      <x:c r="C31" s="79" t="str">
        <x:v>Earth</x:v>
      </x:c>
      <x:c r="D31" s="79" t="str">
        <x:v>Sand-King Momentum</x:v>
      </x:c>
      <x:c r="E31" s="79" t="str">
        <x:v>After using Momentum Charge, your next Strength weapon skill gains +20 Skill Power and +10 Precision.</x:v>
      </x:c>
      <x:c r="F31" s="79" t="str">
        <x:v>Consumed on hit or miss; controlled by the utility cooldown.</x:v>
      </x:c>
      <x:c r="G31" s="79" t="n">
        <x:v>1.25</x:v>
      </x:c>
      <x:c r="H31" s="79" t="n">
        <x:v>1.5</x:v>
      </x:c>
      <x:c r="I31" s="79" t="str">
        <x:v>PASS v1.0</x:v>
      </x:c>
      <x:c r="J31" s="79" t="str">
        <x:v>Momentum Charge</x:v>
      </x:c>
      <x:c r="K31" s="79" t="n">
        <x:v>1</x:v>
      </x:c>
      <x:c r="L31" s="79" t="n">
        <x:v>2</x:v>
      </x:c>
      <x:c r="M31" s="79" t="str">
        <x:v>Self</x:v>
      </x:c>
      <x:c r="N31" s="79" t="str">
        <x:v>Gain Minor Agility Up (+4 Agility) until the start of your next turn. Your next Strength weapon skill gains +10 Precision.</x:v>
      </x:c>
      <x:c r="O31" s="79" t="n">
        <x:v>2</x:v>
      </x:c>
      <x:c r="P31" s="79" t="n">
        <x:v>2</x:v>
      </x:c>
      <x:c r="Q31" s="79" t="str">
        <x:v>PASS v1.0</x:v>
      </x:c>
      <x:c r="R31" s="79" t="str">
        <x:v>Crushing Momentum</x:v>
      </x:c>
      <x:c r="S31" s="79" t="str">
        <x:v>Once per turn after Armour absorbs physical damage, your next Strength weapon skill gains +10 Skill Power.</x:v>
      </x:c>
      <x:c r="T31" s="79" t="str">
        <x:v>Greatblade, Lance and Crushing Momentum.</x:v>
      </x:c>
      <x:c r="U31" s="79" t="str">
        <x:v>Replaces generic Martial Damage Up.</x:v>
      </x:c>
      <x:c r="V31" s="79" t="str">
        <x:v>Strength weapon skill; Agility; Precision</x:v>
      </x:c>
      <x:c r="W31" s="79" t="str">
        <x:v>—</x:v>
      </x:c>
      <x:c r="X31" s="79" t="str">
        <x:v>—</x:v>
      </x:c>
      <x:c r="Y31" s="79" t="str">
        <x:v>—</x:v>
      </x:c>
      <x:c r="Z31" s="79" t="str">
        <x:v>—</x:v>
      </x:c>
      <x:c r="AA31" s="79" t="str">
        <x:v>—</x:v>
      </x:c>
      <x:c r="AB31" s="79" t="str">
        <x:v>—</x:v>
      </x:c>
      <x:c r="AC31" s="79" t="str">
        <x:v>—</x:v>
      </x:c>
      <x:c r="AD31" s="79" t="str">
        <x:v>PASS</x:v>
      </x:c>
      <x:c r="AE31" s="79" t="str">
        <x:v>PASS</x:v>
      </x:c>
      <x:c r="AF31" s="79" t="str">
        <x:v>Sand-King Momentum: After using Momentum Charge, your next Strength weapon skill gains +20 Skill Power and +10 Precision.</x:v>
      </x:c>
    </x:row>
    <x:row r="32">
      <x:c r="A32" s="79" t="str">
        <x:v>Cassowary</x:v>
      </x:c>
      <x:c r="B32" s="79" t="str">
        <x:v>Brute</x:v>
      </x:c>
      <x:c r="C32" s="79" t="str">
        <x:v>Earth</x:v>
      </x:c>
      <x:c r="D32" s="79" t="str">
        <x:v>Helmetbreaker Wrath</x:v>
      </x:c>
      <x:c r="E32" s="79" t="str">
        <x:v>Your first Strength weapon skill each turn against a Bleeding or Weakened target gains +10 percentage points Critical Chance and deals 2 additional Armour damage.</x:v>
      </x:c>
      <x:c r="F32" s="79" t="str">
        <x:v>Once per turn; condition must be true before the skill resolves.</x:v>
      </x:c>
      <x:c r="G32" s="79" t="n">
        <x:v>1.25</x:v>
      </x:c>
      <x:c r="H32" s="79" t="n">
        <x:v>1.5</x:v>
      </x:c>
      <x:c r="I32" s="79" t="str">
        <x:v>PASS v1.0</x:v>
      </x:c>
      <x:c r="J32" s="79" t="str">
        <x:v>War Stomp</x:v>
      </x:c>
      <x:c r="K32" s="79" t="n">
        <x:v>1</x:v>
      </x:c>
      <x:c r="L32" s="79" t="n">
        <x:v>3</x:v>
      </x:c>
      <x:c r="M32" s="79" t="str">
        <x:v>Enemy</x:v>
      </x:c>
      <x:c r="N32" s="79" t="str">
        <x:v>Deal 3 Armour damage. If it reaches Health, apply Minor Guard Down (-4 Guard) for 1 turn. Your next attack suffers -10 Precision.</x:v>
      </x:c>
      <x:c r="O32" s="79" t="n">
        <x:v>1</x:v>
      </x:c>
      <x:c r="P32" s="79" t="n">
        <x:v>2.5</x:v>
      </x:c>
      <x:c r="Q32" s="79" t="str">
        <x:v>PASS v1.0</x:v>
      </x:c>
      <x:c r="R32" s="79" t="str">
        <x:v>Crushing Momentum</x:v>
      </x:c>
      <x:c r="S32" s="79" t="str">
        <x:v>Once per turn after Armour absorbs physical damage, your next Strength weapon skill gains +10 Skill Power.</x:v>
      </x:c>
      <x:c r="T32" s="79" t="str">
        <x:v>Beak Hammer, Greatblade and Blood infusion.</x:v>
      </x:c>
      <x:c r="U32" s="79" t="str">
        <x:v>Physical debuff requires Armour to be depleted.</x:v>
      </x:c>
      <x:c r="V32" s="79" t="str">
        <x:v>Armour damage; Bleed; Critical; Guard debuff</x:v>
      </x:c>
      <x:c r="W32" s="79" t="str">
        <x:v>YES</x:v>
      </x:c>
      <x:c r="X32" s="79" t="str">
        <x:v>—</x:v>
      </x:c>
      <x:c r="Y32" s="79" t="str">
        <x:v>—</x:v>
      </x:c>
      <x:c r="Z32" s="79" t="str">
        <x:v>—</x:v>
      </x:c>
      <x:c r="AA32" s="79" t="str">
        <x:v>—</x:v>
      </x:c>
      <x:c r="AB32" s="79" t="str">
        <x:v>Armour</x:v>
      </x:c>
      <x:c r="AC32" s="79" t="str">
        <x:v>—</x:v>
      </x:c>
      <x:c r="AD32" s="79" t="str">
        <x:v>PASS</x:v>
      </x:c>
      <x:c r="AE32" s="79" t="str">
        <x:v>PASS</x:v>
      </x:c>
      <x:c r="AF32" s="79" t="str">
        <x:v>Helmetbreaker Wrath: Your first Strength weapon skill each turn against a Bleeding or Weakened target gains +10 percentage points Critical Chance and deals 2 additional Armour damage.</x:v>
      </x:c>
    </x:row>
    <x:row r="33">
      <x:c r="A33" s="79" t="str">
        <x:v>Emu</x:v>
      </x:c>
      <x:c r="B33" s="79" t="str">
        <x:v>Brute</x:v>
      </x:c>
      <x:c r="C33" s="79" t="str">
        <x:v>Earth</x:v>
      </x:c>
      <x:c r="D33" s="79" t="str">
        <x:v>Red-Dust Stampede</x:v>
      </x:c>
      <x:c r="E33" s="79" t="str">
        <x:v>After Armour absorbs physical damage, gain Minor Agility Up (+4 Agility) until the start of your next turn and your next Strength weapon skill gains +10 Precision.</x:v>
      </x:c>
      <x:c r="F33" s="79" t="str">
        <x:v>Once per turn.</x:v>
      </x:c>
      <x:c r="G33" s="79" t="n">
        <x:v>1</x:v>
      </x:c>
      <x:c r="H33" s="79" t="n">
        <x:v>1.5</x:v>
      </x:c>
      <x:c r="I33" s="79" t="str">
        <x:v>PASS v1.0</x:v>
      </x:c>
      <x:c r="J33" s="79" t="str">
        <x:v>Dust Run</x:v>
      </x:c>
      <x:c r="K33" s="79" t="n">
        <x:v>1</x:v>
      </x:c>
      <x:c r="L33" s="79" t="n">
        <x:v>2</x:v>
      </x:c>
      <x:c r="M33" s="79" t="str">
        <x:v>Self</x:v>
      </x:c>
      <x:c r="N33" s="79" t="str">
        <x:v>Gain Minor Agility Up (+4 Agility) until the start of your next turn and restore 2 Armour.</x:v>
      </x:c>
      <x:c r="O33" s="79" t="n">
        <x:v>2</x:v>
      </x:c>
      <x:c r="P33" s="79" t="n">
        <x:v>2</x:v>
      </x:c>
      <x:c r="Q33" s="79" t="str">
        <x:v>PASS v1.0</x:v>
      </x:c>
      <x:c r="R33" s="79" t="str">
        <x:v>Crushing Momentum</x:v>
      </x:c>
      <x:c r="S33" s="79" t="str">
        <x:v>Once per turn after Armour absorbs physical damage, your next Strength weapon skill gains +10 Skill Power.</x:v>
      </x:c>
      <x:c r="T33" s="79" t="str">
        <x:v>Heavy weapons with lighter armour variants.</x:v>
      </x:c>
      <x:c r="U33" s="79" t="str">
        <x:v>Evasion wording removed.</x:v>
      </x:c>
      <x:c r="V33" s="79" t="str">
        <x:v>Armour absorption; Agility; Armour restoration</x:v>
      </x:c>
      <x:c r="W33" s="79" t="str">
        <x:v>YES</x:v>
      </x:c>
      <x:c r="X33" s="79" t="str">
        <x:v>—</x:v>
      </x:c>
      <x:c r="Y33" s="79" t="str">
        <x:v>YES</x:v>
      </x:c>
      <x:c r="Z33" s="79" t="str">
        <x:v>—</x:v>
      </x:c>
      <x:c r="AA33" s="79" t="str">
        <x:v>—</x:v>
      </x:c>
      <x:c r="AB33" s="79" t="str">
        <x:v>Armour</x:v>
      </x:c>
      <x:c r="AC33" s="79" t="str">
        <x:v>—</x:v>
      </x:c>
      <x:c r="AD33" s="79" t="str">
        <x:v>PASS</x:v>
      </x:c>
      <x:c r="AE33" s="79" t="str">
        <x:v>PASS</x:v>
      </x:c>
      <x:c r="AF33" s="79" t="str">
        <x:v>Red-Dust Stampede: After Armour absorbs physical damage, gain Minor Agility Up (+4 Agility) until the start of your next turn and your next Strength weapon skill gains +10 Precision.</x:v>
      </x:c>
    </x:row>
    <x:row r="34">
      <x:c r="A34" s="79" t="str">
        <x:v>Duke Blakiston</x:v>
      </x:c>
      <x:c r="B34" s="79" t="str">
        <x:v>Duke</x:v>
      </x:c>
      <x:c r="C34" s="79" t="str">
        <x:v>Night</x:v>
      </x:c>
      <x:c r="D34" s="79" t="str">
        <x:v>Nightfall Sovereignty</x:v>
      </x:c>
      <x:c r="E34" s="79" t="str">
        <x:v>The first time each combat you fall below 50% Health, restore 25% of normal Maximum Armour and Magic Armour and gain Moderate Might Up (+10 Might) and Moderate Focus Up (+10 Focus) for 2 turns.</x:v>
      </x:c>
      <x:c r="F34" s="79" t="str">
        <x:v>Once per combat; distinct from Duke Ascension.</x:v>
      </x:c>
      <x:c r="G34" s="79" t="n">
        <x:v>1.5</x:v>
      </x:c>
      <x:c r="H34" s="79" t="n">
        <x:v>1.5</x:v>
      </x:c>
      <x:c r="I34" s="79" t="str">
        <x:v>PASS v1.0</x:v>
      </x:c>
      <x:c r="J34" s="79" t="str">
        <x:v>Royal Command</x:v>
      </x:c>
      <x:c r="K34" s="79" t="n">
        <x:v>1</x:v>
      </x:c>
      <x:c r="L34" s="79" t="n">
        <x:v>3</x:v>
      </x:c>
      <x:c r="M34" s="79" t="str">
        <x:v>Enemy</x:v>
      </x:c>
      <x:c r="N34" s="79" t="str">
        <x:v>Deal 4 Magic Armour damage. If the target has no Magic Armour after the effect, apply Minor Might Down (-4 Might) and Minor Focus Down (-4 Focus) for 1 turn.</x:v>
      </x:c>
      <x:c r="O34" s="79" t="n">
        <x:v>2</x:v>
      </x:c>
      <x:c r="P34" s="79" t="n">
        <x:v>2.5</x:v>
      </x:c>
      <x:c r="Q34" s="79" t="str">
        <x:v>PASS v1.0</x:v>
      </x:c>
      <x:c r="R34" s="79" t="str">
        <x:v>Duke Ascension</x:v>
      </x:c>
      <x:c r="S34" s="79" t="str">
        <x:v>After defeating an enemy, restore 25% of normal Maximum Armour and Magic Armour and gain +5% all damage for the remainder of combat.</x:v>
      </x:c>
      <x:c r="T34" s="79" t="str">
        <x:v>Curated Duke equipment and sequential encounters.</x:v>
      </x:c>
      <x:c r="U34" s="79" t="str">
        <x:v>Playable Duke passive remains distinct from the Duke class perk and boss override.</x:v>
      </x:c>
      <x:c r="V34" s="79" t="str">
        <x:v>Protection restoration; threshold; mixed offence</x:v>
      </x:c>
      <x:c r="W34" s="79" t="str">
        <x:v>YES</x:v>
      </x:c>
      <x:c r="X34" s="79" t="str">
        <x:v>YES</x:v>
      </x:c>
      <x:c r="Y34" s="79" t="str">
        <x:v>YES</x:v>
      </x:c>
      <x:c r="Z34" s="79" t="str">
        <x:v>—</x:v>
      </x:c>
      <x:c r="AA34" s="79" t="str">
        <x:v>—</x:v>
      </x:c>
      <x:c r="AB34" s="79" t="str">
        <x:v>—</x:v>
      </x:c>
      <x:c r="AC34" s="79" t="str">
        <x:v>—</x:v>
      </x:c>
      <x:c r="AD34" s="79" t="str">
        <x:v>PASS</x:v>
      </x:c>
      <x:c r="AE34" s="79" t="str">
        <x:v>PASS</x:v>
      </x:c>
      <x:c r="AF34" s="79" t="str">
        <x:v>Nightfall Sovereignty: The first time each combat you fall below 50% Health, restore 25% of normal Maximum Armour and Magic Armour and gain Moderate Might Up (+10 Might) and Moderate Focus Up (+10 Focus) for 2 turns.</x:v>
      </x:c>
    </x:row>
    <x:row r="35">
      <x:c r="A35" s="79" t="str">
        <x:v>Wren</x:v>
      </x:c>
      <x:c r="B35" s="79" t="str">
        <x:v>Rogue</x:v>
      </x:c>
      <x:c r="C35" s="79" t="str">
        <x:v>Sky</x:v>
      </x:c>
      <x:c r="D35" s="79" t="str">
        <x:v>Bramble Vanishing</x:v>
      </x:c>
      <x:c r="E35" s="79" t="str">
        <x:v>After you Dodge, your next Weapon Skill 1 gains +10 Precision. If it damages Health, apply -10 Precision to the target for 1 turn.</x:v>
      </x:c>
      <x:c r="F35" s="79" t="str">
        <x:v>Once per turn; consumed on hit.</x:v>
      </x:c>
      <x:c r="G35" s="79" t="n">
        <x:v>1</x:v>
      </x:c>
      <x:c r="H35" s="79" t="n">
        <x:v>1.5</x:v>
      </x:c>
      <x:c r="I35" s="79" t="str">
        <x:v>PASS v1.0</x:v>
      </x:c>
      <x:c r="J35" s="79" t="str">
        <x:v>Briar Step</x:v>
      </x:c>
      <x:c r="K35" s="79" t="n">
        <x:v>1</x:v>
      </x:c>
      <x:c r="L35" s="79" t="n">
        <x:v>2</x:v>
      </x:c>
      <x:c r="M35" s="79" t="str">
        <x:v>Self</x:v>
      </x:c>
      <x:c r="N35" s="79" t="str">
        <x:v>Gain Minor Agility Up (+4 Agility) until the start of your next turn and restore 1 Armour.</x:v>
      </x:c>
      <x:c r="O35" s="79" t="n">
        <x:v>2</x:v>
      </x:c>
      <x:c r="P35" s="79" t="n">
        <x:v>2</x:v>
      </x:c>
      <x:c r="Q35" s="79" t="str">
        <x:v>PASS v1.0</x:v>
      </x:c>
      <x:c r="R35" s="79" t="str">
        <x:v>Rogue Tempo</x:v>
      </x:c>
      <x:c r="S35" s="79" t="str">
        <x:v>Once per turn, if acting before the target, your first Weapon Skill 1 gains +10 Precision. If that skill breaks Armour, gain Minor Agility Up (+4 Agility) until the start of your next turn.</x:v>
      </x:c>
      <x:c r="T35" s="79" t="str">
        <x:v>Dagger Pinion, Shadowplume and Rogue Tempo.</x:v>
      </x:c>
      <x:c r="U35" s="79" t="str">
        <x:v>Basic Attack and Evasion wording removed.</x:v>
      </x:c>
      <x:c r="V35" s="79" t="str">
        <x:v>Dodge; Weapon Skill 1; Armour restoration</x:v>
      </x:c>
      <x:c r="W35" s="79" t="str">
        <x:v>YES</x:v>
      </x:c>
      <x:c r="X35" s="79" t="str">
        <x:v>—</x:v>
      </x:c>
      <x:c r="Y35" s="79" t="str">
        <x:v>YES</x:v>
      </x:c>
      <x:c r="Z35" s="79" t="str">
        <x:v>—</x:v>
      </x:c>
      <x:c r="AA35" s="79" t="str">
        <x:v>—</x:v>
      </x:c>
      <x:c r="AB35" s="79" t="str">
        <x:v>—</x:v>
      </x:c>
      <x:c r="AC35" s="79" t="str">
        <x:v>YES</x:v>
      </x:c>
      <x:c r="AD35" s="79" t="str">
        <x:v>PASS</x:v>
      </x:c>
      <x:c r="AE35" s="79" t="str">
        <x:v>PASS</x:v>
      </x:c>
      <x:c r="AF35" s="79" t="str">
        <x:v>Bramble Vanishing: After you Dodge, your next Weapon Skill 1 gains +10 Precision. If it damages Health, apply -10 Precision to the target for 1 turn.</x:v>
      </x:c>
    </x:row>
    <x:row r="36">
      <x:c r="A36" s="79" t="str">
        <x:v>Superb Fairywren</x:v>
      </x:c>
      <x:c r="B36" s="79" t="str">
        <x:v>Bard</x:v>
      </x:c>
      <x:c r="C36" s="79" t="str">
        <x:v>Day</x:v>
      </x:c>
      <x:c r="D36" s="79" t="str">
        <x:v>Azure Court Rhythm</x:v>
      </x:c>
      <x:c r="E36" s="79" t="str">
        <x:v>After a Magic damaging skill, your next Finesse damaging skill gains +5 percentage points Critical Chance and restores 1 to the lower protection pool on hit.</x:v>
      </x:c>
      <x:c r="F36" s="79" t="str">
        <x:v>Once per turn; consumed on hit or miss.</x:v>
      </x:c>
      <x:c r="G36" s="79" t="n">
        <x:v>1</x:v>
      </x:c>
      <x:c r="H36" s="79" t="n">
        <x:v>1.5</x:v>
      </x:c>
      <x:c r="I36" s="79" t="str">
        <x:v>PASS v1.0</x:v>
      </x:c>
      <x:c r="J36" s="79" t="str">
        <x:v>Azure Refrain</x:v>
      </x:c>
      <x:c r="K36" s="79" t="n">
        <x:v>1</x:v>
      </x:c>
      <x:c r="L36" s="79" t="n">
        <x:v>2</x:v>
      </x:c>
      <x:c r="M36" s="79" t="str">
        <x:v>Self</x:v>
      </x:c>
      <x:c r="N36" s="79" t="str">
        <x:v>Gain Minor Focus Up (+4 Focus) and Minor Agility Up (+4 Agility) until the start of your next turn.</x:v>
      </x:c>
      <x:c r="O36" s="79" t="n">
        <x:v>2</x:v>
      </x:c>
      <x:c r="P36" s="79" t="n">
        <x:v>2</x:v>
      </x:c>
      <x:c r="Q36" s="79" t="str">
        <x:v>PASS v1.0</x:v>
      </x:c>
      <x:c r="R36" s="79" t="str">
        <x:v>Verse and Chorus</x:v>
      </x:c>
      <x:c r="S36" s="79" t="str">
        <x:v>Once per turn, when you alternate Martial and Magic damaging skills, the second skill restores 2 to the lower protection pool. If both pools are full, it gains +10 Skill Power instead.</x:v>
      </x:c>
      <x:c r="T36" s="79" t="str">
        <x:v>Bard Song, Talon Blade and Crystalwind.</x:v>
      </x:c>
      <x:c r="U36" s="79" t="str">
        <x:v>Supports Verse and Chorus without duplicating its Skill Power option.</x:v>
      </x:c>
      <x:c r="V36" s="79" t="str">
        <x:v>Hybrid alternation; Critical; protection restoration</x:v>
      </x:c>
      <x:c r="W36" s="79" t="str">
        <x:v>—</x:v>
      </x:c>
      <x:c r="X36" s="79" t="str">
        <x:v>—</x:v>
      </x:c>
      <x:c r="Y36" s="79" t="str">
        <x:v>YES</x:v>
      </x:c>
      <x:c r="Z36" s="79" t="str">
        <x:v>—</x:v>
      </x:c>
      <x:c r="AA36" s="79" t="str">
        <x:v>—</x:v>
      </x:c>
      <x:c r="AB36" s="79" t="str">
        <x:v>—</x:v>
      </x:c>
      <x:c r="AC36" s="79" t="str">
        <x:v>—</x:v>
      </x:c>
      <x:c r="AD36" s="79" t="str">
        <x:v>PASS</x:v>
      </x:c>
      <x:c r="AE36" s="79" t="str">
        <x:v>PASS</x:v>
      </x:c>
      <x:c r="AF36" s="79" t="str">
        <x:v>Azure Court Rhythm: After a Magic damaging skill, your next Finesse damaging skill gains +5 percentage points Critical Chance and restores 1 to the lower protection pool on hit.</x:v>
      </x:c>
    </x:row>
    <x:row r="37">
      <x:c r="A37" s="79" t="str">
        <x:v>Firecrest</x:v>
      </x:c>
      <x:c r="B37" s="79" t="str">
        <x:v>Rogue</x:v>
      </x:c>
      <x:c r="C37" s="79" t="str">
        <x:v>Day</x:v>
      </x:c>
      <x:c r="D37" s="79" t="str">
        <x:v>Kindled Crown</x:v>
      </x:c>
      <x:c r="E37" s="79" t="str">
        <x:v>Your first Day damaging skill each turn gains +5 percentage points Critical Chance and deals 2 additional Magic Armour damage.</x:v>
      </x:c>
      <x:c r="F37" s="79" t="str">
        <x:v>Once per turn.</x:v>
      </x:c>
      <x:c r="G37" s="79" t="n">
        <x:v>1</x:v>
      </x:c>
      <x:c r="H37" s="79" t="n">
        <x:v>1.5</x:v>
      </x:c>
      <x:c r="I37" s="79" t="str">
        <x:v>PASS v1.0</x:v>
      </x:c>
      <x:c r="J37" s="79" t="str">
        <x:v>Ashstep</x:v>
      </x:c>
      <x:c r="K37" s="79" t="n">
        <x:v>1</x:v>
      </x:c>
      <x:c r="L37" s="79" t="n">
        <x:v>3</x:v>
      </x:c>
      <x:c r="M37" s="79" t="str">
        <x:v>Self</x:v>
      </x:c>
      <x:c r="N37" s="79" t="str">
        <x:v>Gain Minor Agility Up (+4 Agility) until the start of your next turn. Your next Day hit attempts to apply 1 Burn stack only if Magic Armour is depleted and Health is damaged.</x:v>
      </x:c>
      <x:c r="O37" s="79" t="n">
        <x:v>2</x:v>
      </x:c>
      <x:c r="P37" s="79" t="n">
        <x:v>2.5</x:v>
      </x:c>
      <x:c r="Q37" s="79" t="str">
        <x:v>PASS v1.0</x:v>
      </x:c>
      <x:c r="R37" s="79" t="str">
        <x:v>Rogue Tempo</x:v>
      </x:c>
      <x:c r="S37" s="79" t="str">
        <x:v>Once per turn, if acting before the target, your first Weapon Skill 1 gains +10 Precision. If that skill breaks Armour, gain Minor Agility Up (+4 Agility) until the start of your next turn.</x:v>
      </x:c>
      <x:c r="T37" s="79" t="str">
        <x:v>Day weapons, Ember infusion and Rogue Tempo.</x:v>
      </x:c>
      <x:c r="U37" s="79" t="str">
        <x:v>Burn remains protected by Magic Armour.</x:v>
      </x:c>
      <x:c r="V37" s="79" t="str">
        <x:v>Magic Armour damage; Burn gate; Critical</x:v>
      </x:c>
      <x:c r="W37" s="79" t="str">
        <x:v>YES</x:v>
      </x:c>
      <x:c r="X37" s="79" t="str">
        <x:v>YES</x:v>
      </x:c>
      <x:c r="Y37" s="79" t="str">
        <x:v>—</x:v>
      </x:c>
      <x:c r="Z37" s="79" t="str">
        <x:v>—</x:v>
      </x:c>
      <x:c r="AA37" s="79" t="str">
        <x:v>—</x:v>
      </x:c>
      <x:c r="AB37" s="79" t="str">
        <x:v>Magic Armour</x:v>
      </x:c>
      <x:c r="AC37" s="79" t="str">
        <x:v>YES</x:v>
      </x:c>
      <x:c r="AD37" s="79" t="str">
        <x:v>PASS</x:v>
      </x:c>
      <x:c r="AE37" s="79" t="str">
        <x:v>PASS</x:v>
      </x:c>
      <x:c r="AF37" s="79" t="str">
        <x:v>Kindled Crown: Your first Day damaging skill each turn gains +5 percentage points Critical Chance and deals 2 additional Magic Armour damage.</x:v>
      </x:c>
    </x:row>
    <x:row r="38">
      <x:c r="A38" s="79" t="str">
        <x:v>Willie Wagtail</x:v>
      </x:c>
      <x:c r="B38" s="79" t="str">
        <x:v>Rogue</x:v>
      </x:c>
      <x:c r="C38" s="79" t="str">
        <x:v>Sky</x:v>
      </x:c>
      <x:c r="D38" s="79" t="str">
        <x:v>Perilous Last Wag</x:v>
      </x:c>
      <x:c r="E38" s="79" t="str">
        <x:v>After an enemy attack resolves against you, gain Minor Agility Up (+4 Agility) until the start of your next turn. If you Dodged the attack, also restore 1 Armour.</x:v>
      </x:c>
      <x:c r="F38" s="79" t="str">
        <x:v>Once per turn.</x:v>
      </x:c>
      <x:c r="G38" s="79" t="n">
        <x:v>1</x:v>
      </x:c>
      <x:c r="H38" s="79" t="n">
        <x:v>1.5</x:v>
      </x:c>
      <x:c r="I38" s="79" t="str">
        <x:v>PASS v1.0</x:v>
      </x:c>
      <x:c r="J38" s="79" t="str">
        <x:v>Mocking Step</x:v>
      </x:c>
      <x:c r="K38" s="79" t="n">
        <x:v>1</x:v>
      </x:c>
      <x:c r="L38" s="79" t="n">
        <x:v>2</x:v>
      </x:c>
      <x:c r="M38" s="79" t="str">
        <x:v>Enemy</x:v>
      </x:c>
      <x:c r="N38" s="79" t="str">
        <x:v>Deal 2 Armour damage. If the target has no Armour after the effect, apply -10 Precision for 1 turn.</x:v>
      </x:c>
      <x:c r="O38" s="79" t="n">
        <x:v>1</x:v>
      </x:c>
      <x:c r="P38" s="79" t="n">
        <x:v>2</x:v>
      </x:c>
      <x:c r="Q38" s="79" t="str">
        <x:v>PASS v1.0</x:v>
      </x:c>
      <x:c r="R38" s="79" t="str">
        <x:v>Rogue Tempo</x:v>
      </x:c>
      <x:c r="S38" s="79" t="str">
        <x:v>Once per turn, if acting before the target, your first Weapon Skill 1 gains +10 Precision. If that skill breaks Armour, gain Minor Agility Up (+4 Agility) until the start of your next turn.</x:v>
      </x:c>
      <x:c r="T38" s="79" t="str">
        <x:v>Light shields, Shadowplume and Finesse weapons.</x:v>
      </x:c>
      <x:c r="U38" s="79" t="str">
        <x:v>Evasion wording removed.</x:v>
      </x:c>
      <x:c r="V38" s="79" t="str">
        <x:v>Dodge; Agility; Armour restoration; Armour pressure</x:v>
      </x:c>
      <x:c r="W38" s="79" t="str">
        <x:v>YES</x:v>
      </x:c>
      <x:c r="X38" s="79" t="str">
        <x:v>—</x:v>
      </x:c>
      <x:c r="Y38" s="79" t="str">
        <x:v>YES</x:v>
      </x:c>
      <x:c r="Z38" s="79" t="str">
        <x:v>—</x:v>
      </x:c>
      <x:c r="AA38" s="79" t="str">
        <x:v>—</x:v>
      </x:c>
      <x:c r="AB38" s="79" t="str">
        <x:v>—</x:v>
      </x:c>
      <x:c r="AC38" s="79" t="str">
        <x:v>—</x:v>
      </x:c>
      <x:c r="AD38" s="79" t="str">
        <x:v>PASS</x:v>
      </x:c>
      <x:c r="AE38" s="79" t="str">
        <x:v>PASS</x:v>
      </x:c>
      <x:c r="AF38" s="79" t="str">
        <x:v>Perilous Last Wag: After an enemy attack resolves against you, gain Minor Agility Up (+4 Agility) until the start of your next turn. If you Dodged the attack, also restore 1 Armour.</x:v>
      </x:c>
    </x:row>
    <x:row r="39">
      <x:c r="A39" s="79" t="str">
        <x:v>Galah</x:v>
      </x:c>
      <x:c r="B39" s="79" t="str">
        <x:v>Bard</x:v>
      </x:c>
      <x:c r="C39" s="79" t="str">
        <x:v>Day</x:v>
      </x:c>
      <x:c r="D39" s="79" t="str">
        <x:v>Rosefeather Revel</x:v>
      </x:c>
      <x:c r="E39" s="79" t="str">
        <x:v>After using a song or call, restore 2 Magic Armour. If Magic Armour is full, gain Minor Agility Up (+4 Agility) until the start of your next turn.</x:v>
      </x:c>
      <x:c r="F39" s="79" t="str">
        <x:v>2-turn cooldown.</x:v>
      </x:c>
      <x:c r="G39" s="79" t="n">
        <x:v>1</x:v>
      </x:c>
      <x:c r="H39" s="79" t="n">
        <x:v>1.5</x:v>
      </x:c>
      <x:c r="I39" s="79" t="str">
        <x:v>PASS v1.0</x:v>
      </x:c>
      <x:c r="J39" s="79" t="str">
        <x:v>Shrill Display</x:v>
      </x:c>
      <x:c r="K39" s="79" t="n">
        <x:v>1</x:v>
      </x:c>
      <x:c r="L39" s="79" t="n">
        <x:v>2</x:v>
      </x:c>
      <x:c r="M39" s="79" t="str">
        <x:v>Enemy</x:v>
      </x:c>
      <x:c r="N39" s="79" t="str">
        <x:v>Deal 3 Magic Armour damage. If it reaches Health, apply Minor Might Down (-4 Might) and Minor Focus Down (-4 Focus) for 1 turn.</x:v>
      </x:c>
      <x:c r="O39" s="79" t="n">
        <x:v>1</x:v>
      </x:c>
      <x:c r="P39" s="79" t="n">
        <x:v>2</x:v>
      </x:c>
      <x:c r="Q39" s="79" t="str">
        <x:v>PASS v1.0</x:v>
      </x:c>
      <x:c r="R39" s="79" t="str">
        <x:v>Verse and Chorus</x:v>
      </x:c>
      <x:c r="S39" s="79" t="str">
        <x:v>Once per turn, when you alternate Martial and Magic damaging skills, the second skill restores 2 to the lower protection pool. If both pools are full, it gains +10 Skill Power instead.</x:v>
      </x:c>
      <x:c r="T39" s="79" t="str">
        <x:v>Bard Song, Lament Song and Crystalwind.</x:v>
      </x:c>
      <x:c r="U39" s="79" t="str">
        <x:v>Replaces Evasion and generic Damage Down.</x:v>
      </x:c>
      <x:c r="V39" s="79" t="str">
        <x:v>Songs; Magic Armour restoration; debuff gate</x:v>
      </x:c>
      <x:c r="W39" s="79" t="str">
        <x:v>YES</x:v>
      </x:c>
      <x:c r="X39" s="79" t="str">
        <x:v>YES</x:v>
      </x:c>
      <x:c r="Y39" s="79" t="str">
        <x:v>YES</x:v>
      </x:c>
      <x:c r="Z39" s="79" t="str">
        <x:v>—</x:v>
      </x:c>
      <x:c r="AA39" s="79" t="str">
        <x:v>—</x:v>
      </x:c>
      <x:c r="AB39" s="79" t="str">
        <x:v>—</x:v>
      </x:c>
      <x:c r="AC39" s="79" t="str">
        <x:v>—</x:v>
      </x:c>
      <x:c r="AD39" s="79" t="str">
        <x:v>PASS</x:v>
      </x:c>
      <x:c r="AE39" s="79" t="str">
        <x:v>PASS</x:v>
      </x:c>
      <x:c r="AF39" s="79" t="str">
        <x:v>Rosefeather Revel: After using a song or call, restore 2 Magic Armour. If Magic Armour is full, gain Minor Agility Up (+4 Agility) until the start of your next turn.</x:v>
      </x:c>
    </x:row>
    <x:row r="40">
      <x:c r="A40" s="79" t="str">
        <x:v>Blue Jay</x:v>
      </x:c>
      <x:c r="B40" s="79" t="str">
        <x:v>Inquisitor</x:v>
      </x:c>
      <x:c r="C40" s="79" t="str">
        <x:v>Storm</x:v>
      </x:c>
      <x:c r="D40" s="79" t="str">
        <x:v>Cobalt Plunder</x:v>
      </x:c>
      <x:c r="E40" s="79" t="str">
        <x:v>The first time each turn a Storm damaging skill hits a debuffed or Marked target, gain 3 Ward Magic Armour for 1 turn.</x:v>
      </x:c>
      <x:c r="F40" s="79" t="str">
        <x:v>Once per turn; Ward follows the normal healing and overflow rules.</x:v>
      </x:c>
      <x:c r="G40" s="79" t="n">
        <x:v>1</x:v>
      </x:c>
      <x:c r="H40" s="79" t="n">
        <x:v>1.5</x:v>
      </x:c>
      <x:c r="I40" s="79" t="str">
        <x:v>PASS v1.0</x:v>
      </x:c>
      <x:c r="J40" s="79" t="str">
        <x:v>Crest Guard</x:v>
      </x:c>
      <x:c r="K40" s="79" t="n">
        <x:v>1</x:v>
      </x:c>
      <x:c r="L40" s="79" t="n">
        <x:v>2</x:v>
      </x:c>
      <x:c r="M40" s="79" t="str">
        <x:v>Self</x:v>
      </x:c>
      <x:c r="N40" s="79" t="str">
        <x:v>Restore 3 Armour and 3 Magic Armour, each capped at its normal maximum.</x:v>
      </x:c>
      <x:c r="O40" s="79" t="n">
        <x:v>2</x:v>
      </x:c>
      <x:c r="P40" s="79" t="n">
        <x:v>2</x:v>
      </x:c>
      <x:c r="Q40" s="79" t="str">
        <x:v>PASS v1.0</x:v>
      </x:c>
      <x:c r="R40" s="79" t="str">
        <x:v>Judgement Leech</x:v>
      </x:c>
      <x:c r="S40" s="79" t="str">
        <x:v>Once per turn after a damaging skill hits an ailmented, debuffed or Marked target, restore 2 to the lower of Armour or Magic Armour, capped at its normal maximum. If both pools are full, heal 5% Maximum Health.</x:v>
      </x:c>
      <x:c r="T40" s="79" t="str">
        <x:v>Storm weapons, Layered Scale and Judgement Leech.</x:v>
      </x:c>
      <x:c r="U40" s="79" t="str">
        <x:v>Replaces the legacy Barrier.</x:v>
      </x:c>
      <x:c r="V40" s="79" t="str">
        <x:v>Ward; Storm; protection restoration; debuffs</x:v>
      </x:c>
      <x:c r="W40" s="79" t="str">
        <x:v>YES</x:v>
      </x:c>
      <x:c r="X40" s="79" t="str">
        <x:v>YES</x:v>
      </x:c>
      <x:c r="Y40" s="79" t="str">
        <x:v>YES</x:v>
      </x:c>
      <x:c r="Z40" s="79" t="str">
        <x:v>—</x:v>
      </x:c>
      <x:c r="AA40" s="79" t="str">
        <x:v>YES</x:v>
      </x:c>
      <x:c r="AB40" s="79" t="str">
        <x:v>—</x:v>
      </x:c>
      <x:c r="AC40" s="79" t="str">
        <x:v>—</x:v>
      </x:c>
      <x:c r="AD40" s="79" t="str">
        <x:v>PASS</x:v>
      </x:c>
      <x:c r="AE40" s="79" t="str">
        <x:v>PASS</x:v>
      </x:c>
      <x:c r="AF40" s="79" t="str">
        <x:v>Cobalt Plunder: The first time each turn a Storm damaging skill hits a debuffed or Marked target, gain 3 Ward Magic Armour for 1 turn.</x:v>
      </x:c>
    </x:row>
    <x:row r="41">
      <x:c r="A41" s="79" t="str">
        <x:v>Cardinal</x:v>
      </x:c>
      <x:c r="B41" s="79" t="str">
        <x:v>Mage</x:v>
      </x:c>
      <x:c r="C41" s="79" t="str">
        <x:v>Day</x:v>
      </x:c>
      <x:c r="D41" s="79" t="str">
        <x:v>Crimson Benediction</x:v>
      </x:c>
      <x:c r="E41" s="79" t="str">
        <x:v>Your first Day Magic weapon skill each turn against a Burning target gains +20 Skill Power against Magic Armour. If it damages Health, heal 5% Maximum Health.</x:v>
      </x:c>
      <x:c r="F41" s="79" t="str">
        <x:v>Once per turn; the Skill Power bonus does not increase Health damage.</x:v>
      </x:c>
      <x:c r="G41" s="79" t="n">
        <x:v>1.25</x:v>
      </x:c>
      <x:c r="H41" s="79" t="n">
        <x:v>1.5</x:v>
      </x:c>
      <x:c r="I41" s="79" t="str">
        <x:v>PASS v1.0</x:v>
      </x:c>
      <x:c r="J41" s="79" t="str">
        <x:v>Scarlet Hymn</x:v>
      </x:c>
      <x:c r="K41" s="79" t="n">
        <x:v>1</x:v>
      </x:c>
      <x:c r="L41" s="79" t="n">
        <x:v>3</x:v>
      </x:c>
      <x:c r="M41" s="79" t="str">
        <x:v>Self</x:v>
      </x:c>
      <x:c r="N41" s="79" t="str">
        <x:v>Heal 8% Maximum Health and restore 3 Magic Armour.</x:v>
      </x:c>
      <x:c r="O41" s="79" t="n">
        <x:v>3</x:v>
      </x:c>
      <x:c r="P41" s="79" t="n">
        <x:v>2.5</x:v>
      </x:c>
      <x:c r="Q41" s="79" t="str">
        <x:v>PASS v1.0</x:v>
      </x:c>
      <x:c r="R41" s="79" t="str">
        <x:v>Arcane Pressure</x:v>
      </x:c>
      <x:c r="S41" s="79" t="str">
        <x:v>The first Magic weapon skill you use each turn deals 10% additional damage to Magic Armour only. This bonus does not increase Health damage.</x:v>
      </x:c>
      <x:c r="T41" s="79" t="str">
        <x:v>Ember infusion, Wands and Dawnfeather.</x:v>
      </x:c>
      <x:c r="U41" s="79" t="str">
        <x:v>Replaces Moderate Damage Up.</x:v>
      </x:c>
      <x:c r="V41" s="79" t="str">
        <x:v>Burn; Magic Armour pressure; healing</x:v>
      </x:c>
      <x:c r="W41" s="79" t="str">
        <x:v>YES</x:v>
      </x:c>
      <x:c r="X41" s="79" t="str">
        <x:v>YES</x:v>
      </x:c>
      <x:c r="Y41" s="79" t="str">
        <x:v>YES</x:v>
      </x:c>
      <x:c r="Z41" s="79" t="str">
        <x:v>—</x:v>
      </x:c>
      <x:c r="AA41" s="79" t="str">
        <x:v>—</x:v>
      </x:c>
      <x:c r="AB41" s="79" t="str">
        <x:v>Magic Armour</x:v>
      </x:c>
      <x:c r="AC41" s="79" t="str">
        <x:v>YES</x:v>
      </x:c>
      <x:c r="AD41" s="79" t="str">
        <x:v>PASS</x:v>
      </x:c>
      <x:c r="AE41" s="79" t="str">
        <x:v>PASS</x:v>
      </x:c>
      <x:c r="AF41" s="79" t="str">
        <x:v>Crimson Benediction: Your first Day Magic weapon skill each turn against a Burning target gains +20 Skill Power against Magic Armour. If it damages Health, heal 5% Maximum Health.</x:v>
      </x:c>
    </x:row>
    <x:row r="42">
      <x:c r="A42" s="79" t="str">
        <x:v>Bush Turkey</x:v>
      </x:c>
      <x:c r="B42" s="79" t="str">
        <x:v>Knight</x:v>
      </x:c>
      <x:c r="C42" s="79" t="str">
        <x:v>Earth</x:v>
      </x:c>
      <x:c r="D42" s="79" t="str">
        <x:v>Mound-King Claim</x:v>
      </x:c>
      <x:c r="E42" s="79" t="str">
        <x:v>Once per turn, an Armour Restoration or Fortify skill you use grants 1 additional Armour.</x:v>
      </x:c>
      <x:c r="F42" s="79" t="str">
        <x:v>Once per turn; the additional point follows the original skill's normal cap or overflow rule.</x:v>
      </x:c>
      <x:c r="G42" s="79" t="n">
        <x:v>1</x:v>
      </x:c>
      <x:c r="H42" s="79" t="n">
        <x:v>1.5</x:v>
      </x:c>
      <x:c r="I42" s="79" t="str">
        <x:v>PASS v1.0</x:v>
      </x:c>
      <x:c r="J42" s="79" t="str">
        <x:v>Mound Guard</x:v>
      </x:c>
      <x:c r="K42" s="79" t="n">
        <x:v>1</x:v>
      </x:c>
      <x:c r="L42" s="79" t="n">
        <x:v>3</x:v>
      </x:c>
      <x:c r="M42" s="79" t="str">
        <x:v>Self</x:v>
      </x:c>
      <x:c r="N42" s="79" t="str">
        <x:v>Gain 5 Fortified Armour for 2 turns.</x:v>
      </x:c>
      <x:c r="O42" s="79" t="n">
        <x:v>1</x:v>
      </x:c>
      <x:c r="P42" s="79" t="n">
        <x:v>2</x:v>
      </x:c>
      <x:c r="Q42" s="79" t="str">
        <x:v>PASS v1.0</x:v>
      </x:c>
      <x:c r="R42" s="79" t="str">
        <x:v>Bulwark Oath</x:v>
      </x:c>
      <x:c r="S42" s="79" t="str">
        <x:v>Once per turn, after using Armour Restoration or Fortify, gain Minor Guard Up (+4 Guard) until the start of your next turn.</x:v>
      </x:c>
      <x:c r="T42" s="79" t="str">
        <x:v>Ironfeather, shields and Bulwark Oath.</x:v>
      </x:c>
      <x:c r="U42" s="79" t="str">
        <x:v>Armour Technique and Brace wording removed.</x:v>
      </x:c>
      <x:c r="V42" s="79" t="str">
        <x:v>Armour restoration; Fortify</x:v>
      </x:c>
      <x:c r="W42" s="79" t="str">
        <x:v>YES</x:v>
      </x:c>
      <x:c r="X42" s="79" t="str">
        <x:v>—</x:v>
      </x:c>
      <x:c r="Y42" s="79" t="str">
        <x:v>YES</x:v>
      </x:c>
      <x:c r="Z42" s="79" t="str">
        <x:v>YES</x:v>
      </x:c>
      <x:c r="AA42" s="79" t="str">
        <x:v>—</x:v>
      </x:c>
      <x:c r="AB42" s="79" t="str">
        <x:v>—</x:v>
      </x:c>
      <x:c r="AC42" s="79" t="str">
        <x:v>—</x:v>
      </x:c>
      <x:c r="AD42" s="79" t="str">
        <x:v>PASS</x:v>
      </x:c>
      <x:c r="AE42" s="79" t="str">
        <x:v>PASS</x:v>
      </x:c>
      <x:c r="AF42" s="79" t="str">
        <x:v>Mound-King Claim: Once per turn, an Armour Restoration or Fortify skill you use grants 1 additional Armour.</x:v>
      </x:c>
    </x:row>
    <x:row r="43">
      <x:c r="A43" s="79" t="str">
        <x:v>Vulture</x:v>
      </x:c>
      <x:c r="B43" s="79" t="str">
        <x:v>Inquisitor</x:v>
      </x:c>
      <x:c r="C43" s="79" t="str">
        <x:v>Sky</x:v>
      </x:c>
      <x:c r="D43" s="79" t="str">
        <x:v>Patient Scavenger</x:v>
      </x:c>
      <x:c r="E43" s="79" t="str">
        <x:v>While the target is below 50% Health, gain +10 Precision. The first time each turn you damage that target's Health, restore 1 to the lower protection pool.</x:v>
      </x:c>
      <x:c r="F43" s="79" t="str">
        <x:v>Condition is checked before each action; restoration is once per turn.</x:v>
      </x:c>
      <x:c r="G43" s="79" t="n">
        <x:v>1</x:v>
      </x:c>
      <x:c r="H43" s="79" t="n">
        <x:v>1.5</x:v>
      </x:c>
      <x:c r="I43" s="79" t="str">
        <x:v>PASS v1.0</x:v>
      </x:c>
      <x:c r="J43" s="79" t="str">
        <x:v>Bone Ward</x:v>
      </x:c>
      <x:c r="K43" s="79" t="n">
        <x:v>1</x:v>
      </x:c>
      <x:c r="L43" s="79" t="n">
        <x:v>3</x:v>
      </x:c>
      <x:c r="M43" s="79" t="str">
        <x:v>Self</x:v>
      </x:c>
      <x:c r="N43" s="79" t="str">
        <x:v>Cleanse 1 damaging ailment and restore 4 to the protection pool that normally blocks that ailment.</x:v>
      </x:c>
      <x:c r="O43" s="79" t="n">
        <x:v>3</x:v>
      </x:c>
      <x:c r="P43" s="79" t="n">
        <x:v>2.5</x:v>
      </x:c>
      <x:c r="Q43" s="79" t="str">
        <x:v>PASS v1.0</x:v>
      </x:c>
      <x:c r="R43" s="79" t="str">
        <x:v>Judgement Leech</x:v>
      </x:c>
      <x:c r="S43" s="79" t="str">
        <x:v>Once per turn after a damaging skill hits an ailmented, debuffed or Marked target, restore 2 to the lower of Armour or Magic Armour, capped at its normal maximum. If both pools are full, heal 5% Maximum Health.</x:v>
      </x:c>
      <x:c r="T43" s="79" t="str">
        <x:v>War Scythe, marks and Judgement Leech.</x:v>
      </x:c>
      <x:c r="U43" s="79" t="str">
        <x:v>Physical ailments restore Armour; magical ailments restore Magic Armour.</x:v>
      </x:c>
      <x:c r="V43" s="79" t="str">
        <x:v>Execute pressure; cleansing; matching protection restoration</x:v>
      </x:c>
      <x:c r="W43" s="79" t="str">
        <x:v>—</x:v>
      </x:c>
      <x:c r="X43" s="79" t="str">
        <x:v>—</x:v>
      </x:c>
      <x:c r="Y43" s="79" t="str">
        <x:v>YES</x:v>
      </x:c>
      <x:c r="Z43" s="79" t="str">
        <x:v>—</x:v>
      </x:c>
      <x:c r="AA43" s="79" t="str">
        <x:v>—</x:v>
      </x:c>
      <x:c r="AB43" s="79" t="str">
        <x:v>—</x:v>
      </x:c>
      <x:c r="AC43" s="79" t="str">
        <x:v>—</x:v>
      </x:c>
      <x:c r="AD43" s="79" t="str">
        <x:v>PASS</x:v>
      </x:c>
      <x:c r="AE43" s="79" t="str">
        <x:v>PASS</x:v>
      </x:c>
      <x:c r="AF43" s="79" t="str">
        <x:v>Patient Scavenger: While the target is below 50% Health, gain +10 Precision. The first time each turn you damage that target's Health, restore 1 to the lower protection pool.</x:v>
      </x:c>
    </x:row>
    <x:row r="44">
      <x:c r="A44" s="79" t="str">
        <x:v>Barn Owl</x:v>
      </x:c>
      <x:c r="B44" s="79" t="str">
        <x:v>Mage</x:v>
      </x:c>
      <x:c r="C44" s="79" t="str">
        <x:v>Night</x:v>
      </x:c>
      <x:c r="D44" s="79" t="str">
        <x:v>Rafter-Moon Judgement</x:v>
      </x:c>
      <x:c r="E44" s="79" t="str">
        <x:v>If acting before the target, your first Night Magic weapon skill each turn gains +5 percentage points Critical Chance and deals 2 additional Magic Armour damage.</x:v>
      </x:c>
      <x:c r="F44" s="79" t="str">
        <x:v>Once per turn.</x:v>
      </x:c>
      <x:c r="G44" s="79" t="n">
        <x:v>1</x:v>
      </x:c>
      <x:c r="H44" s="79" t="n">
        <x:v>1.5</x:v>
      </x:c>
      <x:c r="I44" s="79" t="str">
        <x:v>PASS v1.0</x:v>
      </x:c>
      <x:c r="J44" s="79" t="str">
        <x:v>Silent Glide</x:v>
      </x:c>
      <x:c r="K44" s="79" t="n">
        <x:v>1</x:v>
      </x:c>
      <x:c r="L44" s="79" t="n">
        <x:v>2</x:v>
      </x:c>
      <x:c r="M44" s="79" t="str">
        <x:v>Self</x:v>
      </x:c>
      <x:c r="N44" s="79" t="str">
        <x:v>Gain Minor Agility Up (+4 Agility) until the start of your next turn. Your next Night attack gains +10 Precision.</x:v>
      </x:c>
      <x:c r="O44" s="79" t="n">
        <x:v>2</x:v>
      </x:c>
      <x:c r="P44" s="79" t="n">
        <x:v>2</x:v>
      </x:c>
      <x:c r="Q44" s="79" t="str">
        <x:v>PASS v1.0</x:v>
      </x:c>
      <x:c r="R44" s="79" t="str">
        <x:v>Arcane Pressure</x:v>
      </x:c>
      <x:c r="S44" s="79" t="str">
        <x:v>The first Magic weapon skill you use each turn deals 10% additional damage to Magic Armour only. This bonus does not increase Health damage.</x:v>
      </x:c>
      <x:c r="T44" s="79" t="str">
        <x:v>Night Wands, Staffs and Crystalwind.</x:v>
      </x:c>
      <x:c r="U44" s="79" t="str">
        <x:v>Evasion wording removed.</x:v>
      </x:c>
      <x:c r="V44" s="79" t="str">
        <x:v>Turn order; Magic Armour pressure; Critical</x:v>
      </x:c>
      <x:c r="W44" s="79" t="str">
        <x:v>YES</x:v>
      </x:c>
      <x:c r="X44" s="79" t="str">
        <x:v>YES</x:v>
      </x:c>
      <x:c r="Y44" s="79" t="str">
        <x:v>—</x:v>
      </x:c>
      <x:c r="Z44" s="79" t="str">
        <x:v>—</x:v>
      </x:c>
      <x:c r="AA44" s="79" t="str">
        <x:v>—</x:v>
      </x:c>
      <x:c r="AB44" s="79" t="str">
        <x:v>Magic Armour</x:v>
      </x:c>
      <x:c r="AC44" s="79" t="str">
        <x:v>—</x:v>
      </x:c>
      <x:c r="AD44" s="79" t="str">
        <x:v>PASS</x:v>
      </x:c>
      <x:c r="AE44" s="79" t="str">
        <x:v>PASS</x:v>
      </x:c>
      <x:c r="AF44" s="79" t="str">
        <x:v>Rafter-Moon Judgement: If acting before the target, your first Night Magic weapon skill each turn gains +5 percentage points Critical Chance and deals 2 additional Magic Armour damage.</x:v>
      </x:c>
    </x:row>
    <x:row r="45">
      <x:c r="A45" s="79" t="str">
        <x:v>Bustard</x:v>
      </x:c>
      <x:c r="B45" s="79" t="str">
        <x:v>Knight</x:v>
      </x:c>
      <x:c r="C45" s="79" t="str">
        <x:v>Earth</x:v>
      </x:c>
      <x:c r="D45" s="79" t="str">
        <x:v>Grassland Warlord</x:v>
      </x:c>
      <x:c r="E45" s="79" t="str">
        <x:v>While below 50% Health, restoring Armour or gaining Fortify also grants Minor Might Up (+4 Might) until the start of your next turn.</x:v>
      </x:c>
      <x:c r="F45" s="79" t="str">
        <x:v>Once per turn.</x:v>
      </x:c>
      <x:c r="G45" s="79" t="n">
        <x:v>1</x:v>
      </x:c>
      <x:c r="H45" s="79" t="n">
        <x:v>1.5</x:v>
      </x:c>
      <x:c r="I45" s="79" t="str">
        <x:v>PASS v1.0</x:v>
      </x:c>
      <x:c r="J45" s="79" t="str">
        <x:v>Plainshield</x:v>
      </x:c>
      <x:c r="K45" s="79" t="n">
        <x:v>1</x:v>
      </x:c>
      <x:c r="L45" s="79" t="n">
        <x:v>3</x:v>
      </x:c>
      <x:c r="M45" s="79" t="str">
        <x:v>Self</x:v>
      </x:c>
      <x:c r="N45" s="79" t="str">
        <x:v>Gain 6 Fortified Armour for 2 turns and cleanse Agility Down.</x:v>
      </x:c>
      <x:c r="O45" s="79" t="n">
        <x:v>3.5</x:v>
      </x:c>
      <x:c r="P45" s="79" t="n">
        <x:v>2.5</x:v>
      </x:c>
      <x:c r="Q45" s="79" t="str">
        <x:v>PASS v1.0</x:v>
      </x:c>
      <x:c r="R45" s="79" t="str">
        <x:v>Bulwark Oath</x:v>
      </x:c>
      <x:c r="S45" s="79" t="str">
        <x:v>Once per turn, after using Armour Restoration or Fortify, gain Minor Guard Up (+4 Guard) until the start of your next turn.</x:v>
      </x:c>
      <x:c r="T45" s="79" t="str">
        <x:v>Ironfeather, Greatblade and Bulwark Oath.</x:v>
      </x:c>
      <x:c r="U45" s="79" t="str">
        <x:v>Brace wording removed.</x:v>
      </x:c>
      <x:c r="V45" s="79" t="str">
        <x:v>Fortify; Armour restoration; Might</x:v>
      </x:c>
      <x:c r="W45" s="79" t="str">
        <x:v>YES</x:v>
      </x:c>
      <x:c r="X45" s="79" t="str">
        <x:v>—</x:v>
      </x:c>
      <x:c r="Y45" s="79" t="str">
        <x:v>—</x:v>
      </x:c>
      <x:c r="Z45" s="79" t="str">
        <x:v>YES</x:v>
      </x:c>
      <x:c r="AA45" s="79" t="str">
        <x:v>—</x:v>
      </x:c>
      <x:c r="AB45" s="79" t="str">
        <x:v>—</x:v>
      </x:c>
      <x:c r="AC45" s="79" t="str">
        <x:v>—</x:v>
      </x:c>
      <x:c r="AD45" s="79" t="str">
        <x:v>PASS</x:v>
      </x:c>
      <x:c r="AE45" s="79" t="str">
        <x:v>PASS</x:v>
      </x:c>
      <x:c r="AF45" s="79" t="str">
        <x:v>Grassland Warlord: While below 50% Health, restoring Armour or gaining Fortify also grants Minor Might Up (+4 Might) until the start of your next turn.</x:v>
      </x:c>
    </x:row>
    <x:row r="46">
      <x:c r="A46" s="79" t="str">
        <x:v>Golden Eagle</x:v>
      </x:c>
      <x:c r="B46" s="79" t="str">
        <x:v>Rogue</x:v>
      </x:c>
      <x:c r="C46" s="79" t="str">
        <x:v>Day</x:v>
      </x:c>
      <x:c r="D46" s="79" t="str">
        <x:v>Sun-Crown Trial</x:v>
      </x:c>
      <x:c r="E46" s="79" t="str">
        <x:v>Your first damaging skill each turn against a target below 50% Health gains +10 percentage points Critical Chance and deals 2 additional damage to the matching protection pool.</x:v>
      </x:c>
      <x:c r="F46" s="79" t="str">
        <x:v>Once per turn; condition must be true before the skill.</x:v>
      </x:c>
      <x:c r="G46" s="79" t="n">
        <x:v>1.25</x:v>
      </x:c>
      <x:c r="H46" s="79" t="n">
        <x:v>1.5</x:v>
      </x:c>
      <x:c r="I46" s="79" t="str">
        <x:v>PASS v1.0</x:v>
      </x:c>
      <x:c r="J46" s="79" t="str">
        <x:v>Hunter's Majesty</x:v>
      </x:c>
      <x:c r="K46" s="79" t="n">
        <x:v>1</x:v>
      </x:c>
      <x:c r="L46" s="79" t="n">
        <x:v>3</x:v>
      </x:c>
      <x:c r="M46" s="79" t="str">
        <x:v>Self</x:v>
      </x:c>
      <x:c r="N46" s="79" t="str">
        <x:v>Your next damaging skill gains +10 percentage points Critical Chance.</x:v>
      </x:c>
      <x:c r="O46" s="79" t="n">
        <x:v>2.5</x:v>
      </x:c>
      <x:c r="P46" s="79" t="n">
        <x:v>2.5</x:v>
      </x:c>
      <x:c r="Q46" s="79" t="str">
        <x:v>PASS v1.0</x:v>
      </x:c>
      <x:c r="R46" s="79" t="str">
        <x:v>Rogue Tempo</x:v>
      </x:c>
      <x:c r="S46" s="79" t="str">
        <x:v>Once per turn, if acting before the target, your first Weapon Skill 1 gains +10 Precision. If that skill breaks Armour, gain Minor Agility Up (+4 Agility) until the start of your next turn.</x:v>
      </x:c>
      <x:c r="T46" s="79" t="str">
        <x:v>Greatbow, Talon Blade and offensive accessories.</x:v>
      </x:c>
      <x:c r="U46" s="79" t="str">
        <x:v>Uses matching Armour or Magic Armour according to the skill.</x:v>
      </x:c>
      <x:c r="V46" s="79" t="str">
        <x:v>Execute; Critical; matching protection damage</x:v>
      </x:c>
      <x:c r="W46" s="79" t="str">
        <x:v>—</x:v>
      </x:c>
      <x:c r="X46" s="79" t="str">
        <x:v>—</x:v>
      </x:c>
      <x:c r="Y46" s="79" t="str">
        <x:v>—</x:v>
      </x:c>
      <x:c r="Z46" s="79" t="str">
        <x:v>—</x:v>
      </x:c>
      <x:c r="AA46" s="79" t="str">
        <x:v>—</x:v>
      </x:c>
      <x:c r="AB46" s="79" t="str">
        <x:v>—</x:v>
      </x:c>
      <x:c r="AC46" s="79" t="str">
        <x:v>—</x:v>
      </x:c>
      <x:c r="AD46" s="79" t="str">
        <x:v>PASS</x:v>
      </x:c>
      <x:c r="AE46" s="79" t="str">
        <x:v>PASS</x:v>
      </x:c>
      <x:c r="AF46" s="79" t="str">
        <x:v>Sun-Crown Trial: Your first damaging skill each turn against a target below 50% Health gains +10 percentage points Critical Chance and deals 2 additional damage to the matching protection pool.</x:v>
      </x:c>
    </x:row>
    <x:row r="47">
      <x:c r="A47" s="79" t="str">
        <x:v>Australian Pelican</x:v>
      </x:c>
      <x:c r="B47" s="79" t="str">
        <x:v>Brute</x:v>
      </x:c>
      <x:c r="C47" s="79" t="str">
        <x:v>Water</x:v>
      </x:c>
      <x:c r="D47" s="79" t="str">
        <x:v>Tidemouth Bastion</x:v>
      </x:c>
      <x:c r="E47" s="79" t="str">
        <x:v>After using a Water action, restore 2 Armour. Your next Strength weapon hit may apply Minor Might Down (-4 Might) only if Armour is depleted and Health is damaged.</x:v>
      </x:c>
      <x:c r="F47" s="79" t="str">
        <x:v>2-turn cooldown; the debuff is consumed on the next Strength hit.</x:v>
      </x:c>
      <x:c r="G47" s="79" t="n">
        <x:v>1</x:v>
      </x:c>
      <x:c r="H47" s="79" t="n">
        <x:v>1.5</x:v>
      </x:c>
      <x:c r="I47" s="79" t="str">
        <x:v>PASS v1.0</x:v>
      </x:c>
      <x:c r="J47" s="79" t="str">
        <x:v>Stillwater Reserve</x:v>
      </x:c>
      <x:c r="K47" s="79" t="n">
        <x:v>1</x:v>
      </x:c>
      <x:c r="L47" s="79" t="n">
        <x:v>3</x:v>
      </x:c>
      <x:c r="M47" s="79" t="str">
        <x:v>Self</x:v>
      </x:c>
      <x:c r="N47" s="79" t="str">
        <x:v>Heal 8% Maximum Health, cleanse 1 debuff and restore 4 to the lower protection pool.</x:v>
      </x:c>
      <x:c r="O47" s="79" t="n">
        <x:v>3</x:v>
      </x:c>
      <x:c r="P47" s="79" t="n">
        <x:v>2.5</x:v>
      </x:c>
      <x:c r="Q47" s="79" t="str">
        <x:v>PASS v1.0</x:v>
      </x:c>
      <x:c r="R47" s="79" t="str">
        <x:v>Crushing Momentum</x:v>
      </x:c>
      <x:c r="S47" s="79" t="str">
        <x:v>Once per turn after Armour absorbs physical damage, your next Strength weapon skill gains +10 Skill Power.</x:v>
      </x:c>
      <x:c r="T47" s="79" t="str">
        <x:v>Heavy Water weapons, Layered Scale and Crushing Momentum.</x:v>
      </x:c>
      <x:c r="U47" s="79" t="str">
        <x:v>Replaces generic Bastion wording with explicit protection effects.</x:v>
      </x:c>
      <x:c r="V47" s="79" t="str">
        <x:v>Armour restoration; Water action; physical debuff gate</x:v>
      </x:c>
      <x:c r="W47" s="79" t="str">
        <x:v>YES</x:v>
      </x:c>
      <x:c r="X47" s="79" t="str">
        <x:v>—</x:v>
      </x:c>
      <x:c r="Y47" s="79" t="str">
        <x:v>YES</x:v>
      </x:c>
      <x:c r="Z47" s="79" t="str">
        <x:v>—</x:v>
      </x:c>
      <x:c r="AA47" s="79" t="str">
        <x:v>—</x:v>
      </x:c>
      <x:c r="AB47" s="79" t="str">
        <x:v>—</x:v>
      </x:c>
      <x:c r="AC47" s="79" t="str">
        <x:v>YES</x:v>
      </x:c>
      <x:c r="AD47" s="79" t="str">
        <x:v>PASS</x:v>
      </x:c>
      <x:c r="AE47" s="79" t="str">
        <x:v>PASS</x:v>
      </x:c>
      <x:c r="AF47" s="79" t="str">
        <x:v>Tidemouth Bastion: After using a Water action, restore 2 Armour. Your next Strength weapon hit may apply Minor Might Down (-4 Might) only if Armour is depleted and Health is damaged.</x:v>
      </x:c>
    </x:row>
    <x:row r="48">
      <x:c r="A48" s="79" t="str">
        <x:v>Marabou Stork</x:v>
      </x:c>
      <x:c r="B48" s="79" t="str">
        <x:v>Inquisitor</x:v>
      </x:c>
      <x:c r="C48" s="79" t="str">
        <x:v>Water</x:v>
      </x:c>
      <x:c r="D48" s="79" t="str">
        <x:v>Carrion Opportunist</x:v>
      </x:c>
      <x:c r="E48" s="79" t="str">
        <x:v>Your first damaging action each turn against a target below 50% Health gains +10 Skill Power. If it damages Health, restore 2 to the lower protection pool.</x:v>
      </x:c>
      <x:c r="F48" s="79" t="str">
        <x:v>Once per turn.</x:v>
      </x:c>
      <x:c r="G48" s="79" t="n">
        <x:v>1</x:v>
      </x:c>
      <x:c r="H48" s="79" t="n">
        <x:v>1.5</x:v>
      </x:c>
      <x:c r="I48" s="79" t="str">
        <x:v>PASS v1.0</x:v>
      </x:c>
      <x:c r="J48" s="79" t="str">
        <x:v>Grave Hunt</x:v>
      </x:c>
      <x:c r="K48" s="79" t="n">
        <x:v>1</x:v>
      </x:c>
      <x:c r="L48" s="79" t="n">
        <x:v>2</x:v>
      </x:c>
      <x:c r="M48" s="79" t="str">
        <x:v>Enemy</x:v>
      </x:c>
      <x:c r="N48" s="79" t="str">
        <x:v>Apply Carrion Mark for 2 turns. It counts as a qualifying Mark for Judgement Leech but has no stat penalty and is not blocked by protection.</x:v>
      </x:c>
      <x:c r="O48" s="79" t="n">
        <x:v>1</x:v>
      </x:c>
      <x:c r="P48" s="79" t="n">
        <x:v>2</x:v>
      </x:c>
      <x:c r="Q48" s="79" t="str">
        <x:v>PASS v1.0</x:v>
      </x:c>
      <x:c r="R48" s="79" t="str">
        <x:v>Judgement Leech</x:v>
      </x:c>
      <x:c r="S48" s="79" t="str">
        <x:v>Once per turn after a damaging skill hits an ailmented, debuffed or Marked target, restore 2 to the lower of Armour or Magic Armour, capped at its normal maximum. If both pools are full, heal 5% Maximum Health.</x:v>
      </x:c>
      <x:c r="T48" s="79" t="str">
        <x:v>War Scythe, Focus Orb and Judgement Leech.</x:v>
      </x:c>
      <x:c r="U48" s="79" t="str">
        <x:v>Carrion Mark remains a Mark rather than an ailment.</x:v>
      </x:c>
      <x:c r="V48" s="79" t="str">
        <x:v>Execute; Mark; protection restoration; Skill Power</x:v>
      </x:c>
      <x:c r="W48" s="79" t="str">
        <x:v>—</x:v>
      </x:c>
      <x:c r="X48" s="79" t="str">
        <x:v>—</x:v>
      </x:c>
      <x:c r="Y48" s="79" t="str">
        <x:v>YES</x:v>
      </x:c>
      <x:c r="Z48" s="79" t="str">
        <x:v>—</x:v>
      </x:c>
      <x:c r="AA48" s="79" t="str">
        <x:v>—</x:v>
      </x:c>
      <x:c r="AB48" s="79" t="str">
        <x:v>—</x:v>
      </x:c>
      <x:c r="AC48" s="79" t="str">
        <x:v>YES</x:v>
      </x:c>
      <x:c r="AD48" s="79" t="str">
        <x:v>PASS</x:v>
      </x:c>
      <x:c r="AE48" s="79" t="str">
        <x:v>PASS</x:v>
      </x:c>
      <x:c r="AF48" s="79" t="str">
        <x:v>Carrion Opportunist: Your first damaging action each turn against a target below 50% Health gains +10 Skill Power. If it damages Health, restore 2 to the lower protection pool.</x:v>
      </x:c>
    </x:row>
    <x:row r="49">
      <x:c r="A49" s="79" t="str">
        <x:v>Pigeon</x:v>
      </x:c>
      <x:c r="B49" s="79" t="str">
        <x:v>Bard</x:v>
      </x:c>
      <x:c r="C49" s="79" t="str">
        <x:v>Earth</x:v>
      </x:c>
      <x:c r="D49" s="79" t="str">
        <x:v>Cobble-Crown Muster</x:v>
      </x:c>
      <x:c r="E49" s="79" t="str">
        <x:v>After using a support utility, your next Earth damaging skill gains +10 Skill Power and restores 1 to the lower protection pool on hit.</x:v>
      </x:c>
      <x:c r="F49" s="79" t="str">
        <x:v>Once per turn; consumed on hit or miss.</x:v>
      </x:c>
      <x:c r="G49" s="79" t="n">
        <x:v>1</x:v>
      </x:c>
      <x:c r="H49" s="79" t="n">
        <x:v>1.5</x:v>
      </x:c>
      <x:c r="I49" s="79" t="str">
        <x:v>PASS v1.0</x:v>
      </x:c>
      <x:c r="J49" s="79" t="str">
        <x:v>Streetwise Muster</x:v>
      </x:c>
      <x:c r="K49" s="79" t="n">
        <x:v>1</x:v>
      </x:c>
      <x:c r="L49" s="79" t="n">
        <x:v>2</x:v>
      </x:c>
      <x:c r="M49" s="79" t="str">
        <x:v>Self</x:v>
      </x:c>
      <x:c r="N49" s="79" t="str">
        <x:v>Restore 3 Armour and 3 Magic Armour, each capped at its normal maximum.</x:v>
      </x:c>
      <x:c r="O49" s="79" t="n">
        <x:v>2</x:v>
      </x:c>
      <x:c r="P49" s="79" t="n">
        <x:v>2</x:v>
      </x:c>
      <x:c r="Q49" s="79" t="str">
        <x:v>PASS v1.0</x:v>
      </x:c>
      <x:c r="R49" s="79" t="str">
        <x:v>Verse and Chorus</x:v>
      </x:c>
      <x:c r="S49" s="79" t="str">
        <x:v>Once per turn, when you alternate Martial and Magic damaging skills, the second skill restores 2 to the lower protection pool. If both pools are full, it gains +10 Skill Power instead.</x:v>
      </x:c>
      <x:c r="T49" s="79" t="str">
        <x:v>Layered Scale, Bard Song and Earth weapons.</x:v>
      </x:c>
      <x:c r="U49" s="79" t="str">
        <x:v>Brace and generic Damage Up wording removed.</x:v>
      </x:c>
      <x:c r="V49" s="79" t="str">
        <x:v>Support utility; Skill Power; dual restoration</x:v>
      </x:c>
      <x:c r="W49" s="79" t="str">
        <x:v>YES</x:v>
      </x:c>
      <x:c r="X49" s="79" t="str">
        <x:v>YES</x:v>
      </x:c>
      <x:c r="Y49" s="79" t="str">
        <x:v>YES</x:v>
      </x:c>
      <x:c r="Z49" s="79" t="str">
        <x:v>—</x:v>
      </x:c>
      <x:c r="AA49" s="79" t="str">
        <x:v>—</x:v>
      </x:c>
      <x:c r="AB49" s="79" t="str">
        <x:v>—</x:v>
      </x:c>
      <x:c r="AC49" s="79" t="str">
        <x:v>—</x:v>
      </x:c>
      <x:c r="AD49" s="79" t="str">
        <x:v>PASS</x:v>
      </x:c>
      <x:c r="AE49" s="79" t="str">
        <x:v>PASS</x:v>
      </x:c>
      <x:c r="AF49" s="79" t="str">
        <x:v>Cobble-Crown Muster: After using a support utility, your next Earth damaging skill gains +10 Skill Power and restores 1 to the lower protection pool on hit.</x:v>
      </x:c>
    </x:row>
    <x:row r="50">
      <x:c r="A50" s="79" t="str">
        <x:v>Rock Pigeon</x:v>
      </x:c>
      <x:c r="B50" s="79" t="str">
        <x:v>Knight</x:v>
      </x:c>
      <x:c r="C50" s="79" t="str">
        <x:v>Earth</x:v>
      </x:c>
      <x:c r="D50" s="79" t="str">
        <x:v>Quarrylord Rise</x:v>
      </x:c>
      <x:c r="E50" s="79" t="str">
        <x:v>After restoring Armour or gaining Fortify, your next Earth hit deals 2 additional Armour damage. If it damages Health, apply Minor Guard Down (-4 Guard) for 1 turn.</x:v>
      </x:c>
      <x:c r="F50" s="79" t="str">
        <x:v>Once per turn; consumed on hit.</x:v>
      </x:c>
      <x:c r="G50" s="79" t="n">
        <x:v>1</x:v>
      </x:c>
      <x:c r="H50" s="79" t="n">
        <x:v>1.5</x:v>
      </x:c>
      <x:c r="I50" s="79" t="str">
        <x:v>PASS v1.0</x:v>
      </x:c>
      <x:c r="J50" s="79" t="str">
        <x:v>Quarry Brace</x:v>
      </x:c>
      <x:c r="K50" s="79" t="n">
        <x:v>1</x:v>
      </x:c>
      <x:c r="L50" s="79" t="n">
        <x:v>2</x:v>
      </x:c>
      <x:c r="M50" s="79" t="str">
        <x:v>Self</x:v>
      </x:c>
      <x:c r="N50" s="79" t="str">
        <x:v>Restore 4 Armour and gain Minor Resolve Up (+4 Resolve) until the start of your next turn.</x:v>
      </x:c>
      <x:c r="O50" s="79" t="n">
        <x:v>2</x:v>
      </x:c>
      <x:c r="P50" s="79" t="n">
        <x:v>2</x:v>
      </x:c>
      <x:c r="Q50" s="79" t="str">
        <x:v>PASS v1.0</x:v>
      </x:c>
      <x:c r="R50" s="79" t="str">
        <x:v>Bulwark Oath</x:v>
      </x:c>
      <x:c r="S50" s="79" t="str">
        <x:v>Once per turn, after using Armour Restoration or Fortify, gain Minor Guard Up (+4 Guard) until the start of your next turn.</x:v>
      </x:c>
      <x:c r="T50" s="79" t="str">
        <x:v>Ironfeather, Layered Scale and Earth weapons.</x:v>
      </x:c>
      <x:c r="U50" s="79" t="str">
        <x:v>Barrier and Brace Down wording removed.</x:v>
      </x:c>
      <x:c r="V50" s="79" t="str">
        <x:v>Armour restoration; Fortify; Armour damage; Guard debuff</x:v>
      </x:c>
      <x:c r="W50" s="79" t="str">
        <x:v>YES</x:v>
      </x:c>
      <x:c r="X50" s="79" t="str">
        <x:v>—</x:v>
      </x:c>
      <x:c r="Y50" s="79" t="str">
        <x:v>YES</x:v>
      </x:c>
      <x:c r="Z50" s="79" t="str">
        <x:v>YES</x:v>
      </x:c>
      <x:c r="AA50" s="79" t="str">
        <x:v>—</x:v>
      </x:c>
      <x:c r="AB50" s="79" t="str">
        <x:v>Armour</x:v>
      </x:c>
      <x:c r="AC50" s="79" t="str">
        <x:v>YES</x:v>
      </x:c>
      <x:c r="AD50" s="79" t="str">
        <x:v>PASS</x:v>
      </x:c>
      <x:c r="AE50" s="79" t="str">
        <x:v>PASS</x:v>
      </x:c>
      <x:c r="AF50" s="79" t="str">
        <x:v>Quarrylord Rise: After restoring Armour or gaining Fortify, your next Earth hit deals 2 additional Armour damage. If it damages Health, apply Minor Guard Down (-4 Guard) for 1 turn.</x:v>
      </x:c>
    </x:row>
    <x:row r="51">
      <x:c r="A51" s="79" t="str">
        <x:v>Dove</x:v>
      </x:c>
      <x:c r="B51" s="79" t="str">
        <x:v>Bard</x:v>
      </x:c>
      <x:c r="C51" s="79" t="str">
        <x:v>Day</x:v>
      </x:c>
      <x:c r="D51" s="79" t="str">
        <x:v>White-Feather Covenant</x:v>
      </x:c>
      <x:c r="E51" s="79" t="str">
        <x:v>The first support or song skill you use each turn restores 2 Magic Armour. If Magic Armour is full, gain Minor Resolve Up (+4 Resolve) until the start of your next turn.</x:v>
      </x:c>
      <x:c r="F51" s="79" t="str">
        <x:v>Once per turn.</x:v>
      </x:c>
      <x:c r="G51" s="79" t="n">
        <x:v>1</x:v>
      </x:c>
      <x:c r="H51" s="79" t="n">
        <x:v>1.5</x:v>
      </x:c>
      <x:c r="I51" s="79" t="str">
        <x:v>PASS v1.0</x:v>
      </x:c>
      <x:c r="J51" s="79" t="str">
        <x:v>Peaceful Refrain</x:v>
      </x:c>
      <x:c r="K51" s="79" t="n">
        <x:v>1</x:v>
      </x:c>
      <x:c r="L51" s="79" t="n">
        <x:v>3</x:v>
      </x:c>
      <x:c r="M51" s="79" t="str">
        <x:v>Self</x:v>
      </x:c>
      <x:c r="N51" s="79" t="str">
        <x:v>Cleanse 1 debuff and gain 6 Ward Magic Armour for 2 turns.</x:v>
      </x:c>
      <x:c r="O51" s="79" t="n">
        <x:v>2.5</x:v>
      </x:c>
      <x:c r="P51" s="79" t="n">
        <x:v>2.5</x:v>
      </x:c>
      <x:c r="Q51" s="79" t="str">
        <x:v>PASS v1.0</x:v>
      </x:c>
      <x:c r="R51" s="79" t="str">
        <x:v>Verse and Chorus</x:v>
      </x:c>
      <x:c r="S51" s="79" t="str">
        <x:v>Once per turn, when you alternate Martial and Magic damaging skills, the second skill restores 2 to the lower protection pool. If both pools are full, it gains +10 Skill Power instead.</x:v>
      </x:c>
      <x:c r="T51" s="79" t="str">
        <x:v>Dawnfeather, Runewoven and Bard Song.</x:v>
      </x:c>
      <x:c r="U51" s="79" t="str">
        <x:v>Replaces the legacy Barrier.</x:v>
      </x:c>
      <x:c r="V51" s="79" t="str">
        <x:v>Support; Ward; Magic Armour restoration</x:v>
      </x:c>
      <x:c r="W51" s="79" t="str">
        <x:v>YES</x:v>
      </x:c>
      <x:c r="X51" s="79" t="str">
        <x:v>YES</x:v>
      </x:c>
      <x:c r="Y51" s="79" t="str">
        <x:v>YES</x:v>
      </x:c>
      <x:c r="Z51" s="79" t="str">
        <x:v>—</x:v>
      </x:c>
      <x:c r="AA51" s="79" t="str">
        <x:v>YES</x:v>
      </x:c>
      <x:c r="AB51" s="79" t="str">
        <x:v>—</x:v>
      </x:c>
      <x:c r="AC51" s="79" t="str">
        <x:v>—</x:v>
      </x:c>
      <x:c r="AD51" s="79" t="str">
        <x:v>PASS</x:v>
      </x:c>
      <x:c r="AE51" s="79" t="str">
        <x:v>PASS</x:v>
      </x:c>
      <x:c r="AF51" s="79" t="str">
        <x:v>White-Feather Covenant: The first support or song skill you use each turn restores 2 Magic Armour. If Magic Armour is full, gain Minor Resolve Up (+4 Resolve) until the start of your next turn.</x:v>
      </x:c>
    </x:row>
    <x:row r="52">
      <x:c r="A52" s="79" t="str">
        <x:v>Rock Dove</x:v>
      </x:c>
      <x:c r="B52" s="79" t="str">
        <x:v>Bard</x:v>
      </x:c>
      <x:c r="C52" s="79" t="str">
        <x:v>Earth</x:v>
      </x:c>
      <x:c r="D52" s="79" t="str">
        <x:v>Stone-Court Oath</x:v>
      </x:c>
      <x:c r="E52" s="79" t="str">
        <x:v>After Armour absorbs physical damage, your next song or call restores 3 Armour, capped at its normal maximum.</x:v>
      </x:c>
      <x:c r="F52" s="79" t="str">
        <x:v>Once per turn; consumed when the song or call resolves.</x:v>
      </x:c>
      <x:c r="G52" s="79" t="n">
        <x:v>1</x:v>
      </x:c>
      <x:c r="H52" s="79" t="n">
        <x:v>1.5</x:v>
      </x:c>
      <x:c r="I52" s="79" t="str">
        <x:v>PASS v1.0</x:v>
      </x:c>
      <x:c r="J52" s="79" t="str">
        <x:v>Stone Refrain</x:v>
      </x:c>
      <x:c r="K52" s="79" t="n">
        <x:v>1</x:v>
      </x:c>
      <x:c r="L52" s="79" t="n">
        <x:v>3</x:v>
      </x:c>
      <x:c r="M52" s="79" t="str">
        <x:v>Self</x:v>
      </x:c>
      <x:c r="N52" s="79" t="str">
        <x:v>Gain 4 Fortified Armour for 2 turns.</x:v>
      </x:c>
      <x:c r="O52" s="79" t="n">
        <x:v>1</x:v>
      </x:c>
      <x:c r="P52" s="79" t="n">
        <x:v>2</x:v>
      </x:c>
      <x:c r="Q52" s="79" t="str">
        <x:v>PASS v1.0</x:v>
      </x:c>
      <x:c r="R52" s="79" t="str">
        <x:v>Verse and Chorus</x:v>
      </x:c>
      <x:c r="S52" s="79" t="str">
        <x:v>Once per turn, when you alternate Martial and Magic damaging skills, the second skill restores 2 to the lower protection pool. If both pools are full, it gains +10 Skill Power instead.</x:v>
      </x:c>
      <x:c r="T52" s="79" t="str">
        <x:v>Layered Scale, Ironfeather and Bard support builds.</x:v>
      </x:c>
      <x:c r="U52" s="79" t="str">
        <x:v>Brace and generic Damage Down wording removed.</x:v>
      </x:c>
      <x:c r="V52" s="79" t="str">
        <x:v>Armour absorption; Armour restoration; Fortify</x:v>
      </x:c>
      <x:c r="W52" s="79" t="str">
        <x:v>YES</x:v>
      </x:c>
      <x:c r="X52" s="79" t="str">
        <x:v>—</x:v>
      </x:c>
      <x:c r="Y52" s="79" t="str">
        <x:v>YES</x:v>
      </x:c>
      <x:c r="Z52" s="79" t="str">
        <x:v>YES</x:v>
      </x:c>
      <x:c r="AA52" s="79" t="str">
        <x:v>—</x:v>
      </x:c>
      <x:c r="AB52" s="79" t="str">
        <x:v>Armour</x:v>
      </x:c>
      <x:c r="AC52" s="79" t="str">
        <x:v>—</x:v>
      </x:c>
      <x:c r="AD52" s="79" t="str">
        <x:v>PASS</x:v>
      </x:c>
      <x:c r="AE52" s="79" t="str">
        <x:v>PASS</x:v>
      </x:c>
      <x:c r="AF52" s="79" t="str">
        <x:v>Stone-Court Oath: After Armour absorbs physical damage, your next song or call restores 3 Armour, capped at its normal maximum.</x:v>
      </x:c>
    </x:row>
    <x:row r="53">
      <x:c r="A53" s="79" t="str">
        <x:v>Kakapo</x:v>
      </x:c>
      <x:c r="B53" s="79" t="str">
        <x:v>Bard</x:v>
      </x:c>
      <x:c r="C53" s="79" t="str">
        <x:v>Earth</x:v>
      </x:c>
      <x:c r="D53" s="79" t="str">
        <x:v>Moss-King Dream</x:v>
      </x:c>
      <x:c r="E53" s="79" t="str">
        <x:v>While below 50% Health, the first song you use restores 2 to the lower protection pool and heals 5% Maximum Health.</x:v>
      </x:c>
      <x:c r="F53" s="79" t="str">
        <x:v>3-turn cooldown; does not trigger from Moss Dream.</x:v>
      </x:c>
      <x:c r="G53" s="79" t="n">
        <x:v>1</x:v>
      </x:c>
      <x:c r="H53" s="79" t="n">
        <x:v>1.5</x:v>
      </x:c>
      <x:c r="I53" s="79" t="str">
        <x:v>PASS v1.0</x:v>
      </x:c>
      <x:c r="J53" s="79" t="str">
        <x:v>Moss Dream</x:v>
      </x:c>
      <x:c r="K53" s="79" t="n">
        <x:v>1</x:v>
      </x:c>
      <x:c r="L53" s="79" t="n">
        <x:v>3</x:v>
      </x:c>
      <x:c r="M53" s="79" t="str">
        <x:v>Self</x:v>
      </x:c>
      <x:c r="N53" s="79" t="str">
        <x:v>Heal 8% Maximum Health and restore 3 Magic Armour.</x:v>
      </x:c>
      <x:c r="O53" s="79" t="n">
        <x:v>3</x:v>
      </x:c>
      <x:c r="P53" s="79" t="n">
        <x:v>2.5</x:v>
      </x:c>
      <x:c r="Q53" s="79" t="str">
        <x:v>PASS v1.0</x:v>
      </x:c>
      <x:c r="R53" s="79" t="str">
        <x:v>Verse and Chorus</x:v>
      </x:c>
      <x:c r="S53" s="79" t="str">
        <x:v>Once per turn, when you alternate Martial and Magic damaging skills, the second skill restores 2 to the lower protection pool. If both pools are full, it gains +10 Skill Power instead.</x:v>
      </x:c>
      <x:c r="T53" s="79" t="str">
        <x:v>Dawnfeather, defensive songs and Verse and Chorus.</x:v>
      </x:c>
      <x:c r="U53" s="79" t="str">
        <x:v>Sustain is split between Health and protection.</x:v>
      </x:c>
      <x:c r="V53" s="79" t="str">
        <x:v>Low-Health sustain; protection restoration</x:v>
      </x:c>
      <x:c r="W53" s="79" t="str">
        <x:v>YES</x:v>
      </x:c>
      <x:c r="X53" s="79" t="str">
        <x:v>YES</x:v>
      </x:c>
      <x:c r="Y53" s="79" t="str">
        <x:v>YES</x:v>
      </x:c>
      <x:c r="Z53" s="79" t="str">
        <x:v>—</x:v>
      </x:c>
      <x:c r="AA53" s="79" t="str">
        <x:v>—</x:v>
      </x:c>
      <x:c r="AB53" s="79" t="str">
        <x:v>—</x:v>
      </x:c>
      <x:c r="AC53" s="79" t="str">
        <x:v>—</x:v>
      </x:c>
      <x:c r="AD53" s="79" t="str">
        <x:v>PASS</x:v>
      </x:c>
      <x:c r="AE53" s="79" t="str">
        <x:v>PASS</x:v>
      </x:c>
      <x:c r="AF53" s="79" t="str">
        <x:v>Moss-King Dream: While below 50% Health, the first song you use restores 2 to the lower protection pool and heals 5% Maximum Health.</x:v>
      </x:c>
    </x:row>
    <x:row r="54">
      <x:c r="A54" s="79" t="str">
        <x:v>Dodo</x:v>
      </x:c>
      <x:c r="B54" s="79" t="str">
        <x:v>Knight</x:v>
      </x:c>
      <x:c r="C54" s="79" t="str">
        <x:v>Earth</x:v>
      </x:c>
      <x:c r="D54" s="79" t="str">
        <x:v>Fool-King Reckoning</x:v>
      </x:c>
      <x:c r="E54" s="79" t="str">
        <x:v>The first time each combat your Armour reaches 0 while below 50% Health, restore 4 Armour and gain Minor Guard Up (+4 Guard) until the start of your next turn.</x:v>
      </x:c>
      <x:c r="F54" s="79" t="str">
        <x:v>Once per combat.</x:v>
      </x:c>
      <x:c r="G54" s="79" t="n">
        <x:v>1</x:v>
      </x:c>
      <x:c r="H54" s="79" t="n">
        <x:v>1.5</x:v>
      </x:c>
      <x:c r="I54" s="79" t="str">
        <x:v>PASS v1.0</x:v>
      </x:c>
      <x:c r="J54" s="79" t="str">
        <x:v>Stubborn Stand</x:v>
      </x:c>
      <x:c r="K54" s="79" t="n">
        <x:v>1</x:v>
      </x:c>
      <x:c r="L54" s="79" t="n">
        <x:v>4</x:v>
      </x:c>
      <x:c r="M54" s="79" t="str">
        <x:v>Self</x:v>
      </x:c>
      <x:c r="N54" s="79" t="str">
        <x:v>Gain 8 Fortified Armour for 2 turns. While Fortify remains, suffer Minor Agility Down (-4 Agility).</x:v>
      </x:c>
      <x:c r="O54" s="79" t="n">
        <x:v>2.5</x:v>
      </x:c>
      <x:c r="P54" s="79" t="n">
        <x:v>2.5</x:v>
      </x:c>
      <x:c r="Q54" s="79" t="str">
        <x:v>PASS v1.0</x:v>
      </x:c>
      <x:c r="R54" s="79" t="str">
        <x:v>Bulwark Oath</x:v>
      </x:c>
      <x:c r="S54" s="79" t="str">
        <x:v>Once per turn, after using Armour Restoration or Fortify, gain Minor Guard Up (+4 Guard) until the start of your next turn.</x:v>
      </x:c>
      <x:c r="T54" s="79" t="str">
        <x:v>Ironfeather, shields and Bulwark Oath.</x:v>
      </x:c>
      <x:c r="U54" s="79" t="str">
        <x:v>Replaces generic damage reduction and the legacy Barrier.</x:v>
      </x:c>
      <x:c r="V54" s="79" t="str">
        <x:v>Armour depletion; Armour restoration; Fortify</x:v>
      </x:c>
      <x:c r="W54" s="79" t="str">
        <x:v>YES</x:v>
      </x:c>
      <x:c r="X54" s="79" t="str">
        <x:v>—</x:v>
      </x:c>
      <x:c r="Y54" s="79" t="str">
        <x:v>YES</x:v>
      </x:c>
      <x:c r="Z54" s="79" t="str">
        <x:v>YES</x:v>
      </x:c>
      <x:c r="AA54" s="79" t="str">
        <x:v>—</x:v>
      </x:c>
      <x:c r="AB54" s="79" t="str">
        <x:v>Armour</x:v>
      </x:c>
      <x:c r="AC54" s="79" t="str">
        <x:v>—</x:v>
      </x:c>
      <x:c r="AD54" s="79" t="str">
        <x:v>PASS</x:v>
      </x:c>
      <x:c r="AE54" s="79" t="str">
        <x:v>PASS</x:v>
      </x:c>
      <x:c r="AF54" s="79" t="str">
        <x:v>Fool-King Reckoning: The first time each combat your Armour reaches 0 while below 50% Health, restore 4 Armour and gain Minor Guard Up (+4 Guard) until the start of your next turn.</x:v>
      </x:c>
    </x:row>
    <x:row r="55">
      <x:c r="A55" s="79" t="str">
        <x:v>Chickadee</x:v>
      </x:c>
      <x:c r="B55" s="79" t="str">
        <x:v>Rogue</x:v>
      </x:c>
      <x:c r="C55" s="79" t="str">
        <x:v>Earth</x:v>
      </x:c>
      <x:c r="D55" s="79" t="str">
        <x:v>Pine-Nest Covenant</x:v>
      </x:c>
      <x:c r="E55" s="79" t="str">
        <x:v>After using Pine Cover, your next Weapon Skill 1 gains +10 Skill Power and +10 Precision.</x:v>
      </x:c>
      <x:c r="F55" s="79" t="str">
        <x:v>Once per turn; consumed on hit or miss.</x:v>
      </x:c>
      <x:c r="G55" s="79" t="n">
        <x:v>1</x:v>
      </x:c>
      <x:c r="H55" s="79" t="n">
        <x:v>1.5</x:v>
      </x:c>
      <x:c r="I55" s="79" t="str">
        <x:v>PASS v1.0</x:v>
      </x:c>
      <x:c r="J55" s="79" t="str">
        <x:v>Pine Cover</x:v>
      </x:c>
      <x:c r="K55" s="79" t="n">
        <x:v>1</x:v>
      </x:c>
      <x:c r="L55" s="79" t="n">
        <x:v>2</x:v>
      </x:c>
      <x:c r="M55" s="79" t="str">
        <x:v>Self</x:v>
      </x:c>
      <x:c r="N55" s="79" t="str">
        <x:v>Restore 3 Armour and 3 Magic Armour, each capped at its normal maximum.</x:v>
      </x:c>
      <x:c r="O55" s="79" t="n">
        <x:v>2</x:v>
      </x:c>
      <x:c r="P55" s="79" t="n">
        <x:v>2</x:v>
      </x:c>
      <x:c r="Q55" s="79" t="str">
        <x:v>PASS v1.0</x:v>
      </x:c>
      <x:c r="R55" s="79" t="str">
        <x:v>Rogue Tempo</x:v>
      </x:c>
      <x:c r="S55" s="79" t="str">
        <x:v>Once per turn, if acting before the target, your first Weapon Skill 1 gains +10 Precision. If that skill breaks Armour, gain Minor Agility Up (+4 Agility) until the start of your next turn.</x:v>
      </x:c>
      <x:c r="T55" s="79" t="str">
        <x:v>Dagger Pinion, Shadowplume and Rogue Tempo.</x:v>
      </x:c>
      <x:c r="U55" s="79" t="str">
        <x:v>No longer tied to a 1 EN Martial action.</x:v>
      </x:c>
      <x:c r="V55" s="79" t="str">
        <x:v>Weapon Skill 1; dual restoration; Precision</x:v>
      </x:c>
      <x:c r="W55" s="79" t="str">
        <x:v>YES</x:v>
      </x:c>
      <x:c r="X55" s="79" t="str">
        <x:v>YES</x:v>
      </x:c>
      <x:c r="Y55" s="79" t="str">
        <x:v>YES</x:v>
      </x:c>
      <x:c r="Z55" s="79" t="str">
        <x:v>—</x:v>
      </x:c>
      <x:c r="AA55" s="79" t="str">
        <x:v>—</x:v>
      </x:c>
      <x:c r="AB55" s="79" t="str">
        <x:v>—</x:v>
      </x:c>
      <x:c r="AC55" s="79" t="str">
        <x:v>—</x:v>
      </x:c>
      <x:c r="AD55" s="79" t="str">
        <x:v>PASS</x:v>
      </x:c>
      <x:c r="AE55" s="79" t="str">
        <x:v>PASS</x:v>
      </x:c>
      <x:c r="AF55" s="79" t="str">
        <x:v>Pine-Nest Covenant: After using Pine Cover, your next Weapon Skill 1 gains +10 Skill Power and +10 Precision.</x:v>
      </x:c>
    </x:row>
    <x:row r="56">
      <x:c r="A56" s="79" t="str">
        <x:v>Finch</x:v>
      </x:c>
      <x:c r="B56" s="79" t="str">
        <x:v>Rogue</x:v>
      </x:c>
      <x:c r="C56" s="79" t="str">
        <x:v>Earth</x:v>
      </x:c>
      <x:c r="D56" s="79" t="str">
        <x:v>Seed-Crown Flourish</x:v>
      </x:c>
      <x:c r="E56" s="79" t="str">
        <x:v>After using Natural Strike, your next Earth Weapon Skill 1 or 2 gains +10 Skill Power and restores 1 Armour on hit.</x:v>
      </x:c>
      <x:c r="F56" s="79" t="str">
        <x:v>Once per turn; consumed on hit or miss.</x:v>
      </x:c>
      <x:c r="G56" s="79" t="n">
        <x:v>1</x:v>
      </x:c>
      <x:c r="H56" s="79" t="n">
        <x:v>1.5</x:v>
      </x:c>
      <x:c r="I56" s="79" t="str">
        <x:v>PASS v1.0</x:v>
      </x:c>
      <x:c r="J56" s="79" t="str">
        <x:v>Seed Scatter</x:v>
      </x:c>
      <x:c r="K56" s="79" t="n">
        <x:v>1</x:v>
      </x:c>
      <x:c r="L56" s="79" t="n">
        <x:v>2</x:v>
      </x:c>
      <x:c r="M56" s="79" t="str">
        <x:v>Enemy</x:v>
      </x:c>
      <x:c r="N56" s="79" t="str">
        <x:v>Deal 2 Armour damage. If the target has no Armour after the effect, apply Minor Agility Down (-4 Agility) for 1 turn.</x:v>
      </x:c>
      <x:c r="O56" s="79" t="n">
        <x:v>1</x:v>
      </x:c>
      <x:c r="P56" s="79" t="n">
        <x:v>2</x:v>
      </x:c>
      <x:c r="Q56" s="79" t="str">
        <x:v>PASS v1.0</x:v>
      </x:c>
      <x:c r="R56" s="79" t="str">
        <x:v>Rogue Tempo</x:v>
      </x:c>
      <x:c r="S56" s="79" t="str">
        <x:v>Once per turn, if acting before the target, your first Weapon Skill 1 gains +10 Precision. If that skill breaks Armour, gain Minor Agility Up (+4 Agility) until the start of your next turn.</x:v>
      </x:c>
      <x:c r="T56" s="79" t="str">
        <x:v>Earth Talon Blade, Bow and light defensive sets.</x:v>
      </x:c>
      <x:c r="U56" s="79" t="str">
        <x:v>Basic Attack wording standardised to Natural Strike.</x:v>
      </x:c>
      <x:c r="V56" s="79" t="str">
        <x:v>Natural Strike; weapon skills; Armour restoration; Armour pressure</x:v>
      </x:c>
      <x:c r="W56" s="79" t="str">
        <x:v>YES</x:v>
      </x:c>
      <x:c r="X56" s="79" t="str">
        <x:v>—</x:v>
      </x:c>
      <x:c r="Y56" s="79" t="str">
        <x:v>YES</x:v>
      </x:c>
      <x:c r="Z56" s="79" t="str">
        <x:v>—</x:v>
      </x:c>
      <x:c r="AA56" s="79" t="str">
        <x:v>—</x:v>
      </x:c>
      <x:c r="AB56" s="79" t="str">
        <x:v>—</x:v>
      </x:c>
      <x:c r="AC56" s="79" t="str">
        <x:v>—</x:v>
      </x:c>
      <x:c r="AD56" s="79" t="str">
        <x:v>PASS</x:v>
      </x:c>
      <x:c r="AE56" s="79" t="str">
        <x:v>PASS</x:v>
      </x:c>
      <x:c r="AF56" s="79" t="str">
        <x:v>Seed-Crown Flourish: After using Natural Strike, your next Earth Weapon Skill 1 or 2 gains +10 Skill Power and restores 1 Armour on hit.</x:v>
      </x:c>
    </x:row>
  </x:sheetData>
  <x:mergeCells>
    <x:mergeCell ref="A2:U2"/>
    <x:mergeCell ref="A1:AF1"/>
    <x:mergeCell ref="A2:A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64" hidden="0" customWidth="1"/>
    <x:col min="4" max="4" width="34" hidden="0" customWidth="1"/>
    <x:col min="5" max="5" width="20" hidden="0" customWidth="1"/>
    <x:col min="6" max="6" width="14" hidden="0" customWidth="1"/>
    <x:col min="7" max="7" width="42" hidden="0" customWidth="1"/>
    <x:col min="8" max="8" width="38" hidden="0" customWidth="1"/>
  </x:cols>
  <x:sheetData>
    <x:row r="1">
      <x:c r="A1" s="4" t="str">
        <x:v>Combat Scaling Model v0.8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The active pipeline centralises all confirmed conversions and removes percentage core equipment.</x:v>
      </x:c>
      <x:c r="B2" s="10"/>
      <x:c r="C2" s="10"/>
      <x:c r="D2" s="10"/>
      <x:c r="E2" s="10"/>
      <x:c r="F2" s="10"/>
      <x:c r="G2" s="10"/>
      <x:c r="H2" s="10"/>
    </x:row>
    <x:row r="3">
      <x:c r="A3"/>
      <x:c r="B3"/>
      <x:c r="C3"/>
      <x:c r="D3"/>
      <x:c r="E3"/>
      <x:c r="F3"/>
      <x:c r="G3"/>
      <x:c r="H3"/>
    </x:row>
    <x:row r="4">
      <x:c r="A4" s="17" t="str">
        <x:v>Step</x:v>
      </x:c>
      <x:c r="B4" s="17" t="str">
        <x:v>Stage</x:v>
      </x:c>
      <x:c r="C4" s="17" t="str">
        <x:v>Formula</x:v>
      </x:c>
      <x:c r="D4" s="17" t="str">
        <x:v>Inputs</x:v>
      </x:c>
      <x:c r="E4" s="17" t="str">
        <x:v>Rounding</x:v>
      </x:c>
      <x:c r="F4" s="17" t="str">
        <x:v>Status</x:v>
      </x:c>
      <x:c r="G4" s="17" t="str">
        <x:v>Purpose</x:v>
      </x:c>
      <x:c r="H4" s="17" t="str">
        <x:v>Example</x:v>
      </x:c>
    </x:row>
    <x:row r="5">
      <x:c r="A5" s="24" t="n">
        <x:v>1</x:v>
      </x:c>
      <x:c r="B5" s="24" t="str">
        <x:v>Developed Base Health</x:v>
      </x:c>
      <x:c r="C5" s="24" t="str">
        <x:v>Species Base Health plus approved level/tier health progression</x:v>
      </x:c>
      <x:c r="D5" s="24" t="str">
        <x:v>Bird Stats; Progression</x:v>
      </x:c>
      <x:c r="E5" s="24" t="str">
        <x:v>Whole or one decimal</x:v>
      </x:c>
      <x:c r="F5" s="24" t="str">
        <x:v>Active</x:v>
      </x:c>
      <x:c r="G5" s="24" t="str">
        <x:v>Health foundation before Vitality</x:v>
      </x:c>
      <x:c r="H5" s="24" t="str">
        <x:v>40 Base Health</x:v>
      </x:c>
    </x:row>
    <x:row r="6">
      <x:c r="A6" s="24" t="n">
        <x:v>2</x:v>
      </x:c>
      <x:c r="B6" s="24" t="str">
        <x:v>Developed Core Stat</x:v>
      </x:c>
      <x:c r="C6" s="24" t="str">
        <x:v>Base stat + level/star flat changes, then approved tier progression</x:v>
      </x:c>
      <x:c r="D6" s="24" t="str">
        <x:v>Bird Stats; Progression</x:v>
      </x:c>
      <x:c r="E6" s="24" t="str">
        <x:v>Round once after tier</x:v>
      </x:c>
      <x:c r="F6" s="24" t="str">
        <x:v>Active</x:v>
      </x:c>
      <x:c r="G6" s="24" t="str">
        <x:v>Preserve species/class identity</x:v>
      </x:c>
      <x:c r="H6" s="24" t="str">
        <x:v>12 Dexterity</x:v>
      </x:c>
    </x:row>
    <x:row r="7">
      <x:c r="A7" s="24" t="n">
        <x:v>3</x:v>
      </x:c>
      <x:c r="B7" s="24" t="str">
        <x:v>Equipment Core Stat</x:v>
      </x:c>
      <x:c r="C7" s="24" t="str">
        <x:v>Developed stat + sum of flat equipment rolls</x:v>
      </x:c>
      <x:c r="D7" s="24" t="str">
        <x:v>Equipment Stats</x:v>
      </x:c>
      <x:c r="E7" s="24" t="str">
        <x:v>Integer</x:v>
      </x:c>
      <x:c r="F7" s="24" t="str">
        <x:v>Active</x:v>
      </x:c>
      <x:c r="G7" s="24" t="str">
        <x:v>No core-stat percentage multiplier</x:v>
      </x:c>
      <x:c r="H7" s="24" t="str">
        <x:v>12 Dex + 4 equipment = 16</x:v>
      </x:c>
    </x:row>
    <x:row r="8">
      <x:c r="A8" s="24" t="n">
        <x:v>4</x:v>
      </x:c>
      <x:c r="B8" s="24" t="str">
        <x:v>Temporary Core Stat</x:v>
      </x:c>
      <x:c r="C8" s="24" t="str">
        <x:v>Equipment stat + strongest Up − strongest Down</x:v>
      </x:c>
      <x:c r="D8" s="24" t="str">
        <x:v>Effect Tiers</x:v>
      </x:c>
      <x:c r="E8" s="24" t="str">
        <x:v>Integer</x:v>
      </x:c>
      <x:c r="F8" s="24" t="str">
        <x:v>Active</x:v>
      </x:c>
      <x:c r="G8" s="24" t="str">
        <x:v>Flat 4 / 10 / 20 effects</x:v>
      </x:c>
      <x:c r="H8" s="24" t="str">
        <x:v>Minor Dex Up: 16 → 20</x:v>
      </x:c>
    </x:row>
    <x:row r="9">
      <x:c r="A9" s="24" t="n">
        <x:v>5</x:v>
      </x:c>
      <x:c r="B9" s="24" t="str">
        <x:v>Maximum Health</x:v>
      </x:c>
      <x:c r="C9" s="24" t="str">
        <x:v>Developed Base Health × (1 + 0.05 × Final Vitality)</x:v>
      </x:c>
      <x:c r="D9" s="24" t="str">
        <x:v>Vitality</x:v>
      </x:c>
      <x:c r="E9" s="24" t="str">
        <x:v>Round once</x:v>
      </x:c>
      <x:c r="F9" s="24" t="str">
        <x:v>Active</x:v>
      </x:c>
      <x:c r="G9" s="24" t="str">
        <x:v>Vitality scales base health only</x:v>
      </x:c>
      <x:c r="H9" s="24" t="str">
        <x:v>40 × 1.60 = 64</x:v>
      </x:c>
    </x:row>
    <x:row r="10">
      <x:c r="A10" s="24" t="n">
        <x:v>6</x:v>
      </x:c>
      <x:c r="B10" s="24" t="str">
        <x:v>Dodge</x:v>
      </x:c>
      <x:c r="C10" s="24" t="str">
        <x:v>MIN(50%, Final Agility × 0.5%)</x:v>
      </x:c>
      <x:c r="D10" s="24" t="str">
        <x:v>Agility</x:v>
      </x:c>
      <x:c r="E10" s="24" t="str">
        <x:v>One decimal %</x:v>
      </x:c>
      <x:c r="F10" s="24" t="str">
        <x:v>Active</x:v>
      </x:c>
      <x:c r="G10" s="24" t="str">
        <x:v>Turn order and Dodge share Agility</x:v>
      </x:c>
      <x:c r="H10" s="24" t="str">
        <x:v>24 Agility = 12%</x:v>
      </x:c>
    </x:row>
    <x:row r="11">
      <x:c r="A11" s="24" t="n">
        <x:v>7</x:v>
      </x:c>
      <x:c r="B11" s="24" t="str">
        <x:v>Weapon Raw Damage</x:v>
      </x:c>
      <x:c r="C11" s="24" t="str">
        <x:v>Weapon range × ((Skill Power + Final scaling stat × 2.5) ÷ 100)</x:v>
      </x:c>
      <x:c r="D11" s="24" t="str">
        <x:v>Equipment + Skill + Stat</x:v>
      </x:c>
      <x:c r="E11" s="24" t="str">
        <x:v>Keep decimals</x:v>
      </x:c>
      <x:c r="F11" s="24" t="str">
        <x:v>Active</x:v>
      </x:c>
      <x:c r="G11" s="24" t="str">
        <x:v>Weapon-first damage</x:v>
      </x:c>
      <x:c r="H11" s="24" t="str">
        <x:v>2–3 × 120% = 2.4–3.6</x:v>
      </x:c>
    </x:row>
    <x:row r="12">
      <x:c r="A12" s="24" t="n">
        <x:v>8</x:v>
      </x:c>
      <x:c r="B12" s="24" t="str">
        <x:v>Effective Defence</x:v>
      </x:c>
      <x:c r="C12" s="24" t="str">
        <x:v>MAX(0, Defence after flat and percentage penetration)</x:v>
      </x:c>
      <x:c r="D12" s="24" t="str">
        <x:v>Guard/Resolve/Penetration</x:v>
      </x:c>
      <x:c r="E12" s="24" t="str">
        <x:v>Keep decimals</x:v>
      </x:c>
      <x:c r="F12" s="24" t="str">
        <x:v>Active</x:v>
      </x:c>
      <x:c r="G12" s="24" t="str">
        <x:v>Penetration before mitigation</x:v>
      </x:c>
      <x:c r="H12" s="24" t="str">
        <x:v>40 Guard with 25% pen = 30</x:v>
      </x:c>
    </x:row>
    <x:row r="13">
      <x:c r="A13" s="24" t="n">
        <x:v>9</x:v>
      </x:c>
      <x:c r="B13" s="24" t="str">
        <x:v>Mitigation</x:v>
      </x:c>
      <x:c r="C13" s="24" t="str">
        <x:v>MIN(75%, Rating ÷ (100 + Rating)); Rating = Defence × 2.5</x:v>
      </x:c>
      <x:c r="D13" s="24" t="str">
        <x:v>Effective Guard/Resolve</x:v>
      </x:c>
      <x:c r="E13" s="24" t="str">
        <x:v>Keep decimals</x:v>
      </x:c>
      <x:c r="F13" s="24" t="str">
        <x:v>Active</x:v>
      </x:c>
      <x:c r="G13" s="24" t="str">
        <x:v>Diminishing returns</x:v>
      </x:c>
      <x:c r="H13" s="24" t="str">
        <x:v>24 Defence = 37.5%</x:v>
      </x:c>
    </x:row>
    <x:row r="14">
      <x:c r="A14" s="24" t="n">
        <x:v>10</x:v>
      </x:c>
      <x:c r="B14" s="24" t="str">
        <x:v>Final Damage</x:v>
      </x:c>
      <x:c r="C14" s="24" t="str">
        <x:v>Raw × affinity × critical × (1 − mitigation)</x:v>
      </x:c>
      <x:c r="D14" s="24" t="str">
        <x:v>All combat modifiers</x:v>
      </x:c>
      <x:c r="E14" s="24" t="str">
        <x:v>Round once at end</x:v>
      </x:c>
      <x:c r="F14" s="24" t="str">
        <x:v>Working rounding</x:v>
      </x:c>
      <x:c r="G14" s="24" t="str">
        <x:v>Avoid repeated rounding</x:v>
      </x:c>
      <x:c r="H14" s="24" t="str">
        <x:v>2.4–3.6 then defence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0" hidden="0" customWidth="1"/>
    <x:col min="4" max="4" width="48" hidden="0" customWidth="1"/>
    <x:col min="5" max="5" width="38" hidden="0" customWidth="1"/>
    <x:col min="6" max="6" width="18" hidden="0" customWidth="1"/>
    <x:col min="7" max="7" width="48" hidden="0" customWidth="1"/>
  </x:cols>
  <x:sheetData>
    <x:row r="1">
      <x:c r="A1" s="4" t="str">
        <x:v>Progression Rules — Flat Equipment Integration</x:v>
      </x:c>
      <x:c r="B1" s="4"/>
      <x:c r="C1" s="4"/>
      <x:c r="D1" s="4"/>
      <x:c r="E1" s="4"/>
      <x:c r="F1" s="4"/>
      <x:c r="G1" s="4"/>
    </x:row>
    <x:row r="2">
      <x:c r="A2" s="10" t="str">
        <x:v>Existing level/star/tier growth remains a separate progression layer. v0.8 changes how equipment and temporary effects enter the pipeline.</x:v>
      </x:c>
      <x:c r="B2" s="10"/>
      <x:c r="C2" s="10"/>
      <x:c r="D2" s="10"/>
      <x:c r="E2" s="10"/>
      <x:c r="F2" s="10"/>
      <x:c r="G2" s="10"/>
    </x:row>
    <x:row r="3">
      <x:c r="A3"/>
      <x:c r="B3"/>
      <x:c r="C3"/>
      <x:c r="D3"/>
      <x:c r="E3"/>
      <x:c r="F3"/>
      <x:c r="G3"/>
    </x:row>
    <x:row r="4">
      <x:c r="A4" s="17" t="str">
        <x:v>Order</x:v>
      </x:c>
      <x:c r="B4" s="17" t="str">
        <x:v>Stage</x:v>
      </x:c>
      <x:c r="C4" s="17" t="str">
        <x:v>Rule</x:v>
      </x:c>
      <x:c r="D4" s="17" t="str">
        <x:v>Core Formula</x:v>
      </x:c>
      <x:c r="E4" s="17" t="str">
        <x:v>Equipment Interaction</x:v>
      </x:c>
      <x:c r="F4" s="17" t="str">
        <x:v>Status</x:v>
      </x:c>
      <x:c r="G4" s="17" t="str">
        <x:v>Notes</x:v>
      </x:c>
    </x:row>
    <x:row r="5">
      <x:c r="A5" s="24" t="n">
        <x:v>1</x:v>
      </x:c>
      <x:c r="B5" s="24" t="str">
        <x:v>Species Base</x:v>
      </x:c>
      <x:c r="C5" s="24" t="str">
        <x:v>Bird supplies low Base Health by size and a pre-built tier-budgeted attribute allocation</x:v>
      </x:c>
      <x:c r="D5" s="24" t="str">
        <x:v>Bird Stats / v0.9 Base Stats</x:v>
      </x:c>
      <x:c r="E5" s="24" t="str">
        <x:v>None</x:v>
      </x:c>
      <x:c r="F5" s="24" t="str">
        <x:v>Confirmed 0.9</x:v>
      </x:c>
      <x:c r="G5" s="24" t="str">
        <x:v>Grey–Purple 30 points; Gold 32; Orange 34. Zero stats allowed.</x:v>
      </x:c>
    </x:row>
    <x:row r="6">
      <x:c r="A6" s="24" t="n">
        <x:v>2</x:v>
      </x:c>
      <x:c r="B6" s="24" t="str">
        <x:v>Level/Star Flat</x:v>
      </x:c>
      <x:c r="C6" s="24" t="str">
        <x:v>Existing progression adds flat values</x:v>
      </x:c>
      <x:c r="D6" s="24" t="str">
        <x:v>Base + progression flat</x:v>
      </x:c>
      <x:c r="E6" s="24" t="str">
        <x:v>None</x:v>
      </x:c>
      <x:c r="F6" s="24" t="str">
        <x:v>Retained / migration table</x:v>
      </x:c>
      <x:c r="G6" s="24" t="str">
        <x:v>Do not add percentage equipment here.</x:v>
      </x:c>
    </x:row>
    <x:row r="7">
      <x:c r="A7" s="24" t="n">
        <x:v>3</x:v>
      </x:c>
      <x:c r="B7" s="24" t="str">
        <x:v>Tier Progression</x:v>
      </x:c>
      <x:c r="C7" s="24" t="str">
        <x:v>Approved tier growth applies to developed species/progression values</x:v>
      </x:c>
      <x:c r="D7" s="24" t="str">
        <x:v>ROUND(Developed × Tier Multiplier)</x:v>
      </x:c>
      <x:c r="E7" s="24" t="str">
        <x:v>Before equipment</x:v>
      </x:c>
      <x:c r="F7" s="24" t="str">
        <x:v>Retained</x:v>
      </x:c>
      <x:c r="G7" s="24" t="str">
        <x:v>Exact legacy tier multipliers retained as working values.</x:v>
      </x:c>
    </x:row>
    <x:row r="8">
      <x:c r="A8" s="24" t="n">
        <x:v>4</x:v>
      </x:c>
      <x:c r="B8" s="24" t="str">
        <x:v>Equipment Flat</x:v>
      </x:c>
      <x:c r="C8" s="24" t="str">
        <x:v>Add all selected equipment core values</x:v>
      </x:c>
      <x:c r="D8" s="24" t="str">
        <x:v>Tiered + Equipment Flat</x:v>
      </x:c>
      <x:c r="E8" s="24" t="str">
        <x:v>All eight slots</x:v>
      </x:c>
      <x:c r="F8" s="24" t="str">
        <x:v>Confirmed 0.8</x:v>
      </x:c>
      <x:c r="G8" s="24" t="str">
        <x:v>No normal core-stat percentages.</x:v>
      </x:c>
    </x:row>
    <x:row r="9">
      <x:c r="A9" s="24" t="n">
        <x:v>5</x:v>
      </x:c>
      <x:c r="B9" s="24" t="str">
        <x:v>Temporary Flat</x:v>
      </x:c>
      <x:c r="C9" s="24" t="str">
        <x:v>Apply strongest tiered Up and Down</x:v>
      </x:c>
      <x:c r="D9" s="24" t="str">
        <x:v>Equipped + Up − Down</x:v>
      </x:c>
      <x:c r="E9" s="24" t="str">
        <x:v>Minor 4 / Moderate 10 / Major 20</x:v>
      </x:c>
      <x:c r="F9" s="24" t="str">
        <x:v>Confirmed 0.8</x:v>
      </x:c>
      <x:c r="G9" s="24" t="str">
        <x:v>Flat change then normal conversion.</x:v>
      </x:c>
    </x:row>
    <x:row r="10">
      <x:c r="A10" s="24" t="n">
        <x:v>6</x:v>
      </x:c>
      <x:c r="B10" s="24" t="str">
        <x:v>Health Conversion</x:v>
      </x:c>
      <x:c r="C10" s="24" t="str">
        <x:v>Convert Final Vitality to Base Health increase</x:v>
      </x:c>
      <x:c r="D10" s="24" t="str">
        <x:v>Base Health × (1 + 0.05 × Vitality)</x:v>
      </x:c>
      <x:c r="E10" s="24" t="str">
        <x:v>Vitality equipment included</x:v>
      </x:c>
      <x:c r="F10" s="24" t="str">
        <x:v>Confirmed 0.8</x:v>
      </x:c>
      <x:c r="G10" s="24" t="str">
        <x:v>Direct flat-health effects, if any, apply separately after this step.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  <x:col min="9" max="9" width="22" hidden="0" customWidth="1"/>
    <x:col min="10" max="10" width="60" hidden="0" customWidth="1"/>
  </x:cols>
  <x:sheetData>
    <x:row r="1">
      <x:c r="A1" s="4" t="str">
        <x:v>Progression Data — v0.8 Bridge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0" t="str">
        <x:v>A compact bridge table for active formulas. Detailed legacy growth is preserved in the original workbook history but no longer drives equipment percentages.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17" t="str">
        <x:v>Rarity</x:v>
      </x:c>
      <x:c r="B4" s="17" t="str">
        <x:v>Tier Multiplier</x:v>
      </x:c>
      <x:c r="C4" s="17" t="str">
        <x:v>Reference Level</x:v>
      </x:c>
      <x:c r="D4" s="17" t="str">
        <x:v>Stars in Tier</x:v>
      </x:c>
      <x:c r="E4" s="17" t="str">
        <x:v>Total Stars</x:v>
      </x:c>
      <x:c r="F4" s="17" t="str">
        <x:v>Weapon Damage Factor</x:v>
      </x:c>
      <x:c r="G4" s="17" t="str">
        <x:v>Core Roll</x:v>
      </x:c>
      <x:c r="H4" s="17" t="str">
        <x:v>Vitality Roll</x:v>
      </x:c>
      <x:c r="I4" s="17" t="str">
        <x:v>Status</x:v>
      </x:c>
      <x:c r="J4" s="17" t="str">
        <x:v>Notes</x:v>
      </x:c>
    </x:row>
    <x:row r="5">
      <x:c r="A5" s="24" t="str">
        <x:v>Grey</x:v>
      </x:c>
      <x:c r="B5" s="24" t="n">
        <x:v>1</x:v>
      </x:c>
      <x:c r="C5" s="24" t="n">
        <x:v>1</x:v>
      </x:c>
      <x:c r="D5" s="24" t="n">
        <x:v>0</x:v>
      </x:c>
      <x:c r="E5" s="24" t="n">
        <x:v>0</x:v>
      </x:c>
      <x:c r="F5" s="24" t="n">
        <x:v>1</x:v>
      </x:c>
      <x:c r="G5" s="24" t="n">
        <x:v>1</x:v>
      </x:c>
      <x:c r="H5" s="24" t="n">
        <x:v>1</x:v>
      </x:c>
      <x:c r="I5" s="24" t="str">
        <x:v>Working progression value</x:v>
      </x:c>
      <x:c r="J5" s="24" t="str">
        <x:v>Damage and equipment values are confirmed; tier multiplier remains the carried progression assumption.</x:v>
      </x:c>
    </x:row>
    <x:row r="6">
      <x:c r="A6" s="24" t="str">
        <x:v>Green</x:v>
      </x:c>
      <x:c r="B6" s="24" t="n">
        <x:v>1.05</x:v>
      </x:c>
      <x:c r="C6" s="24" t="n">
        <x:v>5</x:v>
      </x:c>
      <x:c r="D6" s="24" t="n">
        <x:v>3</x:v>
      </x:c>
      <x:c r="E6" s="24" t="n">
        <x:v>5</x:v>
      </x:c>
      <x:c r="F6" s="24" t="n">
        <x:v>1.25</x:v>
      </x:c>
      <x:c r="G6" s="24" t="n">
        <x:v>2</x:v>
      </x:c>
      <x:c r="H6" s="24" t="n">
        <x:v>1</x:v>
      </x:c>
      <x:c r="I6" s="24" t="str">
        <x:v>Working progression value</x:v>
      </x:c>
      <x:c r="J6" s="24" t="str">
        <x:v>Damage and equipment values are confirmed; tier multiplier remains the carried progression assumption.</x:v>
      </x:c>
    </x:row>
    <x:row r="7">
      <x:c r="A7" s="24" t="str">
        <x:v>Blue</x:v>
      </x:c>
      <x:c r="B7" s="24" t="n">
        <x:v>1.1</x:v>
      </x:c>
      <x:c r="C7" s="24" t="n">
        <x:v>10</x:v>
      </x:c>
      <x:c r="D7" s="24" t="n">
        <x:v>3</x:v>
      </x:c>
      <x:c r="E7" s="24" t="n">
        <x:v>10</x:v>
      </x:c>
      <x:c r="F7" s="24" t="n">
        <x:v>1.55</x:v>
      </x:c>
      <x:c r="G7" s="24" t="n">
        <x:v>3</x:v>
      </x:c>
      <x:c r="H7" s="24" t="n">
        <x:v>2</x:v>
      </x:c>
      <x:c r="I7" s="24" t="str">
        <x:v>Working progression value</x:v>
      </x:c>
      <x:c r="J7" s="24" t="str">
        <x:v>Damage and equipment values are confirmed; tier multiplier remains the carried progression assumption.</x:v>
      </x:c>
    </x:row>
    <x:row r="8">
      <x:c r="A8" s="24" t="str">
        <x:v>Purple</x:v>
      </x:c>
      <x:c r="B8" s="24" t="n">
        <x:v>1.15</x:v>
      </x:c>
      <x:c r="C8" s="24" t="n">
        <x:v>15</x:v>
      </x:c>
      <x:c r="D8" s="24" t="n">
        <x:v>3</x:v>
      </x:c>
      <x:c r="E8" s="24" t="n">
        <x:v>15</x:v>
      </x:c>
      <x:c r="F8" s="24" t="n">
        <x:v>1.9</x:v>
      </x:c>
      <x:c r="G8" s="24" t="n">
        <x:v>4</x:v>
      </x:c>
      <x:c r="H8" s="24" t="n">
        <x:v>3</x:v>
      </x:c>
      <x:c r="I8" s="24" t="str">
        <x:v>Working progression value</x:v>
      </x:c>
      <x:c r="J8" s="24" t="str">
        <x:v>Damage and equipment values are confirmed; tier multiplier remains the carried progression assumption.</x:v>
      </x:c>
    </x:row>
    <x:row r="9">
      <x:c r="A9" s="24" t="str">
        <x:v>Gold</x:v>
      </x:c>
      <x:c r="B9" s="24" t="n">
        <x:v>1.2</x:v>
      </x:c>
      <x:c r="C9" s="24" t="n">
        <x:v>20</x:v>
      </x:c>
      <x:c r="D9" s="24" t="n">
        <x:v>3</x:v>
      </x:c>
      <x:c r="E9" s="24" t="n">
        <x:v>20</x:v>
      </x:c>
      <x:c r="F9" s="24" t="n">
        <x:v>2.3</x:v>
      </x:c>
      <x:c r="G9" s="24" t="n">
        <x:v>5</x:v>
      </x:c>
      <x:c r="H9" s="24" t="n">
        <x:v>3</x:v>
      </x:c>
      <x:c r="I9" s="24" t="str">
        <x:v>Working progression value</x:v>
      </x:c>
      <x:c r="J9" s="24" t="str">
        <x:v>Damage and equipment values are confirmed; tier multiplier remains the carried progression assumption.</x:v>
      </x:c>
    </x:row>
    <x:row r="10">
      <x:c r="A10" s="24" t="str">
        <x:v>Orange</x:v>
      </x:c>
      <x:c r="B10" s="24" t="n">
        <x:v>1.25</x:v>
      </x:c>
      <x:c r="C10" s="24" t="n">
        <x:v>25</x:v>
      </x:c>
      <x:c r="D10" s="24" t="n">
        <x:v>3</x:v>
      </x:c>
      <x:c r="E10" s="24" t="n">
        <x:v>25</x:v>
      </x:c>
      <x:c r="F10" s="24" t="n">
        <x:v>2.75</x:v>
      </x:c>
      <x:c r="G10" s="24" t="n">
        <x:v>6</x:v>
      </x:c>
      <x:c r="H10" s="24" t="n">
        <x:v>4</x:v>
      </x:c>
      <x:c r="I10" s="24" t="str">
        <x:v>Working progression value</x:v>
      </x:c>
      <x:c r="J10" s="24" t="str">
        <x:v>Damage and equipment values are confirmed; tier multiplier remains the carried progression assumption.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38" hidden="0" customWidth="1"/>
    <x:col min="8" max="8" width="58" hidden="0" customWidth="1"/>
  </x:cols>
  <x:sheetData>
    <x:row r="1">
      <x:c r="A1" s="4" t="str">
        <x:v>Bird Progression Directions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Class progression directions after Dexterity migration. Exact per-level values remain a separate balance pass.</x:v>
      </x:c>
      <x:c r="B2" s="10"/>
      <x:c r="C2" s="10"/>
      <x:c r="D2" s="10"/>
      <x:c r="E2" s="10"/>
      <x:c r="F2" s="10"/>
      <x:c r="G2" s="10"/>
      <x:c r="H2" s="10"/>
    </x:row>
    <x:row r="3">
      <x:c r="A3"/>
      <x:c r="B3"/>
      <x:c r="C3"/>
      <x:c r="D3"/>
      <x:c r="E3"/>
      <x:c r="F3"/>
      <x:c r="G3"/>
      <x:c r="H3"/>
    </x:row>
    <x:row r="4">
      <x:c r="A4" s="17" t="str">
        <x:v>Class</x:v>
      </x:c>
      <x:c r="B4" s="17" t="str">
        <x:v>Primary Growth</x:v>
      </x:c>
      <x:c r="C4" s="17" t="str">
        <x:v>Secondary Growth</x:v>
      </x:c>
      <x:c r="D4" s="17" t="str">
        <x:v>Defensive Growth</x:v>
      </x:c>
      <x:c r="E4" s="17" t="str">
        <x:v>Agility Growth</x:v>
      </x:c>
      <x:c r="F4" s="17" t="str">
        <x:v>Vitality Growth</x:v>
      </x:c>
      <x:c r="G4" s="17" t="str">
        <x:v>Equipment Priority</x:v>
      </x:c>
      <x:c r="H4" s="17" t="str">
        <x:v>v0.8 Migration Rule</x:v>
      </x:c>
    </x:row>
    <x:row r="5">
      <x:c r="A5" s="24" t="str">
        <x:v>Knight</x:v>
      </x:c>
      <x:c r="B5" s="24" t="str">
        <x:v>Might</x:v>
      </x:c>
      <x:c r="C5" s="24" t="str">
        <x:v>Guard</x:v>
      </x:c>
      <x:c r="D5" s="24" t="str">
        <x:v>Vitality / Resolve</x:v>
      </x:c>
      <x:c r="E5" s="24" t="str">
        <x:v>Low</x:v>
      </x:c>
      <x:c r="F5" s="24" t="str">
        <x:v>Moderate</x:v>
      </x:c>
      <x:c r="G5" s="24" t="str">
        <x:v>Might, Guard, Vitality</x:v>
      </x:c>
      <x:c r="H5" s="24" t="str">
        <x:v>Convert any old Might % or Guard % equipment growth to flat lines.</x:v>
      </x:c>
    </x:row>
    <x:row r="6">
      <x:c r="A6" s="24" t="str">
        <x:v>Rogue</x:v>
      </x:c>
      <x:c r="B6" s="24" t="str">
        <x:v>Dexterity</x:v>
      </x:c>
      <x:c r="C6" s="24" t="str">
        <x:v>Agility</x:v>
      </x:c>
      <x:c r="D6" s="24" t="str">
        <x:v>Resolve</x:v>
      </x:c>
      <x:c r="E6" s="24" t="str">
        <x:v>High</x:v>
      </x:c>
      <x:c r="F6" s="24" t="str">
        <x:v>Low</x:v>
      </x:c>
      <x:c r="G6" s="24" t="str">
        <x:v>Dexterity, Agility, Critical</x:v>
      </x:c>
      <x:c r="H6" s="24" t="str">
        <x:v>Old offensive Agility growth becomes Dexterity; Agility remains tempo/Dodge.</x:v>
      </x:c>
    </x:row>
    <x:row r="7">
      <x:c r="A7" s="24" t="str">
        <x:v>Mage</x:v>
      </x:c>
      <x:c r="B7" s="24" t="str">
        <x:v>Focus</x:v>
      </x:c>
      <x:c r="C7" s="24" t="str">
        <x:v>Resolve</x:v>
      </x:c>
      <x:c r="D7" s="24" t="str">
        <x:v>Vitality</x:v>
      </x:c>
      <x:c r="E7" s="24" t="str">
        <x:v>Low</x:v>
      </x:c>
      <x:c r="F7" s="24" t="str">
        <x:v>Moderate</x:v>
      </x:c>
      <x:c r="G7" s="24" t="str">
        <x:v>Focus, Resolve, Magic Penetration</x:v>
      </x:c>
      <x:c r="H7" s="24" t="str">
        <x:v>Core percentage gear removed.</x:v>
      </x:c>
    </x:row>
    <x:row r="8">
      <x:c r="A8" s="24" t="str">
        <x:v>Siren</x:v>
      </x:c>
      <x:c r="B8" s="24" t="str">
        <x:v>Focus</x:v>
      </x:c>
      <x:c r="C8" s="24" t="str">
        <x:v>Agility</x:v>
      </x:c>
      <x:c r="D8" s="24" t="str">
        <x:v>Resolve</x:v>
      </x:c>
      <x:c r="E8" s="24" t="str">
        <x:v>Moderate</x:v>
      </x:c>
      <x:c r="F8" s="24" t="str">
        <x:v>Moderate</x:v>
      </x:c>
      <x:c r="G8" s="24" t="str">
        <x:v>Focus, Agility, ailment chance</x:v>
      </x:c>
      <x:c r="H8" s="24" t="str">
        <x:v>Ailment chance remains a controlled secondary percentage.</x:v>
      </x:c>
    </x:row>
    <x:row r="9">
      <x:c r="A9" s="24" t="str">
        <x:v>Inquisitor</x:v>
      </x:c>
      <x:c r="B9" s="24" t="str">
        <x:v>Resolve / Might</x:v>
      </x:c>
      <x:c r="C9" s="24" t="str">
        <x:v>Vitality</x:v>
      </x:c>
      <x:c r="D9" s="24" t="str">
        <x:v>Guard</x:v>
      </x:c>
      <x:c r="E9" s="24" t="str">
        <x:v>Low</x:v>
      </x:c>
      <x:c r="F9" s="24" t="str">
        <x:v>High</x:v>
      </x:c>
      <x:c r="G9" s="24" t="str">
        <x:v>Vitality, Resolve, hybrid offence</x:v>
      </x:c>
      <x:c r="H9" s="24" t="str">
        <x:v>Vitality points scale Base Health by 5% each.</x:v>
      </x:c>
    </x:row>
    <x:row r="10">
      <x:c r="A10" s="24" t="str">
        <x:v>Bard</x:v>
      </x:c>
      <x:c r="B10" s="24" t="str">
        <x:v>Dexterity / Focus</x:v>
      </x:c>
      <x:c r="C10" s="24" t="str">
        <x:v>Agility</x:v>
      </x:c>
      <x:c r="D10" s="24" t="str">
        <x:v>Resolve</x:v>
      </x:c>
      <x:c r="E10" s="24" t="str">
        <x:v>Moderate</x:v>
      </x:c>
      <x:c r="F10" s="24" t="str">
        <x:v>Moderate</x:v>
      </x:c>
      <x:c r="G10" s="24" t="str">
        <x:v>Mixed finesse/magic/support</x:v>
      </x:c>
      <x:c r="H10" s="24" t="str">
        <x:v>Use weapon’s assigned scaling stat.</x:v>
      </x:c>
    </x:row>
    <x:row r="11">
      <x:c r="A11" s="24" t="str">
        <x:v>Brute</x:v>
      </x:c>
      <x:c r="B11" s="24" t="str">
        <x:v>Might</x:v>
      </x:c>
      <x:c r="C11" s="24" t="str">
        <x:v>Vitality / Guard</x:v>
      </x:c>
      <x:c r="D11" s="24" t="str">
        <x:v>Resolve</x:v>
      </x:c>
      <x:c r="E11" s="24" t="str">
        <x:v>Low</x:v>
      </x:c>
      <x:c r="F11" s="24" t="str">
        <x:v>High</x:v>
      </x:c>
      <x:c r="G11" s="24" t="str">
        <x:v>Might, Vitality, Guard</x:v>
      </x:c>
      <x:c r="H11" s="24" t="str">
        <x:v>Heavy items may reduce flat Agility.</x:v>
      </x:c>
    </x:row>
    <x:row r="12">
      <x:c r="A12" s="24" t="str">
        <x:v>Duke</x:v>
      </x:c>
      <x:c r="B12" s="24" t="str">
        <x:v>Variable</x:v>
      </x:c>
      <x:c r="C12" s="24" t="str">
        <x:v>Variable</x:v>
      </x:c>
      <x:c r="D12" s="24" t="str">
        <x:v>Variable</x:v>
      </x:c>
      <x:c r="E12" s="24" t="str">
        <x:v>Variable</x:v>
      </x:c>
      <x:c r="F12" s="24" t="str">
        <x:v>Variable</x:v>
      </x:c>
      <x:c r="G12" s="24" t="str">
        <x:v>Curated unique</x:v>
      </x:c>
      <x:c r="H12" s="24" t="str">
        <x:v>Still uses the same conversion formulas.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6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14" hidden="0" customWidth="1"/>
    <x:col min="10" max="10" width="16" hidden="0" customWidth="1"/>
    <x:col min="11" max="11" width="56" hidden="0" customWidth="1"/>
  </x:cols>
  <x:sheetData>
    <x:row r="1">
      <x:c r="A1" s="4" t="str">
        <x:v>Equipment Budget Grid — Flat Rolls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Slot-scaled flat core values used to generate all 240 item rows.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>
      <x:c r="A4" s="17" t="str">
        <x:v>Rarity</x:v>
      </x:c>
      <x:c r="B4" s="17" t="str">
        <x:v>Slot Class</x:v>
      </x:c>
      <x:c r="C4" s="17" t="str">
        <x:v>Core Roll Multiplier</x:v>
      </x:c>
      <x:c r="D4" s="17" t="str">
        <x:v>Base Core Roll</x:v>
      </x:c>
      <x:c r="E4" s="17" t="str">
        <x:v>Applied Core Roll</x:v>
      </x:c>
      <x:c r="F4" s="17" t="str">
        <x:v>Vitality Base</x:v>
      </x:c>
      <x:c r="G4" s="17" t="str">
        <x:v>Applied Vitality</x:v>
      </x:c>
      <x:c r="H4" s="17" t="str">
        <x:v>Attribute Lines</x:v>
      </x:c>
      <x:c r="I4" s="17" t="str">
        <x:v>Named Lines</x:v>
      </x:c>
      <x:c r="J4" s="17" t="str">
        <x:v>Damage Factor</x:v>
      </x:c>
      <x:c r="K4" s="17" t="str">
        <x:v>Notes</x:v>
      </x:c>
    </x:row>
    <x:row r="5">
      <x:c r="A5" s="24" t="str">
        <x:v>Grey</x:v>
      </x:c>
      <x:c r="B5" s="24" t="str">
        <x:v>Weapon 1H</x:v>
      </x:c>
      <x:c r="C5" s="24" t="n">
        <x:v>1</x:v>
      </x:c>
      <x:c r="D5" s="24" t="n">
        <x:v>1</x:v>
      </x:c>
      <x:c r="E5" s="24" t="n">
        <x:v>1</x:v>
      </x:c>
      <x:c r="F5" s="24" t="n">
        <x:v>1</x:v>
      </x:c>
      <x:c r="G5" s="24" t="n">
        <x:v>1</x:v>
      </x:c>
      <x:c r="H5" s="24" t="n">
        <x:v>1</x:v>
      </x:c>
      <x:c r="I5" s="24" t="n">
        <x:v>0</x:v>
      </x:c>
      <x:c r="J5" s="24" t="n">
        <x:v>1</x:v>
      </x:c>
      <x:c r="K5" s="24" t="str">
        <x:v>Heavy profiles may replace a positive Agility line with a flat penalty.</x:v>
      </x:c>
    </x:row>
    <x:row r="6">
      <x:c r="A6" s="24" t="str">
        <x:v>Grey</x:v>
      </x:c>
      <x:c r="B6" s="24" t="str">
        <x:v>Weapon 2H</x:v>
      </x:c>
      <x:c r="C6" s="24" t="n">
        <x:v>1.5</x:v>
      </x:c>
      <x:c r="D6" s="24" t="n">
        <x:v>1</x:v>
      </x:c>
      <x:c r="E6" s="24" t="n">
        <x:v>2</x:v>
      </x:c>
      <x:c r="F6" s="24" t="n">
        <x:v>1</x:v>
      </x:c>
      <x:c r="G6" s="24" t="n">
        <x:v>2</x:v>
      </x:c>
      <x:c r="H6" s="24" t="n">
        <x:v>1</x:v>
      </x:c>
      <x:c r="I6" s="24" t="n">
        <x:v>0</x:v>
      </x:c>
      <x:c r="J6" s="24" t="n">
        <x:v>1</x:v>
      </x:c>
      <x:c r="K6" s="24" t="str">
        <x:v>Heavy profiles may replace a positive Agility line with a flat penalty.</x:v>
      </x:c>
    </x:row>
    <x:row r="7">
      <x:c r="A7" s="24" t="str">
        <x:v>Grey</x:v>
      </x:c>
      <x:c r="B7" s="24" t="str">
        <x:v>Armour</x:v>
      </x:c>
      <x:c r="C7" s="24" t="n">
        <x:v>1</x:v>
      </x:c>
      <x:c r="D7" s="24" t="n">
        <x:v>1</x:v>
      </x:c>
      <x:c r="E7" s="24" t="n">
        <x:v>1</x:v>
      </x:c>
      <x:c r="F7" s="24" t="n">
        <x:v>1</x:v>
      </x:c>
      <x:c r="G7" s="24" t="n">
        <x:v>1</x:v>
      </x:c>
      <x:c r="H7" s="24" t="n">
        <x:v>1</x:v>
      </x:c>
      <x:c r="I7" s="24" t="n">
        <x:v>0</x:v>
      </x:c>
      <x:c r="J7" s="24" t="n">
        <x:v>1</x:v>
      </x:c>
      <x:c r="K7" s="24" t="str">
        <x:v>Heavy profiles may replace a positive Agility line with a flat penalty.</x:v>
      </x:c>
    </x:row>
    <x:row r="8">
      <x:c r="A8" s="24" t="str">
        <x:v>Grey</x:v>
      </x:c>
      <x:c r="B8" s="24" t="str">
        <x:v>Shield</x:v>
      </x:c>
      <x:c r="C8" s="24" t="n">
        <x:v>1</x:v>
      </x:c>
      <x:c r="D8" s="24" t="n">
        <x:v>1</x:v>
      </x:c>
      <x:c r="E8" s="24" t="n">
        <x:v>1</x:v>
      </x:c>
      <x:c r="F8" s="24" t="n">
        <x:v>1</x:v>
      </x:c>
      <x:c r="G8" s="24" t="n">
        <x:v>1</x:v>
      </x:c>
      <x:c r="H8" s="24" t="n">
        <x:v>1</x:v>
      </x:c>
      <x:c r="I8" s="24" t="n">
        <x:v>0</x:v>
      </x:c>
      <x:c r="J8" s="24" t="n">
        <x:v>1</x:v>
      </x:c>
      <x:c r="K8" s="24" t="str">
        <x:v>Heavy profiles may replace a positive Agility line with a flat penalty.</x:v>
      </x:c>
    </x:row>
    <x:row r="9">
      <x:c r="A9" s="24" t="str">
        <x:v>Grey</x:v>
      </x:c>
      <x:c r="B9" s="24" t="str">
        <x:v>Helmet</x:v>
      </x:c>
      <x:c r="C9" s="24" t="n">
        <x:v>0.75</x:v>
      </x:c>
      <x:c r="D9" s="24" t="n">
        <x:v>1</x:v>
      </x:c>
      <x:c r="E9" s="24" t="n">
        <x:v>1</x:v>
      </x:c>
      <x:c r="F9" s="24" t="n">
        <x:v>1</x:v>
      </x:c>
      <x:c r="G9" s="24" t="n">
        <x:v>1</x:v>
      </x:c>
      <x:c r="H9" s="24" t="n">
        <x:v>1</x:v>
      </x:c>
      <x:c r="I9" s="24" t="n">
        <x:v>0</x:v>
      </x:c>
      <x:c r="J9" s="24" t="n">
        <x:v>1</x:v>
      </x:c>
      <x:c r="K9" s="24" t="str">
        <x:v>Heavy profiles may replace a positive Agility line with a flat penalty.</x:v>
      </x:c>
    </x:row>
    <x:row r="10">
      <x:c r="A10" s="24" t="str">
        <x:v>Grey</x:v>
      </x:c>
      <x:c r="B10" s="24" t="str">
        <x:v>Anklet</x:v>
      </x:c>
      <x:c r="C10" s="24" t="n">
        <x:v>0.5</x:v>
      </x:c>
      <x:c r="D10" s="24" t="n">
        <x:v>1</x:v>
      </x:c>
      <x:c r="E10" s="24" t="n">
        <x:v>1</x:v>
      </x:c>
      <x:c r="F10" s="24" t="n">
        <x:v>1</x:v>
      </x:c>
      <x:c r="G10" s="24" t="n">
        <x:v>1</x:v>
      </x:c>
      <x:c r="H10" s="24" t="n">
        <x:v>1</x:v>
      </x:c>
      <x:c r="I10" s="24" t="n">
        <x:v>0</x:v>
      </x:c>
      <x:c r="J10" s="24" t="n">
        <x:v>1</x:v>
      </x:c>
      <x:c r="K10" s="24" t="str">
        <x:v>Heavy profiles may replace a positive Agility line with a flat penalty.</x:v>
      </x:c>
    </x:row>
    <x:row r="11">
      <x:c r="A11" s="24" t="str">
        <x:v>Grey</x:v>
      </x:c>
      <x:c r="B11" s="24" t="str">
        <x:v>Necklace</x:v>
      </x:c>
      <x:c r="C11" s="24" t="n">
        <x:v>0.75</x:v>
      </x:c>
      <x:c r="D11" s="24" t="n">
        <x:v>1</x:v>
      </x:c>
      <x:c r="E11" s="24" t="n">
        <x:v>1</x:v>
      </x:c>
      <x:c r="F11" s="24" t="n">
        <x:v>1</x:v>
      </x:c>
      <x:c r="G11" s="24" t="n">
        <x:v>1</x:v>
      </x:c>
      <x:c r="H11" s="24" t="n">
        <x:v>1</x:v>
      </x:c>
      <x:c r="I11" s="24" t="n">
        <x:v>0</x:v>
      </x:c>
      <x:c r="J11" s="24" t="n">
        <x:v>1</x:v>
      </x:c>
      <x:c r="K11" s="24" t="str">
        <x:v>Heavy profiles may replace a positive Agility line with a flat penalty.</x:v>
      </x:c>
    </x:row>
    <x:row r="12">
      <x:c r="A12" s="24" t="str">
        <x:v>Green</x:v>
      </x:c>
      <x:c r="B12" s="24" t="str">
        <x:v>Weapon 1H</x:v>
      </x:c>
      <x:c r="C12" s="24" t="n">
        <x:v>1</x:v>
      </x:c>
      <x:c r="D12" s="24" t="n">
        <x:v>2</x:v>
      </x:c>
      <x:c r="E12" s="24" t="n">
        <x:v>2</x:v>
      </x:c>
      <x:c r="F12" s="24" t="n">
        <x:v>1</x:v>
      </x:c>
      <x:c r="G12" s="24" t="n">
        <x:v>1</x:v>
      </x:c>
      <x:c r="H12" s="24" t="n">
        <x:v>2</x:v>
      </x:c>
      <x:c r="I12" s="24" t="n">
        <x:v>0</x:v>
      </x:c>
      <x:c r="J12" s="24" t="n">
        <x:v>1.25</x:v>
      </x:c>
      <x:c r="K12" s="24" t="str">
        <x:v>Heavy profiles may replace a positive Agility line with a flat penalty.</x:v>
      </x:c>
    </x:row>
    <x:row r="13">
      <x:c r="A13" s="24" t="str">
        <x:v>Green</x:v>
      </x:c>
      <x:c r="B13" s="24" t="str">
        <x:v>Weapon 2H</x:v>
      </x:c>
      <x:c r="C13" s="24" t="n">
        <x:v>1.5</x:v>
      </x:c>
      <x:c r="D13" s="24" t="n">
        <x:v>2</x:v>
      </x:c>
      <x:c r="E13" s="24" t="n">
        <x:v>3</x:v>
      </x:c>
      <x:c r="F13" s="24" t="n">
        <x:v>1</x:v>
      </x:c>
      <x:c r="G13" s="24" t="n">
        <x:v>2</x:v>
      </x:c>
      <x:c r="H13" s="24" t="n">
        <x:v>2</x:v>
      </x:c>
      <x:c r="I13" s="24" t="n">
        <x:v>0</x:v>
      </x:c>
      <x:c r="J13" s="24" t="n">
        <x:v>1.25</x:v>
      </x:c>
      <x:c r="K13" s="24" t="str">
        <x:v>Heavy profiles may replace a positive Agility line with a flat penalty.</x:v>
      </x:c>
    </x:row>
    <x:row r="14">
      <x:c r="A14" s="24" t="str">
        <x:v>Green</x:v>
      </x:c>
      <x:c r="B14" s="24" t="str">
        <x:v>Armour</x:v>
      </x:c>
      <x:c r="C14" s="24" t="n">
        <x:v>1</x:v>
      </x:c>
      <x:c r="D14" s="24" t="n">
        <x:v>2</x:v>
      </x:c>
      <x:c r="E14" s="24" t="n">
        <x:v>2</x:v>
      </x:c>
      <x:c r="F14" s="24" t="n">
        <x:v>1</x:v>
      </x:c>
      <x:c r="G14" s="24" t="n">
        <x:v>1</x:v>
      </x:c>
      <x:c r="H14" s="24" t="n">
        <x:v>2</x:v>
      </x:c>
      <x:c r="I14" s="24" t="n">
        <x:v>0</x:v>
      </x:c>
      <x:c r="J14" s="24" t="n">
        <x:v>1.25</x:v>
      </x:c>
      <x:c r="K14" s="24" t="str">
        <x:v>Heavy profiles may replace a positive Agility line with a flat penalty.</x:v>
      </x:c>
    </x:row>
    <x:row r="15">
      <x:c r="A15" s="24" t="str">
        <x:v>Green</x:v>
      </x:c>
      <x:c r="B15" s="24" t="str">
        <x:v>Shield</x:v>
      </x:c>
      <x:c r="C15" s="24" t="n">
        <x:v>1</x:v>
      </x:c>
      <x:c r="D15" s="24" t="n">
        <x:v>2</x:v>
      </x:c>
      <x:c r="E15" s="24" t="n">
        <x:v>2</x:v>
      </x:c>
      <x:c r="F15" s="24" t="n">
        <x:v>1</x:v>
      </x:c>
      <x:c r="G15" s="24" t="n">
        <x:v>1</x:v>
      </x:c>
      <x:c r="H15" s="24" t="n">
        <x:v>2</x:v>
      </x:c>
      <x:c r="I15" s="24" t="n">
        <x:v>0</x:v>
      </x:c>
      <x:c r="J15" s="24" t="n">
        <x:v>1.25</x:v>
      </x:c>
      <x:c r="K15" s="24" t="str">
        <x:v>Heavy profiles may replace a positive Agility line with a flat penalty.</x:v>
      </x:c>
    </x:row>
    <x:row r="16">
      <x:c r="A16" s="24" t="str">
        <x:v>Green</x:v>
      </x:c>
      <x:c r="B16" s="24" t="str">
        <x:v>Helmet</x:v>
      </x:c>
      <x:c r="C16" s="24" t="n">
        <x:v>0.75</x:v>
      </x:c>
      <x:c r="D16" s="24" t="n">
        <x:v>2</x:v>
      </x:c>
      <x:c r="E16" s="24" t="n">
        <x:v>2</x:v>
      </x:c>
      <x:c r="F16" s="24" t="n">
        <x:v>1</x:v>
      </x:c>
      <x:c r="G16" s="24" t="n">
        <x:v>1</x:v>
      </x:c>
      <x:c r="H16" s="24" t="n">
        <x:v>2</x:v>
      </x:c>
      <x:c r="I16" s="24" t="n">
        <x:v>0</x:v>
      </x:c>
      <x:c r="J16" s="24" t="n">
        <x:v>1.25</x:v>
      </x:c>
      <x:c r="K16" s="24" t="str">
        <x:v>Heavy profiles may replace a positive Agility line with a flat penalty.</x:v>
      </x:c>
    </x:row>
    <x:row r="17">
      <x:c r="A17" s="24" t="str">
        <x:v>Green</x:v>
      </x:c>
      <x:c r="B17" s="24" t="str">
        <x:v>Anklet</x:v>
      </x:c>
      <x:c r="C17" s="24" t="n">
        <x:v>0.5</x:v>
      </x:c>
      <x:c r="D17" s="24" t="n">
        <x:v>2</x:v>
      </x:c>
      <x:c r="E17" s="24" t="n">
        <x:v>1</x:v>
      </x:c>
      <x:c r="F17" s="24" t="n">
        <x:v>1</x:v>
      </x:c>
      <x:c r="G17" s="24" t="n">
        <x:v>1</x:v>
      </x:c>
      <x:c r="H17" s="24" t="n">
        <x:v>2</x:v>
      </x:c>
      <x:c r="I17" s="24" t="n">
        <x:v>0</x:v>
      </x:c>
      <x:c r="J17" s="24" t="n">
        <x:v>1.25</x:v>
      </x:c>
      <x:c r="K17" s="24" t="str">
        <x:v>Heavy profiles may replace a positive Agility line with a flat penalty.</x:v>
      </x:c>
    </x:row>
    <x:row r="18">
      <x:c r="A18" s="24" t="str">
        <x:v>Green</x:v>
      </x:c>
      <x:c r="B18" s="24" t="str">
        <x:v>Necklace</x:v>
      </x:c>
      <x:c r="C18" s="24" t="n">
        <x:v>0.75</x:v>
      </x:c>
      <x:c r="D18" s="24" t="n">
        <x:v>2</x:v>
      </x:c>
      <x:c r="E18" s="24" t="n">
        <x:v>2</x:v>
      </x:c>
      <x:c r="F18" s="24" t="n">
        <x:v>1</x:v>
      </x:c>
      <x:c r="G18" s="24" t="n">
        <x:v>1</x:v>
      </x:c>
      <x:c r="H18" s="24" t="n">
        <x:v>2</x:v>
      </x:c>
      <x:c r="I18" s="24" t="n">
        <x:v>0</x:v>
      </x:c>
      <x:c r="J18" s="24" t="n">
        <x:v>1.25</x:v>
      </x:c>
      <x:c r="K18" s="24" t="str">
        <x:v>Heavy profiles may replace a positive Agility line with a flat penalty.</x:v>
      </x:c>
    </x:row>
    <x:row r="19">
      <x:c r="A19" s="24" t="str">
        <x:v>Blue</x:v>
      </x:c>
      <x:c r="B19" s="24" t="str">
        <x:v>Weapon 1H</x:v>
      </x:c>
      <x:c r="C19" s="24" t="n">
        <x:v>1</x:v>
      </x:c>
      <x:c r="D19" s="24" t="n">
        <x:v>3</x:v>
      </x:c>
      <x:c r="E19" s="24" t="n">
        <x:v>3</x:v>
      </x:c>
      <x:c r="F19" s="24" t="n">
        <x:v>2</x:v>
      </x:c>
      <x:c r="G19" s="24" t="n">
        <x:v>2</x:v>
      </x:c>
      <x:c r="H19" s="24" t="n">
        <x:v>2</x:v>
      </x:c>
      <x:c r="I19" s="24" t="n">
        <x:v>1</x:v>
      </x:c>
      <x:c r="J19" s="24" t="n">
        <x:v>1.55</x:v>
      </x:c>
      <x:c r="K19" s="24" t="str">
        <x:v>Heavy profiles may replace a positive Agility line with a flat penalty.</x:v>
      </x:c>
    </x:row>
    <x:row r="20">
      <x:c r="A20" s="24" t="str">
        <x:v>Blue</x:v>
      </x:c>
      <x:c r="B20" s="24" t="str">
        <x:v>Weapon 2H</x:v>
      </x:c>
      <x:c r="C20" s="24" t="n">
        <x:v>1.5</x:v>
      </x:c>
      <x:c r="D20" s="24" t="n">
        <x:v>3</x:v>
      </x:c>
      <x:c r="E20" s="24" t="n">
        <x:v>5</x:v>
      </x:c>
      <x:c r="F20" s="24" t="n">
        <x:v>2</x:v>
      </x:c>
      <x:c r="G20" s="24" t="n">
        <x:v>3</x:v>
      </x:c>
      <x:c r="H20" s="24" t="n">
        <x:v>2</x:v>
      </x:c>
      <x:c r="I20" s="24" t="n">
        <x:v>1</x:v>
      </x:c>
      <x:c r="J20" s="24" t="n">
        <x:v>1.55</x:v>
      </x:c>
      <x:c r="K20" s="24" t="str">
        <x:v>Heavy profiles may replace a positive Agility line with a flat penalty.</x:v>
      </x:c>
    </x:row>
    <x:row r="21">
      <x:c r="A21" s="24" t="str">
        <x:v>Blue</x:v>
      </x:c>
      <x:c r="B21" s="24" t="str">
        <x:v>Armour</x:v>
      </x:c>
      <x:c r="C21" s="24" t="n">
        <x:v>1</x:v>
      </x:c>
      <x:c r="D21" s="24" t="n">
        <x:v>3</x:v>
      </x:c>
      <x:c r="E21" s="24" t="n">
        <x:v>3</x:v>
      </x:c>
      <x:c r="F21" s="24" t="n">
        <x:v>2</x:v>
      </x:c>
      <x:c r="G21" s="24" t="n">
        <x:v>2</x:v>
      </x:c>
      <x:c r="H21" s="24" t="n">
        <x:v>2</x:v>
      </x:c>
      <x:c r="I21" s="24" t="n">
        <x:v>1</x:v>
      </x:c>
      <x:c r="J21" s="24" t="n">
        <x:v>1.55</x:v>
      </x:c>
      <x:c r="K21" s="24" t="str">
        <x:v>Heavy profiles may replace a positive Agility line with a flat penalty.</x:v>
      </x:c>
    </x:row>
    <x:row r="22">
      <x:c r="A22" s="24" t="str">
        <x:v>Blue</x:v>
      </x:c>
      <x:c r="B22" s="24" t="str">
        <x:v>Shield</x:v>
      </x:c>
      <x:c r="C22" s="24" t="n">
        <x:v>1</x:v>
      </x:c>
      <x:c r="D22" s="24" t="n">
        <x:v>3</x:v>
      </x:c>
      <x:c r="E22" s="24" t="n">
        <x:v>3</x:v>
      </x:c>
      <x:c r="F22" s="24" t="n">
        <x:v>2</x:v>
      </x:c>
      <x:c r="G22" s="24" t="n">
        <x:v>2</x:v>
      </x:c>
      <x:c r="H22" s="24" t="n">
        <x:v>2</x:v>
      </x:c>
      <x:c r="I22" s="24" t="n">
        <x:v>1</x:v>
      </x:c>
      <x:c r="J22" s="24" t="n">
        <x:v>1.55</x:v>
      </x:c>
      <x:c r="K22" s="24" t="str">
        <x:v>Heavy profiles may replace a positive Agility line with a flat penalty.</x:v>
      </x:c>
    </x:row>
    <x:row r="23">
      <x:c r="A23" s="24" t="str">
        <x:v>Blue</x:v>
      </x:c>
      <x:c r="B23" s="24" t="str">
        <x:v>Helmet</x:v>
      </x:c>
      <x:c r="C23" s="24" t="n">
        <x:v>0.75</x:v>
      </x:c>
      <x:c r="D23" s="24" t="n">
        <x:v>3</x:v>
      </x:c>
      <x:c r="E23" s="24" t="n">
        <x:v>2</x:v>
      </x:c>
      <x:c r="F23" s="24" t="n">
        <x:v>2</x:v>
      </x:c>
      <x:c r="G23" s="24" t="n">
        <x:v>2</x:v>
      </x:c>
      <x:c r="H23" s="24" t="n">
        <x:v>2</x:v>
      </x:c>
      <x:c r="I23" s="24" t="n">
        <x:v>1</x:v>
      </x:c>
      <x:c r="J23" s="24" t="n">
        <x:v>1.55</x:v>
      </x:c>
      <x:c r="K23" s="24" t="str">
        <x:v>Heavy profiles may replace a positive Agility line with a flat penalty.</x:v>
      </x:c>
    </x:row>
    <x:row r="24">
      <x:c r="A24" s="24" t="str">
        <x:v>Blue</x:v>
      </x:c>
      <x:c r="B24" s="24" t="str">
        <x:v>Anklet</x:v>
      </x:c>
      <x:c r="C24" s="24" t="n">
        <x:v>0.5</x:v>
      </x:c>
      <x:c r="D24" s="24" t="n">
        <x:v>3</x:v>
      </x:c>
      <x:c r="E24" s="24" t="n">
        <x:v>2</x:v>
      </x:c>
      <x:c r="F24" s="24" t="n">
        <x:v>2</x:v>
      </x:c>
      <x:c r="G24" s="24" t="n">
        <x:v>1</x:v>
      </x:c>
      <x:c r="H24" s="24" t="n">
        <x:v>2</x:v>
      </x:c>
      <x:c r="I24" s="24" t="n">
        <x:v>1</x:v>
      </x:c>
      <x:c r="J24" s="24" t="n">
        <x:v>1.55</x:v>
      </x:c>
      <x:c r="K24" s="24" t="str">
        <x:v>Heavy profiles may replace a positive Agility line with a flat penalty.</x:v>
      </x:c>
    </x:row>
    <x:row r="25">
      <x:c r="A25" s="24" t="str">
        <x:v>Blue</x:v>
      </x:c>
      <x:c r="B25" s="24" t="str">
        <x:v>Necklace</x:v>
      </x:c>
      <x:c r="C25" s="24" t="n">
        <x:v>0.75</x:v>
      </x:c>
      <x:c r="D25" s="24" t="n">
        <x:v>3</x:v>
      </x:c>
      <x:c r="E25" s="24" t="n">
        <x:v>2</x:v>
      </x:c>
      <x:c r="F25" s="24" t="n">
        <x:v>2</x:v>
      </x:c>
      <x:c r="G25" s="24" t="n">
        <x:v>2</x:v>
      </x:c>
      <x:c r="H25" s="24" t="n">
        <x:v>2</x:v>
      </x:c>
      <x:c r="I25" s="24" t="n">
        <x:v>1</x:v>
      </x:c>
      <x:c r="J25" s="24" t="n">
        <x:v>1.55</x:v>
      </x:c>
      <x:c r="K25" s="24" t="str">
        <x:v>Heavy profiles may replace a positive Agility line with a flat penalty.</x:v>
      </x:c>
    </x:row>
    <x:row r="26">
      <x:c r="A26" s="24" t="str">
        <x:v>Purple</x:v>
      </x:c>
      <x:c r="B26" s="24" t="str">
        <x:v>Weapon 1H</x:v>
      </x:c>
      <x:c r="C26" s="24" t="n">
        <x:v>1</x:v>
      </x:c>
      <x:c r="D26" s="24" t="n">
        <x:v>4</x:v>
      </x:c>
      <x:c r="E26" s="24" t="n">
        <x:v>4</x:v>
      </x:c>
      <x:c r="F26" s="24" t="n">
        <x:v>3</x:v>
      </x:c>
      <x:c r="G26" s="24" t="n">
        <x:v>3</x:v>
      </x:c>
      <x:c r="H26" s="24" t="n">
        <x:v>3</x:v>
      </x:c>
      <x:c r="I26" s="24" t="n">
        <x:v>1</x:v>
      </x:c>
      <x:c r="J26" s="24" t="n">
        <x:v>1.9</x:v>
      </x:c>
      <x:c r="K26" s="24" t="str">
        <x:v>Heavy profiles may replace a positive Agility line with a flat penalty.</x:v>
      </x:c>
    </x:row>
    <x:row r="27">
      <x:c r="A27" s="24" t="str">
        <x:v>Purple</x:v>
      </x:c>
      <x:c r="B27" s="24" t="str">
        <x:v>Weapon 2H</x:v>
      </x:c>
      <x:c r="C27" s="24" t="n">
        <x:v>1.5</x:v>
      </x:c>
      <x:c r="D27" s="24" t="n">
        <x:v>4</x:v>
      </x:c>
      <x:c r="E27" s="24" t="n">
        <x:v>6</x:v>
      </x:c>
      <x:c r="F27" s="24" t="n">
        <x:v>3</x:v>
      </x:c>
      <x:c r="G27" s="24" t="n">
        <x:v>5</x:v>
      </x:c>
      <x:c r="H27" s="24" t="n">
        <x:v>3</x:v>
      </x:c>
      <x:c r="I27" s="24" t="n">
        <x:v>1</x:v>
      </x:c>
      <x:c r="J27" s="24" t="n">
        <x:v>1.9</x:v>
      </x:c>
      <x:c r="K27" s="24" t="str">
        <x:v>Heavy profiles may replace a positive Agility line with a flat penalty.</x:v>
      </x:c>
    </x:row>
    <x:row r="28">
      <x:c r="A28" s="24" t="str">
        <x:v>Purple</x:v>
      </x:c>
      <x:c r="B28" s="24" t="str">
        <x:v>Armour</x:v>
      </x:c>
      <x:c r="C28" s="24" t="n">
        <x:v>1</x:v>
      </x:c>
      <x:c r="D28" s="24" t="n">
        <x:v>4</x:v>
      </x:c>
      <x:c r="E28" s="24" t="n">
        <x:v>4</x:v>
      </x:c>
      <x:c r="F28" s="24" t="n">
        <x:v>3</x:v>
      </x:c>
      <x:c r="G28" s="24" t="n">
        <x:v>3</x:v>
      </x:c>
      <x:c r="H28" s="24" t="n">
        <x:v>3</x:v>
      </x:c>
      <x:c r="I28" s="24" t="n">
        <x:v>1</x:v>
      </x:c>
      <x:c r="J28" s="24" t="n">
        <x:v>1.9</x:v>
      </x:c>
      <x:c r="K28" s="24" t="str">
        <x:v>Heavy profiles may replace a positive Agility line with a flat penalty.</x:v>
      </x:c>
    </x:row>
    <x:row r="29">
      <x:c r="A29" s="24" t="str">
        <x:v>Purple</x:v>
      </x:c>
      <x:c r="B29" s="24" t="str">
        <x:v>Shield</x:v>
      </x:c>
      <x:c r="C29" s="24" t="n">
        <x:v>1</x:v>
      </x:c>
      <x:c r="D29" s="24" t="n">
        <x:v>4</x:v>
      </x:c>
      <x:c r="E29" s="24" t="n">
        <x:v>4</x:v>
      </x:c>
      <x:c r="F29" s="24" t="n">
        <x:v>3</x:v>
      </x:c>
      <x:c r="G29" s="24" t="n">
        <x:v>3</x:v>
      </x:c>
      <x:c r="H29" s="24" t="n">
        <x:v>3</x:v>
      </x:c>
      <x:c r="I29" s="24" t="n">
        <x:v>1</x:v>
      </x:c>
      <x:c r="J29" s="24" t="n">
        <x:v>1.9</x:v>
      </x:c>
      <x:c r="K29" s="24" t="str">
        <x:v>Heavy profiles may replace a positive Agility line with a flat penalty.</x:v>
      </x:c>
    </x:row>
    <x:row r="30">
      <x:c r="A30" s="24" t="str">
        <x:v>Purple</x:v>
      </x:c>
      <x:c r="B30" s="24" t="str">
        <x:v>Helmet</x:v>
      </x:c>
      <x:c r="C30" s="24" t="n">
        <x:v>0.75</x:v>
      </x:c>
      <x:c r="D30" s="24" t="n">
        <x:v>4</x:v>
      </x:c>
      <x:c r="E30" s="24" t="n">
        <x:v>3</x:v>
      </x:c>
      <x:c r="F30" s="24" t="n">
        <x:v>3</x:v>
      </x:c>
      <x:c r="G30" s="24" t="n">
        <x:v>2</x:v>
      </x:c>
      <x:c r="H30" s="24" t="n">
        <x:v>3</x:v>
      </x:c>
      <x:c r="I30" s="24" t="n">
        <x:v>1</x:v>
      </x:c>
      <x:c r="J30" s="24" t="n">
        <x:v>1.9</x:v>
      </x:c>
      <x:c r="K30" s="24" t="str">
        <x:v>Heavy profiles may replace a positive Agility line with a flat penalty.</x:v>
      </x:c>
    </x:row>
    <x:row r="31">
      <x:c r="A31" s="24" t="str">
        <x:v>Purple</x:v>
      </x:c>
      <x:c r="B31" s="24" t="str">
        <x:v>Anklet</x:v>
      </x:c>
      <x:c r="C31" s="24" t="n">
        <x:v>0.5</x:v>
      </x:c>
      <x:c r="D31" s="24" t="n">
        <x:v>4</x:v>
      </x:c>
      <x:c r="E31" s="24" t="n">
        <x:v>2</x:v>
      </x:c>
      <x:c r="F31" s="24" t="n">
        <x:v>3</x:v>
      </x:c>
      <x:c r="G31" s="24" t="n">
        <x:v>2</x:v>
      </x:c>
      <x:c r="H31" s="24" t="n">
        <x:v>3</x:v>
      </x:c>
      <x:c r="I31" s="24" t="n">
        <x:v>1</x:v>
      </x:c>
      <x:c r="J31" s="24" t="n">
        <x:v>1.9</x:v>
      </x:c>
      <x:c r="K31" s="24" t="str">
        <x:v>Heavy profiles may replace a positive Agility line with a flat penalty.</x:v>
      </x:c>
    </x:row>
    <x:row r="32">
      <x:c r="A32" s="24" t="str">
        <x:v>Purple</x:v>
      </x:c>
      <x:c r="B32" s="24" t="str">
        <x:v>Necklace</x:v>
      </x:c>
      <x:c r="C32" s="24" t="n">
        <x:v>0.75</x:v>
      </x:c>
      <x:c r="D32" s="24" t="n">
        <x:v>4</x:v>
      </x:c>
      <x:c r="E32" s="24" t="n">
        <x:v>3</x:v>
      </x:c>
      <x:c r="F32" s="24" t="n">
        <x:v>3</x:v>
      </x:c>
      <x:c r="G32" s="24" t="n">
        <x:v>2</x:v>
      </x:c>
      <x:c r="H32" s="24" t="n">
        <x:v>3</x:v>
      </x:c>
      <x:c r="I32" s="24" t="n">
        <x:v>1</x:v>
      </x:c>
      <x:c r="J32" s="24" t="n">
        <x:v>1.9</x:v>
      </x:c>
      <x:c r="K32" s="24" t="str">
        <x:v>Heavy profiles may replace a positive Agility line with a flat penalty.</x:v>
      </x:c>
    </x:row>
    <x:row r="33">
      <x:c r="A33" s="24" t="str">
        <x:v>Gold</x:v>
      </x:c>
      <x:c r="B33" s="24" t="str">
        <x:v>Weapon 1H</x:v>
      </x:c>
      <x:c r="C33" s="24" t="n">
        <x:v>1</x:v>
      </x:c>
      <x:c r="D33" s="24" t="n">
        <x:v>5</x:v>
      </x:c>
      <x:c r="E33" s="24" t="n">
        <x:v>5</x:v>
      </x:c>
      <x:c r="F33" s="24" t="n">
        <x:v>3</x:v>
      </x:c>
      <x:c r="G33" s="24" t="n">
        <x:v>3</x:v>
      </x:c>
      <x:c r="H33" s="24" t="n">
        <x:v>3</x:v>
      </x:c>
      <x:c r="I33" s="24" t="n">
        <x:v>2</x:v>
      </x:c>
      <x:c r="J33" s="24" t="n">
        <x:v>2.3</x:v>
      </x:c>
      <x:c r="K33" s="24" t="str">
        <x:v>Heavy profiles may replace a positive Agility line with a flat penalty.</x:v>
      </x:c>
    </x:row>
    <x:row r="34">
      <x:c r="A34" s="24" t="str">
        <x:v>Gold</x:v>
      </x:c>
      <x:c r="B34" s="24" t="str">
        <x:v>Weapon 2H</x:v>
      </x:c>
      <x:c r="C34" s="24" t="n">
        <x:v>1.5</x:v>
      </x:c>
      <x:c r="D34" s="24" t="n">
        <x:v>5</x:v>
      </x:c>
      <x:c r="E34" s="24" t="n">
        <x:v>8</x:v>
      </x:c>
      <x:c r="F34" s="24" t="n">
        <x:v>3</x:v>
      </x:c>
      <x:c r="G34" s="24" t="n">
        <x:v>5</x:v>
      </x:c>
      <x:c r="H34" s="24" t="n">
        <x:v>3</x:v>
      </x:c>
      <x:c r="I34" s="24" t="n">
        <x:v>2</x:v>
      </x:c>
      <x:c r="J34" s="24" t="n">
        <x:v>2.3</x:v>
      </x:c>
      <x:c r="K34" s="24" t="str">
        <x:v>Heavy profiles may replace a positive Agility line with a flat penalty.</x:v>
      </x:c>
    </x:row>
    <x:row r="35">
      <x:c r="A35" s="24" t="str">
        <x:v>Gold</x:v>
      </x:c>
      <x:c r="B35" s="24" t="str">
        <x:v>Armour</x:v>
      </x:c>
      <x:c r="C35" s="24" t="n">
        <x:v>1</x:v>
      </x:c>
      <x:c r="D35" s="24" t="n">
        <x:v>5</x:v>
      </x:c>
      <x:c r="E35" s="24" t="n">
        <x:v>5</x:v>
      </x:c>
      <x:c r="F35" s="24" t="n">
        <x:v>3</x:v>
      </x:c>
      <x:c r="G35" s="24" t="n">
        <x:v>3</x:v>
      </x:c>
      <x:c r="H35" s="24" t="n">
        <x:v>3</x:v>
      </x:c>
      <x:c r="I35" s="24" t="n">
        <x:v>2</x:v>
      </x:c>
      <x:c r="J35" s="24" t="n">
        <x:v>2.3</x:v>
      </x:c>
      <x:c r="K35" s="24" t="str">
        <x:v>Heavy profiles may replace a positive Agility line with a flat penalty.</x:v>
      </x:c>
    </x:row>
    <x:row r="36">
      <x:c r="A36" s="24" t="str">
        <x:v>Gold</x:v>
      </x:c>
      <x:c r="B36" s="24" t="str">
        <x:v>Shield</x:v>
      </x:c>
      <x:c r="C36" s="24" t="n">
        <x:v>1</x:v>
      </x:c>
      <x:c r="D36" s="24" t="n">
        <x:v>5</x:v>
      </x:c>
      <x:c r="E36" s="24" t="n">
        <x:v>5</x:v>
      </x:c>
      <x:c r="F36" s="24" t="n">
        <x:v>3</x:v>
      </x:c>
      <x:c r="G36" s="24" t="n">
        <x:v>3</x:v>
      </x:c>
      <x:c r="H36" s="24" t="n">
        <x:v>3</x:v>
      </x:c>
      <x:c r="I36" s="24" t="n">
        <x:v>2</x:v>
      </x:c>
      <x:c r="J36" s="24" t="n">
        <x:v>2.3</x:v>
      </x:c>
      <x:c r="K36" s="24" t="str">
        <x:v>Heavy profiles may replace a positive Agility line with a flat penalty.</x:v>
      </x:c>
    </x:row>
    <x:row r="37">
      <x:c r="A37" s="24" t="str">
        <x:v>Gold</x:v>
      </x:c>
      <x:c r="B37" s="24" t="str">
        <x:v>Helmet</x:v>
      </x:c>
      <x:c r="C37" s="24" t="n">
        <x:v>0.75</x:v>
      </x:c>
      <x:c r="D37" s="24" t="n">
        <x:v>5</x:v>
      </x:c>
      <x:c r="E37" s="24" t="n">
        <x:v>4</x:v>
      </x:c>
      <x:c r="F37" s="24" t="n">
        <x:v>3</x:v>
      </x:c>
      <x:c r="G37" s="24" t="n">
        <x:v>2</x:v>
      </x:c>
      <x:c r="H37" s="24" t="n">
        <x:v>3</x:v>
      </x:c>
      <x:c r="I37" s="24" t="n">
        <x:v>2</x:v>
      </x:c>
      <x:c r="J37" s="24" t="n">
        <x:v>2.3</x:v>
      </x:c>
      <x:c r="K37" s="24" t="str">
        <x:v>Heavy profiles may replace a positive Agility line with a flat penalty.</x:v>
      </x:c>
    </x:row>
    <x:row r="38">
      <x:c r="A38" s="24" t="str">
        <x:v>Gold</x:v>
      </x:c>
      <x:c r="B38" s="24" t="str">
        <x:v>Anklet</x:v>
      </x:c>
      <x:c r="C38" s="24" t="n">
        <x:v>0.5</x:v>
      </x:c>
      <x:c r="D38" s="24" t="n">
        <x:v>5</x:v>
      </x:c>
      <x:c r="E38" s="24" t="n">
        <x:v>3</x:v>
      </x:c>
      <x:c r="F38" s="24" t="n">
        <x:v>3</x:v>
      </x:c>
      <x:c r="G38" s="24" t="n">
        <x:v>2</x:v>
      </x:c>
      <x:c r="H38" s="24" t="n">
        <x:v>3</x:v>
      </x:c>
      <x:c r="I38" s="24" t="n">
        <x:v>2</x:v>
      </x:c>
      <x:c r="J38" s="24" t="n">
        <x:v>2.3</x:v>
      </x:c>
      <x:c r="K38" s="24" t="str">
        <x:v>Heavy profiles may replace a positive Agility line with a flat penalty.</x:v>
      </x:c>
    </x:row>
    <x:row r="39">
      <x:c r="A39" s="24" t="str">
        <x:v>Gold</x:v>
      </x:c>
      <x:c r="B39" s="24" t="str">
        <x:v>Necklace</x:v>
      </x:c>
      <x:c r="C39" s="24" t="n">
        <x:v>0.75</x:v>
      </x:c>
      <x:c r="D39" s="24" t="n">
        <x:v>5</x:v>
      </x:c>
      <x:c r="E39" s="24" t="n">
        <x:v>4</x:v>
      </x:c>
      <x:c r="F39" s="24" t="n">
        <x:v>3</x:v>
      </x:c>
      <x:c r="G39" s="24" t="n">
        <x:v>2</x:v>
      </x:c>
      <x:c r="H39" s="24" t="n">
        <x:v>3</x:v>
      </x:c>
      <x:c r="I39" s="24" t="n">
        <x:v>2</x:v>
      </x:c>
      <x:c r="J39" s="24" t="n">
        <x:v>2.3</x:v>
      </x:c>
      <x:c r="K39" s="24" t="str">
        <x:v>Heavy profiles may replace a positive Agility line with a flat penalty.</x:v>
      </x:c>
    </x:row>
    <x:row r="40">
      <x:c r="A40" s="24" t="str">
        <x:v>Orange</x:v>
      </x:c>
      <x:c r="B40" s="24" t="str">
        <x:v>Weapon 1H</x:v>
      </x:c>
      <x:c r="C40" s="24" t="n">
        <x:v>1</x:v>
      </x:c>
      <x:c r="D40" s="24" t="n">
        <x:v>6</x:v>
      </x:c>
      <x:c r="E40" s="24" t="n">
        <x:v>6</x:v>
      </x:c>
      <x:c r="F40" s="24" t="n">
        <x:v>4</x:v>
      </x:c>
      <x:c r="G40" s="24" t="n">
        <x:v>4</x:v>
      </x:c>
      <x:c r="H40" s="24" t="n">
        <x:v>4</x:v>
      </x:c>
      <x:c r="I40" s="24" t="n">
        <x:v>2</x:v>
      </x:c>
      <x:c r="J40" s="24" t="n">
        <x:v>2.75</x:v>
      </x:c>
      <x:c r="K40" s="24" t="str">
        <x:v>Heavy profiles may replace a positive Agility line with a flat penalty.</x:v>
      </x:c>
    </x:row>
    <x:row r="41">
      <x:c r="A41" s="24" t="str">
        <x:v>Orange</x:v>
      </x:c>
      <x:c r="B41" s="24" t="str">
        <x:v>Weapon 2H</x:v>
      </x:c>
      <x:c r="C41" s="24" t="n">
        <x:v>1.5</x:v>
      </x:c>
      <x:c r="D41" s="24" t="n">
        <x:v>6</x:v>
      </x:c>
      <x:c r="E41" s="24" t="n">
        <x:v>9</x:v>
      </x:c>
      <x:c r="F41" s="24" t="n">
        <x:v>4</x:v>
      </x:c>
      <x:c r="G41" s="24" t="n">
        <x:v>6</x:v>
      </x:c>
      <x:c r="H41" s="24" t="n">
        <x:v>4</x:v>
      </x:c>
      <x:c r="I41" s="24" t="n">
        <x:v>2</x:v>
      </x:c>
      <x:c r="J41" s="24" t="n">
        <x:v>2.75</x:v>
      </x:c>
      <x:c r="K41" s="24" t="str">
        <x:v>Heavy profiles may replace a positive Agility line with a flat penalty.</x:v>
      </x:c>
    </x:row>
    <x:row r="42">
      <x:c r="A42" s="24" t="str">
        <x:v>Orange</x:v>
      </x:c>
      <x:c r="B42" s="24" t="str">
        <x:v>Armour</x:v>
      </x:c>
      <x:c r="C42" s="24" t="n">
        <x:v>1</x:v>
      </x:c>
      <x:c r="D42" s="24" t="n">
        <x:v>6</x:v>
      </x:c>
      <x:c r="E42" s="24" t="n">
        <x:v>6</x:v>
      </x:c>
      <x:c r="F42" s="24" t="n">
        <x:v>4</x:v>
      </x:c>
      <x:c r="G42" s="24" t="n">
        <x:v>4</x:v>
      </x:c>
      <x:c r="H42" s="24" t="n">
        <x:v>4</x:v>
      </x:c>
      <x:c r="I42" s="24" t="n">
        <x:v>2</x:v>
      </x:c>
      <x:c r="J42" s="24" t="n">
        <x:v>2.75</x:v>
      </x:c>
      <x:c r="K42" s="24" t="str">
        <x:v>Heavy profiles may replace a positive Agility line with a flat penalty.</x:v>
      </x:c>
    </x:row>
    <x:row r="43">
      <x:c r="A43" s="24" t="str">
        <x:v>Orange</x:v>
      </x:c>
      <x:c r="B43" s="24" t="str">
        <x:v>Shield</x:v>
      </x:c>
      <x:c r="C43" s="24" t="n">
        <x:v>1</x:v>
      </x:c>
      <x:c r="D43" s="24" t="n">
        <x:v>6</x:v>
      </x:c>
      <x:c r="E43" s="24" t="n">
        <x:v>6</x:v>
      </x:c>
      <x:c r="F43" s="24" t="n">
        <x:v>4</x:v>
      </x:c>
      <x:c r="G43" s="24" t="n">
        <x:v>4</x:v>
      </x:c>
      <x:c r="H43" s="24" t="n">
        <x:v>4</x:v>
      </x:c>
      <x:c r="I43" s="24" t="n">
        <x:v>2</x:v>
      </x:c>
      <x:c r="J43" s="24" t="n">
        <x:v>2.75</x:v>
      </x:c>
      <x:c r="K43" s="24" t="str">
        <x:v>Heavy profiles may replace a positive Agility line with a flat penalty.</x:v>
      </x:c>
    </x:row>
    <x:row r="44">
      <x:c r="A44" s="24" t="str">
        <x:v>Orange</x:v>
      </x:c>
      <x:c r="B44" s="24" t="str">
        <x:v>Helmet</x:v>
      </x:c>
      <x:c r="C44" s="24" t="n">
        <x:v>0.75</x:v>
      </x:c>
      <x:c r="D44" s="24" t="n">
        <x:v>6</x:v>
      </x:c>
      <x:c r="E44" s="24" t="n">
        <x:v>5</x:v>
      </x:c>
      <x:c r="F44" s="24" t="n">
        <x:v>4</x:v>
      </x:c>
      <x:c r="G44" s="24" t="n">
        <x:v>3</x:v>
      </x:c>
      <x:c r="H44" s="24" t="n">
        <x:v>4</x:v>
      </x:c>
      <x:c r="I44" s="24" t="n">
        <x:v>2</x:v>
      </x:c>
      <x:c r="J44" s="24" t="n">
        <x:v>2.75</x:v>
      </x:c>
      <x:c r="K44" s="24" t="str">
        <x:v>Heavy profiles may replace a positive Agility line with a flat penalty.</x:v>
      </x:c>
    </x:row>
    <x:row r="45">
      <x:c r="A45" s="24" t="str">
        <x:v>Orange</x:v>
      </x:c>
      <x:c r="B45" s="24" t="str">
        <x:v>Anklet</x:v>
      </x:c>
      <x:c r="C45" s="24" t="n">
        <x:v>0.5</x:v>
      </x:c>
      <x:c r="D45" s="24" t="n">
        <x:v>6</x:v>
      </x:c>
      <x:c r="E45" s="24" t="n">
        <x:v>3</x:v>
      </x:c>
      <x:c r="F45" s="24" t="n">
        <x:v>4</x:v>
      </x:c>
      <x:c r="G45" s="24" t="n">
        <x:v>2</x:v>
      </x:c>
      <x:c r="H45" s="24" t="n">
        <x:v>4</x:v>
      </x:c>
      <x:c r="I45" s="24" t="n">
        <x:v>2</x:v>
      </x:c>
      <x:c r="J45" s="24" t="n">
        <x:v>2.75</x:v>
      </x:c>
      <x:c r="K45" s="24" t="str">
        <x:v>Heavy profiles may replace a positive Agility line with a flat penalty.</x:v>
      </x:c>
    </x:row>
    <x:row r="46">
      <x:c r="A46" s="24" t="str">
        <x:v>Orange</x:v>
      </x:c>
      <x:c r="B46" s="24" t="str">
        <x:v>Necklace</x:v>
      </x:c>
      <x:c r="C46" s="24" t="n">
        <x:v>0.75</x:v>
      </x:c>
      <x:c r="D46" s="24" t="n">
        <x:v>6</x:v>
      </x:c>
      <x:c r="E46" s="24" t="n">
        <x:v>5</x:v>
      </x:c>
      <x:c r="F46" s="24" t="n">
        <x:v>4</x:v>
      </x:c>
      <x:c r="G46" s="24" t="n">
        <x:v>3</x:v>
      </x:c>
      <x:c r="H46" s="24" t="n">
        <x:v>4</x:v>
      </x:c>
      <x:c r="I46" s="24" t="n">
        <x:v>2</x:v>
      </x:c>
      <x:c r="J46" s="24" t="n">
        <x:v>2.75</x:v>
      </x:c>
      <x:c r="K46" s="24" t="str">
        <x:v>Heavy profiles may replace a positive Agility line with a flat penalty.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22" hidden="0" customWidth="1"/>
    <x:col min="4" max="4" width="22" hidden="0" customWidth="1"/>
    <x:col min="5" max="5" width="26" hidden="0" customWidth="1"/>
    <x:col min="6" max="6" width="60" hidden="0" customWidth="1"/>
  </x:cols>
  <x:sheetData>
    <x:row r="1">
      <x:c r="A1" s="4" t="str">
        <x:v>Recovery and Defence Rules</x:v>
      </x:c>
      <x:c r="B1" s="4"/>
      <x:c r="C1" s="4"/>
      <x:c r="D1" s="4"/>
      <x:c r="E1" s="4"/>
      <x:c r="F1" s="4"/>
    </x:row>
    <x:row r="2">
      <x:c r="A2" s="10" t="str">
        <x:v>Confirmed diminishing-return defence and Agility-derived Dodge.</x:v>
      </x:c>
      <x:c r="B2" s="10"/>
      <x:c r="C2" s="10"/>
      <x:c r="D2" s="10"/>
      <x:c r="E2" s="10"/>
      <x:c r="F2" s="10"/>
    </x:row>
    <x:row r="3">
      <x:c r="A3"/>
      <x:c r="B3"/>
      <x:c r="C3"/>
      <x:c r="D3"/>
      <x:c r="E3"/>
      <x:c r="F3"/>
    </x:row>
    <x:row r="4">
      <x:c r="A4" s="17" t="str">
        <x:v>Rule</x:v>
      </x:c>
      <x:c r="B4" s="17" t="str">
        <x:v>Formula</x:v>
      </x:c>
      <x:c r="C4" s="17" t="str">
        <x:v>Example Input</x:v>
      </x:c>
      <x:c r="D4" s="17" t="str">
        <x:v>Example Result</x:v>
      </x:c>
      <x:c r="E4" s="17" t="str">
        <x:v>Cap / Restriction</x:v>
      </x:c>
      <x:c r="F4" s="17" t="str">
        <x:v>Implementation Note</x:v>
      </x:c>
    </x:row>
    <x:row r="5">
      <x:c r="A5" s="24" t="str">
        <x:v>Physical mitigation rating</x:v>
      </x:c>
      <x:c r="B5" s="24" t="str">
        <x:v>Effective Guard × 2.5</x:v>
      </x:c>
      <x:c r="C5" s="24" t="str">
        <x:v>24 Guard</x:v>
      </x:c>
      <x:c r="D5" s="24" t="str">
        <x:v>60 rating</x:v>
      </x:c>
      <x:c r="E5" s="24" t="str">
        <x:v>None</x:v>
      </x:c>
      <x:c r="F5" s="24" t="str">
        <x:v>Rating is not direct percentage points.</x:v>
      </x:c>
    </x:row>
    <x:row r="6">
      <x:c r="A6" s="24" t="str">
        <x:v>Magic mitigation rating</x:v>
      </x:c>
      <x:c r="B6" s="24" t="str">
        <x:v>Effective Resolve × 2.5</x:v>
      </x:c>
      <x:c r="C6" s="24" t="str">
        <x:v>24 Resolve</x:v>
      </x:c>
      <x:c r="D6" s="24" t="str">
        <x:v>60 rating</x:v>
      </x:c>
      <x:c r="E6" s="24" t="str">
        <x:v>None</x:v>
      </x:c>
      <x:c r="F6" s="24" t="str">
        <x:v>Same curve as Guard.</x:v>
      </x:c>
    </x:row>
    <x:row r="7">
      <x:c r="A7" s="24" t="str">
        <x:v>Mitigation</x:v>
      </x:c>
      <x:c r="B7" s="24" t="str">
        <x:v>Rating ÷ (100 + Rating)</x:v>
      </x:c>
      <x:c r="C7" s="24" t="str">
        <x:v>60 rating</x:v>
      </x:c>
      <x:c r="D7" s="24" t="str">
        <x:v>37.5%</x:v>
      </x:c>
      <x:c r="E7" s="24" t="str">
        <x:v>75% final</x:v>
      </x:c>
      <x:c r="F7" s="24" t="str">
        <x:v>Use MIN(75%, calculated result).</x:v>
      </x:c>
    </x:row>
    <x:row r="8">
      <x:c r="A8" s="24" t="str">
        <x:v>Physical final damage</x:v>
      </x:c>
      <x:c r="B8" s="24" t="str">
        <x:v>Raw Physical × (1 − Physical mitigation)</x:v>
      </x:c>
      <x:c r="C8" s="24" t="str">
        <x:v>100 raw vs 24 Guard</x:v>
      </x:c>
      <x:c r="D8" s="24" t="str">
        <x:v>62.5</x:v>
      </x:c>
      <x:c r="E8" s="24" t="str">
        <x:v>Round once at final damage</x:v>
      </x:c>
      <x:c r="F8" s="24" t="str">
        <x:v>Finesse and Strength both use Guard.</x:v>
      </x:c>
    </x:row>
    <x:row r="9">
      <x:c r="A9" s="24" t="str">
        <x:v>Magic final damage</x:v>
      </x:c>
      <x:c r="B9" s="24" t="str">
        <x:v>Raw Magic × (1 − Magic mitigation)</x:v>
      </x:c>
      <x:c r="C9" s="24" t="str">
        <x:v>100 raw vs 24 Resolve</x:v>
      </x:c>
      <x:c r="D9" s="24" t="str">
        <x:v>62.5</x:v>
      </x:c>
      <x:c r="E9" s="24" t="str">
        <x:v>Round once at final damage</x:v>
      </x:c>
      <x:c r="F9" s="24" t="str">
        <x:v>Hybrid portions resolve separately.</x:v>
      </x:c>
    </x:row>
    <x:row r="10">
      <x:c r="A10" s="24" t="str">
        <x:v>Flat penetration</x:v>
      </x:c>
      <x:c r="B10" s="24" t="str">
        <x:v>MAX(0, Defence − Flat Penetration)</x:v>
      </x:c>
      <x:c r="C10" s="24" t="str">
        <x:v>40 Guard − 10</x:v>
      </x:c>
      <x:c r="D10" s="24" t="str">
        <x:v>30 Guard</x:v>
      </x:c>
      <x:c r="E10" s="24" t="str">
        <x:v>Cannot go below 0</x:v>
      </x:c>
      <x:c r="F10" s="24" t="str">
        <x:v>Apply before percentage penetration.</x:v>
      </x:c>
    </x:row>
    <x:row r="11">
      <x:c r="A11" s="24" t="str">
        <x:v>Percentage penetration</x:v>
      </x:c>
      <x:c r="B11" s="24" t="str">
        <x:v>Remaining Defence × (1 − Penetration %)</x:v>
      </x:c>
      <x:c r="C11" s="24" t="str">
        <x:v>30 Guard with 25%</x:v>
      </x:c>
      <x:c r="D11" s="24" t="str">
        <x:v>22.5 Guard</x:v>
      </x:c>
      <x:c r="E11" s="24" t="str">
        <x:v>40% recommended cap</x:v>
      </x:c>
      <x:c r="F11" s="24" t="str">
        <x:v>Rare/controlled secondary stat.</x:v>
      </x:c>
    </x:row>
    <x:row r="12">
      <x:c r="A12" s="24" t="str">
        <x:v>Dodge</x:v>
      </x:c>
      <x:c r="B12" s="24" t="str">
        <x:v>MIN(50%, Agility × 0.5%)</x:v>
      </x:c>
      <x:c r="C12" s="24" t="str">
        <x:v>24 Agility</x:v>
      </x:c>
      <x:c r="D12" s="24" t="str">
        <x:v>12%</x:v>
      </x:c>
      <x:c r="E12" s="24" t="str">
        <x:v>50% hard cap</x:v>
      </x:c>
      <x:c r="F12" s="24" t="str">
        <x:v>Dodge is separate from mitigation.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0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8" hidden="0" customWidth="1"/>
    <x:col min="9" max="9" width="20" hidden="0" customWidth="1"/>
    <x:col min="10" max="10" width="16" hidden="0" customWidth="1"/>
    <x:col min="11" max="11" width="32" hidden="0" customWidth="1"/>
  </x:cols>
  <x:sheetData>
    <x:row r="1">
      <x:c r="A1" s="4" t="str">
        <x:v>Enemy Scaling and AI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NPCs now use the same low Base Health and pre-built species attribute row as player birds. Difficulty comes from equipment, progression, AI and explicit encounter rules—not hidden base stats.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>
      <x:c r="A4" s="17" t="str">
        <x:v>Profile</x:v>
      </x:c>
      <x:c r="B4" s="17" t="str">
        <x:v>Level/Tier Treatment</x:v>
      </x:c>
      <x:c r="C4" s="17" t="str">
        <x:v>Equipment Policy</x:v>
      </x:c>
      <x:c r="D4" s="17" t="str">
        <x:v>Vitality Treatment</x:v>
      </x:c>
      <x:c r="E4" s="17" t="str">
        <x:v>Offence Treatment</x:v>
      </x:c>
      <x:c r="F4" s="17" t="str">
        <x:v>Defence Treatment</x:v>
      </x:c>
      <x:c r="G4" s="17" t="str">
        <x:v>Agility Treatment</x:v>
      </x:c>
      <x:c r="H4" s="17" t="str">
        <x:v>AI Policy</x:v>
      </x:c>
      <x:c r="I4" s="17" t="str">
        <x:v>Hidden Multipliers?</x:v>
      </x:c>
      <x:c r="J4" s="17" t="str">
        <x:v>Status</x:v>
      </x:c>
      <x:c r="K4" s="17" t="str">
        <x:v>Use</x:v>
      </x:c>
    </x:row>
    <x:row r="5">
      <x:c r="A5" s="24" t="str">
        <x:v>Story</x:v>
      </x:c>
      <x:c r="B5" s="24" t="str">
        <x:v>Up to one milestone below</x:v>
      </x:c>
      <x:c r="C5" s="24" t="str">
        <x:v>One rarity below when available</x:v>
      </x:c>
      <x:c r="D5" s="24" t="str">
        <x:v>Same formula</x:v>
      </x:c>
      <x:c r="E5" s="24" t="str">
        <x:v>No hidden bonus</x:v>
      </x:c>
      <x:c r="F5" s="24" t="str">
        <x:v>No hidden bonus</x:v>
      </x:c>
      <x:c r="G5" s="24" t="str">
        <x:v>No hidden bonus</x:v>
      </x:c>
      <x:c r="H5" s="24" t="str">
        <x:v>Avoid repeated strongest action; imperfect Energy use</x:v>
      </x:c>
      <x:c r="I5" s="24" t="str">
        <x:v>No</x:v>
      </x:c>
      <x:c r="J5" s="24" t="str">
        <x:v>Working</x:v>
      </x:c>
      <x:c r="K5" s="24" t="str">
        <x:v>Optional reduced difficulty</x:v>
      </x:c>
    </x:row>
    <x:row r="6">
      <x:c r="A6" s="24" t="str">
        <x:v>Standard</x:v>
      </x:c>
      <x:c r="B6" s="24" t="str">
        <x:v>Matches player milestone</x:v>
      </x:c>
      <x:c r="C6" s="24" t="str">
        <x:v>Curated same-rarity Reference Loadout</x:v>
      </x:c>
      <x:c r="D6" s="24" t="str">
        <x:v>Same formula</x:v>
      </x:c>
      <x:c r="E6" s="24" t="str">
        <x:v>1.00×</x:v>
      </x:c>
      <x:c r="F6" s="24" t="str">
        <x:v>1.00×</x:v>
      </x:c>
      <x:c r="G6" s="24" t="str">
        <x:v>1.00×</x:v>
      </x:c>
      <x:c r="H6" s="24" t="str">
        <x:v>Balanced legal action selection</x:v>
      </x:c>
      <x:c r="I6" s="24" t="str">
        <x:v>No</x:v>
      </x:c>
      <x:c r="J6" s="24" t="str">
        <x:v>Confirmed direction</x:v>
      </x:c>
      <x:c r="K6" s="24" t="str">
        <x:v>Primary campaign baseline</x:v>
      </x:c>
    </x:row>
    <x:row r="7">
      <x:c r="A7" s="24" t="str">
        <x:v>Veteran</x:v>
      </x:c>
      <x:c r="B7" s="24" t="str">
        <x:v>Same milestone or +1 level</x:v>
      </x:c>
      <x:c r="C7" s="24" t="str">
        <x:v>Same-rarity synergistic loadout</x:v>
      </x:c>
      <x:c r="D7" s="24" t="str">
        <x:v>Same formula</x:v>
      </x:c>
      <x:c r="E7" s="24" t="str">
        <x:v>1.00×</x:v>
      </x:c>
      <x:c r="F7" s="24" t="str">
        <x:v>1.00×</x:v>
      </x:c>
      <x:c r="G7" s="24" t="str">
        <x:v>1.00×</x:v>
      </x:c>
      <x:c r="H7" s="24" t="str">
        <x:v>Better setup, utility and Energy use</x:v>
      </x:c>
      <x:c r="I7" s="24" t="str">
        <x:v>No</x:v>
      </x:c>
      <x:c r="J7" s="24" t="str">
        <x:v>Working</x:v>
      </x:c>
      <x:c r="K7" s="24" t="str">
        <x:v>Experienced players</x:v>
      </x:c>
    </x:row>
    <x:row r="8">
      <x:c r="A8" s="24" t="str">
        <x:v>Elite</x:v>
      </x:c>
      <x:c r="B8" s="24" t="str">
        <x:v>Same tier; curated encounter</x:v>
      </x:c>
      <x:c r="C8" s="24" t="str">
        <x:v>Same-rarity or named loadout</x:v>
      </x:c>
      <x:c r="D8" s="24" t="str">
        <x:v>Same formula</x:v>
      </x:c>
      <x:c r="E8" s="24" t="str">
        <x:v>No general hidden bonus</x:v>
      </x:c>
      <x:c r="F8" s="24" t="str">
        <x:v>No general hidden bonus</x:v>
      </x:c>
      <x:c r="G8" s="24" t="str">
        <x:v>No general hidden bonus</x:v>
      </x:c>
      <x:c r="H8" s="24" t="str">
        <x:v>Synergy-aware, telegraphed punishments</x:v>
      </x:c>
      <x:c r="I8" s="24" t="str">
        <x:v>No</x:v>
      </x:c>
      <x:c r="J8" s="24" t="str">
        <x:v>Working</x:v>
      </x:c>
      <x:c r="K8" s="24" t="str">
        <x:v>Rare elite encounters</x:v>
      </x:c>
    </x:row>
    <x:row r="9">
      <x:c r="A9" s="24" t="str">
        <x:v>Boss</x:v>
      </x:c>
      <x:c r="B9" s="24" t="str">
        <x:v>Encounter-specific phases</x:v>
      </x:c>
      <x:c r="C9" s="24" t="str">
        <x:v>Unique budgeted loadout</x:v>
      </x:c>
      <x:c r="D9" s="24" t="str">
        <x:v>May use explicit phase health</x:v>
      </x:c>
      <x:c r="E9" s="24" t="str">
        <x:v>No hidden universal bonus</x:v>
      </x:c>
      <x:c r="F9" s="24" t="str">
        <x:v>No hidden universal bonus</x:v>
      </x:c>
      <x:c r="G9" s="24" t="str">
        <x:v>No hidden universal bonus</x:v>
      </x:c>
      <x:c r="H9" s="24" t="str">
        <x:v>Phase script and telegraphed burst</x:v>
      </x:c>
      <x:c r="I9" s="24" t="str">
        <x:v>No</x:v>
      </x:c>
      <x:c r="J9" s="24" t="str">
        <x:v>Working</x:v>
      </x:c>
      <x:c r="K9" s="24" t="str">
        <x:v>Boss encounters</x:v>
      </x:c>
    </x:row>
    <x:row r="10">
      <x:c r="A10" t="str">
        <x:v>Base Stat Source</x:v>
      </x:c>
      <x:c r="B10" t="str">
        <x:v>All normal NPCs</x:v>
      </x:c>
      <x:c r="C10" t="str">
        <x:v>Bird Stats species row</x:v>
      </x:c>
      <x:c r="D10" t="str">
        <x:v>Same Base Health</x:v>
      </x:c>
      <x:c r="E10" t="str">
        <x:v>Same Might/Dexterity/Focus</x:v>
      </x:c>
      <x:c r="F10" t="str">
        <x:v>Same Guard/Resolve</x:v>
      </x:c>
      <x:c r="G10" t="str">
        <x:v>Same Agility</x:v>
      </x:c>
      <x:c r="H10" t="str">
        <x:v>AI varies by profile</x:v>
      </x:c>
      <x:c r="I10" t="str">
        <x:v>No</x:v>
      </x:c>
      <x:c r="J10" t="str">
        <x:v>Implemented 0.9</x:v>
      </x:c>
      <x:c r="K10" t="str">
        <x:v>Authoritative for enemies</x:v>
      </x:c>
    </x:row>
    <x:row r="11">
      <x:c r="A11" t="str">
        <x:v>Attribute Budget</x:v>
      </x:c>
      <x:c r="B11" t="str">
        <x:v>Grey–Purple 30</x:v>
      </x:c>
      <x:c r="C11" t="str">
        <x:v>Gold 32; Orange 34</x:v>
      </x:c>
      <x:c r="D11" t="str">
        <x:v>Vitality included in budget</x:v>
      </x:c>
      <x:c r="E11" t="str">
        <x:v>Offence included in budget</x:v>
      </x:c>
      <x:c r="F11" t="str">
        <x:v>Defence included in budget</x:v>
      </x:c>
      <x:c r="G11" t="str">
        <x:v>Agility included in budget</x:v>
      </x:c>
      <x:c r="H11" t="str">
        <x:v>No reallocation by difficulty</x:v>
      </x:c>
      <x:c r="I11" t="str">
        <x:v>No</x:v>
      </x:c>
      <x:c r="J11" t="str">
        <x:v>Implemented 0.9</x:v>
      </x:c>
      <x:c r="K11" t="str">
        <x:v>Tier cap audit in Bird Stats</x:v>
      </x:c>
    </x:row>
    <x:row r="12">
      <x:c r="A12" t="str">
        <x:v>Health Rule</x:v>
      </x:c>
      <x:c r="B12" t="str">
        <x:v>Real-size Base Health</x:v>
      </x:c>
      <x:c r="C12" t="str">
        <x:v>No universal +20</x:v>
      </x:c>
      <x:c r="D12" t="str">
        <x:v>Vitality = +5% base per point</x:v>
      </x:c>
      <x:c r="E12" t="str">
        <x:v>No hidden health multiplier</x:v>
      </x:c>
      <x:c r="F12" t="str">
        <x:v>No hidden health multiplier</x:v>
      </x:c>
      <x:c r="G12" t="str">
        <x:v>No hidden health multiplier</x:v>
      </x:c>
      <x:c r="H12" t="str">
        <x:v>Boss phase health must be explicit</x:v>
      </x:c>
      <x:c r="I12" t="str">
        <x:v>No</x:v>
      </x:c>
      <x:c r="J12" t="str">
        <x:v>Implemented 0.9</x:v>
      </x:c>
      <x:c r="K12" t="str">
        <x:v>Boss exceptions documented separately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10" hidden="0" customWidth="1"/>
    <x:col min="4" max="4" width="16" hidden="0" customWidth="1"/>
    <x:col min="5" max="5" width="18" hidden="0" customWidth="1"/>
    <x:col min="6" max="6" width="22" hidden="0" customWidth="1"/>
    <x:col min="7" max="7" width="18" hidden="0" customWidth="1"/>
    <x:col min="8" max="8" width="18" hidden="0" customWidth="1"/>
    <x:col min="9" max="9" width="48" hidden="0" customWidth="1"/>
    <x:col min="10" max="10" width="42" hidden="0" customWidth="1"/>
    <x:col min="11" max="11" width="42" hidden="0" customWidth="1"/>
    <x:col min="12" max="12" width="28" hidden="0" customWidth="1"/>
    <x:col min="13" max="13" width="24" hidden="0" customWidth="1"/>
    <x:col min="14" max="14" width="16" hidden="0" customWidth="1"/>
  </x:cols>
  <x:sheetData>
    <x:row r="1">
      <x:c r="A1" s="4" t="str">
        <x:v>One-Handed Pairing and Combination Registry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Hybrid and paired techniques now store total Skill Power and assigned scaling stats. Each damage component resolves against its matching defence.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 s="17" t="str">
        <x:v>Pair</x:v>
      </x:c>
      <x:c r="B4" s="17" t="str">
        <x:v>Technique / Synergy</x:v>
      </x:c>
      <x:c r="C4" s="17" t="str">
        <x:v>EN</x:v>
      </x:c>
      <x:c r="D4" s="17" t="str">
        <x:v>Cooldown</x:v>
      </x:c>
      <x:c r="E4" s="17" t="str">
        <x:v>Total Skill Power</x:v>
      </x:c>
      <x:c r="F4" s="17" t="str">
        <x:v>Damage Type</x:v>
      </x:c>
      <x:c r="G4" s="17" t="str">
        <x:v>Primary Stat</x:v>
      </x:c>
      <x:c r="H4" s="17" t="str">
        <x:v>Secondary Stat</x:v>
      </x:c>
      <x:c r="I4" s="17" t="str">
        <x:v>Effect</x:v>
      </x:c>
      <x:c r="J4" s="17" t="str">
        <x:v>Balance Rule</x:v>
      </x:c>
      <x:c r="K4" s="17" t="str">
        <x:v>Notes</x:v>
      </x:c>
      <x:c r="L4" s="17" t="str">
        <x:v>Pair Key</x:v>
      </x:c>
      <x:c r="M4" s="17" t="str">
        <x:v>Skill ID</x:v>
      </x:c>
      <x:c r="N4" s="17" t="str">
        <x:v>Status</x:v>
      </x:c>
    </x:row>
    <x:row r="5">
      <x:c r="A5" s="24"/>
      <x:c r="B5" s="24"/>
      <x:c r="C5" s="24"/>
      <x:c r="D5" s="24"/>
      <x:c r="E5" s="30" t="n">
        <x:v>0</x:v>
      </x:c>
      <x:c r="F5" s="24" t="str">
        <x:v>Hybrid</x:v>
      </x:c>
      <x:c r="G5" s="24"/>
      <x:c r="H5" s="24"/>
      <x:c r="I5" s="24"/>
      <x:c r="J5" s="24"/>
      <x:c r="K5" s="24"/>
      <x:c r="L5" s="24"/>
      <x:c r="M5" s="24"/>
      <x:c r="N5" s="24"/>
    </x:row>
    <x:row r="6">
      <x:c r="A6" s="24"/>
      <x:c r="B6" s="24"/>
      <x:c r="C6" s="24"/>
      <x:c r="D6" s="24"/>
      <x:c r="E6" s="30" t="n">
        <x:v>0</x:v>
      </x:c>
      <x:c r="F6" s="24" t="str">
        <x:v>Hybrid</x:v>
      </x:c>
      <x:c r="G6" s="24"/>
      <x:c r="H6" s="24"/>
      <x:c r="I6" s="24"/>
      <x:c r="J6" s="24"/>
      <x:c r="K6" s="24"/>
      <x:c r="L6" s="24"/>
      <x:c r="M6" s="24"/>
      <x:c r="N6" s="24"/>
    </x:row>
    <x:row r="7">
      <x:c r="A7" s="24"/>
      <x:c r="B7" s="24"/>
      <x:c r="C7" s="24"/>
      <x:c r="D7" s="24"/>
      <x:c r="E7" s="30" t="n">
        <x:v>0</x:v>
      </x:c>
      <x:c r="F7" s="24" t="str">
        <x:v>Hybrid</x:v>
      </x:c>
      <x:c r="G7" s="24"/>
      <x:c r="H7" s="24"/>
      <x:c r="I7" s="24"/>
      <x:c r="J7" s="24"/>
      <x:c r="K7" s="24"/>
      <x:c r="L7" s="24"/>
      <x:c r="M7" s="24"/>
      <x:c r="N7" s="24"/>
    </x:row>
    <x:row r="8">
      <x:c r="A8" s="24"/>
      <x:c r="B8" s="24"/>
      <x:c r="C8" s="24"/>
      <x:c r="D8" s="24"/>
      <x:c r="E8" s="30" t="n">
        <x:v>0</x:v>
      </x:c>
      <x:c r="F8" s="24" t="str">
        <x:v>Hybrid</x:v>
      </x:c>
      <x:c r="G8" s="24"/>
      <x:c r="H8" s="24"/>
      <x:c r="I8" s="24"/>
      <x:c r="J8" s="24"/>
      <x:c r="K8" s="24"/>
      <x:c r="L8" s="24"/>
      <x:c r="M8" s="24"/>
      <x:c r="N8" s="24"/>
    </x:row>
    <x:row r="9">
      <x:c r="A9" s="24"/>
      <x:c r="B9" s="24"/>
      <x:c r="C9" s="24"/>
      <x:c r="D9" s="24"/>
      <x:c r="E9" s="30" t="n">
        <x:v>0</x:v>
      </x:c>
      <x:c r="F9" s="24" t="str">
        <x:v>Hybrid</x:v>
      </x:c>
      <x:c r="G9" s="24"/>
      <x:c r="H9" s="24"/>
      <x:c r="I9" s="24"/>
      <x:c r="J9" s="24"/>
      <x:c r="K9" s="24"/>
      <x:c r="L9" s="24"/>
      <x:c r="M9" s="24"/>
      <x:c r="N9" s="24"/>
    </x:row>
    <x:row r="10">
      <x:c r="A10" s="24"/>
      <x:c r="B10" s="24"/>
      <x:c r="C10" s="24"/>
      <x:c r="D10" s="24"/>
      <x:c r="E10" s="30" t="n">
        <x:v>0</x:v>
      </x:c>
      <x:c r="F10" s="24" t="str">
        <x:v>Hybrid</x:v>
      </x:c>
      <x:c r="G10" s="24"/>
      <x:c r="H10" s="24"/>
      <x:c r="I10" s="24"/>
      <x:c r="J10" s="24"/>
      <x:c r="K10" s="24"/>
      <x:c r="L10" s="24"/>
      <x:c r="M10" s="24"/>
      <x:c r="N10" s="24"/>
    </x:row>
    <x:row r="11">
      <x:c r="A11" s="24"/>
      <x:c r="B11" s="24"/>
      <x:c r="C11" s="24"/>
      <x:c r="D11" s="24"/>
      <x:c r="E11" s="30" t="n">
        <x:v>0</x:v>
      </x:c>
      <x:c r="F11" s="24" t="str">
        <x:v>Hybrid</x:v>
      </x:c>
      <x:c r="G11" s="24"/>
      <x:c r="H11" s="24"/>
      <x:c r="I11" s="24"/>
      <x:c r="J11" s="24"/>
      <x:c r="K11" s="24"/>
      <x:c r="L11" s="24"/>
      <x:c r="M11" s="24"/>
      <x:c r="N11" s="24"/>
    </x:row>
    <x:row r="12">
      <x:c r="A12" s="24"/>
      <x:c r="B12" s="24"/>
      <x:c r="C12" s="24"/>
      <x:c r="D12" s="24"/>
      <x:c r="E12" s="30" t="n">
        <x:v>0</x:v>
      </x:c>
      <x:c r="F12" s="24" t="str">
        <x:v>Hybrid</x:v>
      </x:c>
      <x:c r="G12" s="24"/>
      <x:c r="H12" s="24"/>
      <x:c r="I12" s="24"/>
      <x:c r="J12" s="24"/>
      <x:c r="K12" s="24"/>
      <x:c r="L12" s="24"/>
      <x:c r="M12" s="24"/>
      <x:c r="N12" s="24"/>
    </x:row>
    <x:row r="13">
      <x:c r="A13" s="24"/>
      <x:c r="B13" s="24"/>
      <x:c r="C13" s="24"/>
      <x:c r="D13" s="24"/>
      <x:c r="E13" s="30" t="n">
        <x:v>0</x:v>
      </x:c>
      <x:c r="F13" s="24" t="str">
        <x:v>Hybrid</x:v>
      </x:c>
      <x:c r="G13" s="24"/>
      <x:c r="H13" s="24"/>
      <x:c r="I13" s="24"/>
      <x:c r="J13" s="24"/>
      <x:c r="K13" s="24"/>
      <x:c r="L13" s="24"/>
      <x:c r="M13" s="24"/>
      <x:c r="N13" s="24"/>
    </x:row>
    <x:row r="14">
      <x:c r="A14" s="24"/>
      <x:c r="B14" s="24"/>
      <x:c r="C14" s="24"/>
      <x:c r="D14" s="24"/>
      <x:c r="E14" s="30" t="n">
        <x:v>0</x:v>
      </x:c>
      <x:c r="F14" s="24" t="str">
        <x:v>Hybrid</x:v>
      </x:c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24"/>
      <x:c r="B15" s="24"/>
      <x:c r="C15" s="24"/>
      <x:c r="D15" s="24"/>
      <x:c r="E15" s="30" t="n">
        <x:v>0</x:v>
      </x:c>
      <x:c r="F15" s="24" t="str">
        <x:v>Hybrid</x:v>
      </x:c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24"/>
      <x:c r="B16" s="24"/>
      <x:c r="C16" s="24"/>
      <x:c r="D16" s="24"/>
      <x:c r="E16" s="30" t="n">
        <x:v>0</x:v>
      </x:c>
      <x:c r="F16" s="24" t="str">
        <x:v>Hybrid</x:v>
      </x:c>
      <x:c r="G16" s="24"/>
      <x:c r="H16" s="24"/>
      <x:c r="I16" s="24"/>
      <x:c r="J16" s="24"/>
      <x:c r="K16" s="24"/>
      <x:c r="L16" s="24"/>
      <x:c r="M16" s="24"/>
      <x:c r="N16" s="24"/>
    </x:row>
    <x:row r="17">
      <x:c r="A17" s="24"/>
      <x:c r="B17" s="24"/>
      <x:c r="C17" s="24"/>
      <x:c r="D17" s="24"/>
      <x:c r="E17" s="30" t="n">
        <x:v>0</x:v>
      </x:c>
      <x:c r="F17" s="24" t="str">
        <x:v>Hybrid</x:v>
      </x:c>
      <x:c r="G17" s="24"/>
      <x:c r="H17" s="24"/>
      <x:c r="I17" s="24"/>
      <x:c r="J17" s="24"/>
      <x:c r="K17" s="24"/>
      <x:c r="L17" s="24"/>
      <x:c r="M17" s="24"/>
      <x:c r="N17" s="24"/>
    </x:row>
    <x:row r="18">
      <x:c r="A18" s="24"/>
      <x:c r="B18" s="24"/>
      <x:c r="C18" s="24"/>
      <x:c r="D18" s="24"/>
      <x:c r="E18" s="30" t="n">
        <x:v>0</x:v>
      </x:c>
      <x:c r="F18" s="24" t="str">
        <x:v>Hybrid</x:v>
      </x:c>
      <x:c r="G18" s="24"/>
      <x:c r="H18" s="24"/>
      <x:c r="I18" s="24"/>
      <x:c r="J18" s="24"/>
      <x:c r="K18" s="24"/>
      <x:c r="L18" s="24"/>
      <x:c r="M18" s="24"/>
      <x:c r="N18" s="24"/>
    </x:row>
    <x:row r="19">
      <x:c r="A19" s="24"/>
      <x:c r="B19" s="24"/>
      <x:c r="C19" s="24"/>
      <x:c r="D19" s="24"/>
      <x:c r="E19" s="30" t="n">
        <x:v>0</x:v>
      </x:c>
      <x:c r="F19" s="24" t="str">
        <x:v>Hybrid</x:v>
      </x:c>
      <x:c r="G19" s="24"/>
      <x:c r="H19" s="24"/>
      <x:c r="I19" s="24"/>
      <x:c r="J19" s="24"/>
      <x:c r="K19" s="24"/>
      <x:c r="L19" s="24"/>
      <x:c r="M19" s="24"/>
      <x:c r="N19" s="24"/>
    </x:row>
    <x:row r="20">
      <x:c r="A20" s="24"/>
      <x:c r="B20" s="24"/>
      <x:c r="C20" s="24"/>
      <x:c r="D20" s="24"/>
      <x:c r="E20" s="30" t="n">
        <x:v>0</x:v>
      </x:c>
      <x:c r="F20" s="24" t="str">
        <x:v>Hybrid</x:v>
      </x:c>
      <x:c r="G20" s="24"/>
      <x:c r="H20" s="24"/>
      <x:c r="I20" s="24"/>
      <x:c r="J20" s="24"/>
      <x:c r="K20" s="24"/>
      <x:c r="L20" s="24"/>
      <x:c r="M20" s="24"/>
      <x:c r="N20" s="24"/>
    </x:row>
    <x:row r="21">
      <x:c r="A21" s="24"/>
      <x:c r="B21" s="24"/>
      <x:c r="C21" s="24"/>
      <x:c r="D21" s="24"/>
      <x:c r="E21" s="30" t="n">
        <x:v>0</x:v>
      </x:c>
      <x:c r="F21" s="24" t="str">
        <x:v>Hybrid</x:v>
      </x:c>
      <x:c r="G21" s="24"/>
      <x:c r="H21" s="24"/>
      <x:c r="I21" s="24"/>
      <x:c r="J21" s="24"/>
      <x:c r="K21" s="24"/>
      <x:c r="L21" s="24"/>
      <x:c r="M21" s="24"/>
      <x:c r="N21" s="24"/>
    </x:row>
    <x:row r="22">
      <x:c r="A22" s="24"/>
      <x:c r="B22" s="24"/>
      <x:c r="C22" s="24"/>
      <x:c r="D22" s="24"/>
      <x:c r="E22" s="30" t="n">
        <x:v>0</x:v>
      </x:c>
      <x:c r="F22" s="24" t="str">
        <x:v>Hybrid</x:v>
      </x:c>
      <x:c r="G22" s="24"/>
      <x:c r="H22" s="24"/>
      <x:c r="I22" s="24"/>
      <x:c r="J22" s="24"/>
      <x:c r="K22" s="24"/>
      <x:c r="L22" s="24"/>
      <x:c r="M22" s="24"/>
      <x:c r="N22" s="24"/>
    </x:row>
    <x:row r="23">
      <x:c r="A23" s="24"/>
      <x:c r="B23" s="24"/>
      <x:c r="C23" s="24"/>
      <x:c r="D23" s="24"/>
      <x:c r="E23" s="30" t="n">
        <x:v>0</x:v>
      </x:c>
      <x:c r="F23" s="24" t="str">
        <x:v>Hybrid</x:v>
      </x:c>
      <x:c r="G23" s="24"/>
      <x:c r="H23" s="24"/>
      <x:c r="I23" s="24"/>
      <x:c r="J23" s="24"/>
      <x:c r="K23" s="24"/>
      <x:c r="L23" s="24"/>
      <x:c r="M23" s="24"/>
      <x:c r="N23" s="24"/>
    </x:row>
    <x:row r="24">
      <x:c r="A24" s="24"/>
      <x:c r="B24" s="24"/>
      <x:c r="C24" s="24"/>
      <x:c r="D24" s="24"/>
      <x:c r="E24" s="30" t="n">
        <x:v>0</x:v>
      </x:c>
      <x:c r="F24" s="24" t="str">
        <x:v>Hybrid</x:v>
      </x:c>
      <x:c r="G24" s="24"/>
      <x:c r="H24" s="24"/>
      <x:c r="I24" s="24"/>
      <x:c r="J24" s="24"/>
      <x:c r="K24" s="24"/>
      <x:c r="L24" s="24"/>
      <x:c r="M24" s="24"/>
      <x:c r="N24" s="24"/>
    </x:row>
    <x:row r="25">
      <x:c r="A25" s="24"/>
      <x:c r="B25" s="24"/>
      <x:c r="C25" s="24"/>
      <x:c r="D25" s="24"/>
      <x:c r="E25" s="30" t="n">
        <x:v>0</x:v>
      </x:c>
      <x:c r="F25" s="24" t="str">
        <x:v>Hybrid</x:v>
      </x:c>
      <x:c r="G25" s="24"/>
      <x:c r="H25" s="24"/>
      <x:c r="I25" s="24"/>
      <x:c r="J25" s="24"/>
      <x:c r="K25" s="24"/>
      <x:c r="L25" s="24"/>
      <x:c r="M25" s="24"/>
      <x:c r="N25" s="24"/>
    </x:row>
    <x:row r="26">
      <x:c r="A26" s="24"/>
      <x:c r="B26" s="24"/>
      <x:c r="C26" s="24"/>
      <x:c r="D26" s="24"/>
      <x:c r="E26" s="30" t="n">
        <x:v>0</x:v>
      </x:c>
      <x:c r="F26" s="24" t="str">
        <x:v>Hybrid</x:v>
      </x:c>
      <x:c r="G26" s="24"/>
      <x:c r="H26" s="24"/>
      <x:c r="I26" s="24"/>
      <x:c r="J26" s="24"/>
      <x:c r="K26" s="24"/>
      <x:c r="L26" s="24"/>
      <x:c r="M26" s="24"/>
      <x:c r="N26" s="24"/>
    </x:row>
    <x:row r="27">
      <x:c r="A27" s="24"/>
      <x:c r="B27" s="24"/>
      <x:c r="C27" s="24"/>
      <x:c r="D27" s="24"/>
      <x:c r="E27" s="30" t="n">
        <x:v>0</x:v>
      </x:c>
      <x:c r="F27" s="24" t="str">
        <x:v>Hybrid</x:v>
      </x:c>
      <x:c r="G27" s="24"/>
      <x:c r="H27" s="24"/>
      <x:c r="I27" s="24"/>
      <x:c r="J27" s="24"/>
      <x:c r="K27" s="24"/>
      <x:c r="L27" s="24"/>
      <x:c r="M27" s="24"/>
      <x:c r="N27" s="24"/>
    </x:row>
    <x:row r="28">
      <x:c r="A28" s="24"/>
      <x:c r="B28" s="24"/>
      <x:c r="C28" s="24"/>
      <x:c r="D28" s="24"/>
      <x:c r="E28" s="30" t="n">
        <x:v>0</x:v>
      </x:c>
      <x:c r="F28" s="24" t="str">
        <x:v>Hybrid</x:v>
      </x:c>
      <x:c r="G28" s="24"/>
      <x:c r="H28" s="24"/>
      <x:c r="I28" s="24"/>
      <x:c r="J28" s="24"/>
      <x:c r="K28" s="24"/>
      <x:c r="L28" s="24"/>
      <x:c r="M28" s="24"/>
      <x:c r="N28" s="24"/>
    </x:row>
    <x:row r="29">
      <x:c r="A29" s="24"/>
      <x:c r="B29" s="24"/>
      <x:c r="C29" s="24"/>
      <x:c r="D29" s="24"/>
      <x:c r="E29" s="30" t="n">
        <x:v>0</x:v>
      </x:c>
      <x:c r="F29" s="24" t="str">
        <x:v>Hybrid</x:v>
      </x:c>
      <x:c r="G29" s="24"/>
      <x:c r="H29" s="24"/>
      <x:c r="I29" s="24"/>
      <x:c r="J29" s="24"/>
      <x:c r="K29" s="24"/>
      <x:c r="L29" s="24"/>
      <x:c r="M29" s="24"/>
      <x:c r="N29" s="24"/>
    </x:row>
    <x:row r="30">
      <x:c r="A30" s="24"/>
      <x:c r="B30" s="24"/>
      <x:c r="C30" s="24"/>
      <x:c r="D30" s="24"/>
      <x:c r="E30" s="30" t="n">
        <x:v>0</x:v>
      </x:c>
      <x:c r="F30" s="24" t="str">
        <x:v>Hybrid</x:v>
      </x:c>
      <x:c r="G30" s="24"/>
      <x:c r="H30" s="24"/>
      <x:c r="I30" s="24"/>
      <x:c r="J30" s="24"/>
      <x:c r="K30" s="24"/>
      <x:c r="L30" s="24"/>
      <x:c r="M30" s="24"/>
      <x:c r="N30" s="24"/>
    </x:row>
    <x:row r="31">
      <x:c r="A31" s="24"/>
      <x:c r="B31" s="24"/>
      <x:c r="C31" s="24"/>
      <x:c r="D31" s="24"/>
      <x:c r="E31" s="30" t="n">
        <x:v>0</x:v>
      </x:c>
      <x:c r="F31" s="24" t="str">
        <x:v>Hybrid</x:v>
      </x:c>
      <x:c r="G31" s="24"/>
      <x:c r="H31" s="24"/>
      <x:c r="I31" s="24"/>
      <x:c r="J31" s="24"/>
      <x:c r="K31" s="24"/>
      <x:c r="L31" s="24"/>
      <x:c r="M31" s="24"/>
      <x:c r="N31" s="24"/>
    </x:row>
    <x:row r="32">
      <x:c r="A32" s="24"/>
      <x:c r="B32" s="24"/>
      <x:c r="C32" s="24"/>
      <x:c r="D32" s="24"/>
      <x:c r="E32" s="30" t="n">
        <x:v>0</x:v>
      </x:c>
      <x:c r="F32" s="24" t="str">
        <x:v>Hybrid</x:v>
      </x:c>
      <x:c r="G32" s="24"/>
      <x:c r="H32" s="24"/>
      <x:c r="I32" s="24"/>
      <x:c r="J32" s="24"/>
      <x:c r="K32" s="24"/>
      <x:c r="L32" s="24"/>
      <x:c r="M32" s="24"/>
      <x:c r="N32" s="24"/>
    </x:row>
    <x:row r="33">
      <x:c r="A33" s="24"/>
      <x:c r="B33" s="24"/>
      <x:c r="C33" s="24"/>
      <x:c r="D33" s="24"/>
      <x:c r="E33" s="30" t="n">
        <x:v>0</x:v>
      </x:c>
      <x:c r="F33" s="24" t="str">
        <x:v>Hybrid</x:v>
      </x:c>
      <x:c r="G33" s="24"/>
      <x:c r="H33" s="24"/>
      <x:c r="I33" s="24"/>
      <x:c r="J33" s="24"/>
      <x:c r="K33" s="24"/>
      <x:c r="L33" s="24"/>
      <x:c r="M33" s="24"/>
      <x:c r="N33" s="24"/>
    </x:row>
    <x:row r="34">
      <x:c r="A34" s="24"/>
      <x:c r="B34" s="24"/>
      <x:c r="C34" s="24"/>
      <x:c r="D34" s="24"/>
      <x:c r="E34" s="30" t="n">
        <x:v>0</x:v>
      </x:c>
      <x:c r="F34" s="24" t="str">
        <x:v>Hybrid</x:v>
      </x:c>
      <x:c r="G34" s="24"/>
      <x:c r="H34" s="24"/>
      <x:c r="I34" s="24"/>
      <x:c r="J34" s="24"/>
      <x:c r="K34" s="24"/>
      <x:c r="L34" s="24"/>
      <x:c r="M34" s="24"/>
      <x:c r="N34" s="24"/>
    </x:row>
    <x:row r="35">
      <x:c r="A35" s="24"/>
      <x:c r="B35" s="24"/>
      <x:c r="C35" s="24"/>
      <x:c r="D35" s="24"/>
      <x:c r="E35" s="30" t="n">
        <x:v>0</x:v>
      </x:c>
      <x:c r="F35" s="24" t="str">
        <x:v>Hybrid</x:v>
      </x:c>
      <x:c r="G35" s="24"/>
      <x:c r="H35" s="24"/>
      <x:c r="I35" s="24"/>
      <x:c r="J35" s="24"/>
      <x:c r="K35" s="24"/>
      <x:c r="L35" s="24"/>
      <x:c r="M35" s="24"/>
      <x:c r="N35" s="24"/>
    </x:row>
    <x:row r="36">
      <x:c r="A36" s="24"/>
      <x:c r="B36" s="24"/>
      <x:c r="C36" s="24"/>
      <x:c r="D36" s="24"/>
      <x:c r="E36" s="30" t="n">
        <x:v>0</x:v>
      </x:c>
      <x:c r="F36" s="24" t="str">
        <x:v>Hybrid</x:v>
      </x:c>
      <x:c r="G36" s="24"/>
      <x:c r="H36" s="24"/>
      <x:c r="I36" s="24"/>
      <x:c r="J36" s="24"/>
      <x:c r="K36" s="24"/>
      <x:c r="L36" s="24"/>
      <x:c r="M36" s="24"/>
      <x:c r="N36" s="24"/>
    </x:row>
    <x:row r="37">
      <x:c r="A37" s="24"/>
      <x:c r="B37" s="24"/>
      <x:c r="C37" s="24"/>
      <x:c r="D37" s="24"/>
      <x:c r="E37" s="30" t="n">
        <x:v>0</x:v>
      </x:c>
      <x:c r="F37" s="24" t="str">
        <x:v>Hybrid</x:v>
      </x:c>
      <x:c r="G37" s="24"/>
      <x:c r="H37" s="24"/>
      <x:c r="I37" s="24"/>
      <x:c r="J37" s="24"/>
      <x:c r="K37" s="24"/>
      <x:c r="L37" s="24"/>
      <x:c r="M37" s="24"/>
      <x:c r="N37" s="24"/>
    </x:row>
    <x:row r="38">
      <x:c r="A38" s="24"/>
      <x:c r="B38" s="24"/>
      <x:c r="C38" s="24"/>
      <x:c r="D38" s="24"/>
      <x:c r="E38" s="30" t="n">
        <x:v>0</x:v>
      </x:c>
      <x:c r="F38" s="24" t="str">
        <x:v>Hybrid</x:v>
      </x:c>
      <x:c r="G38" s="24"/>
      <x:c r="H38" s="24"/>
      <x:c r="I38" s="24"/>
      <x:c r="J38" s="24"/>
      <x:c r="K38" s="24"/>
      <x:c r="L38" s="24"/>
      <x:c r="M38" s="24"/>
      <x:c r="N38" s="24"/>
    </x:row>
    <x:row r="39">
      <x:c r="A39" s="24"/>
      <x:c r="B39" s="24"/>
      <x:c r="C39" s="24"/>
      <x:c r="D39" s="24"/>
      <x:c r="E39" s="30" t="n">
        <x:v>0</x:v>
      </x:c>
      <x:c r="F39" s="24" t="str">
        <x:v>Hybrid</x:v>
      </x:c>
      <x:c r="G39" s="24"/>
      <x:c r="H39" s="24"/>
      <x:c r="I39" s="24"/>
      <x:c r="J39" s="24"/>
      <x:c r="K39" s="24"/>
      <x:c r="L39" s="24"/>
      <x:c r="M39" s="24"/>
      <x:c r="N39" s="24"/>
    </x:row>
    <x:row r="40">
      <x:c r="A40" s="24"/>
      <x:c r="B40" s="24"/>
      <x:c r="C40" s="24"/>
      <x:c r="D40" s="24"/>
      <x:c r="E40" s="30" t="n">
        <x:v>0</x:v>
      </x:c>
      <x:c r="F40" s="24" t="str">
        <x:v>Hybrid</x:v>
      </x:c>
      <x:c r="G40" s="24"/>
      <x:c r="H40" s="24"/>
      <x:c r="I40" s="24"/>
      <x:c r="J40" s="24"/>
      <x:c r="K40" s="24"/>
      <x:c r="L40" s="24"/>
      <x:c r="M40" s="24"/>
      <x:c r="N40" s="24"/>
    </x:row>
    <x:row r="41">
      <x:c r="A41" s="24"/>
      <x:c r="B41" s="24"/>
      <x:c r="C41" s="24"/>
      <x:c r="D41" s="24"/>
      <x:c r="E41" s="30" t="n">
        <x:v>0</x:v>
      </x:c>
      <x:c r="F41" s="24" t="str">
        <x:v>Hybrid</x:v>
      </x:c>
      <x:c r="G41" s="24"/>
      <x:c r="H41" s="24"/>
      <x:c r="I41" s="24"/>
      <x:c r="J41" s="24"/>
      <x:c r="K41" s="24"/>
      <x:c r="L41" s="24"/>
      <x:c r="M41" s="24"/>
      <x:c r="N41" s="24"/>
    </x:row>
    <x:row r="42">
      <x:c r="A42" s="24"/>
      <x:c r="B42" s="24"/>
      <x:c r="C42" s="24"/>
      <x:c r="D42" s="24"/>
      <x:c r="E42" s="30" t="n">
        <x:v>0</x:v>
      </x:c>
      <x:c r="F42" s="24" t="str">
        <x:v>Hybrid</x:v>
      </x:c>
      <x:c r="G42" s="24"/>
      <x:c r="H42" s="24"/>
      <x:c r="I42" s="24"/>
      <x:c r="J42" s="24"/>
      <x:c r="K42" s="24"/>
      <x:c r="L42" s="24"/>
      <x:c r="M42" s="24"/>
      <x:c r="N42" s="24"/>
    </x:row>
    <x:row r="43">
      <x:c r="A43" s="24"/>
      <x:c r="B43" s="24"/>
      <x:c r="C43" s="24"/>
      <x:c r="D43" s="24"/>
      <x:c r="E43" s="30" t="n">
        <x:v>0</x:v>
      </x:c>
      <x:c r="F43" s="24" t="str">
        <x:v>Hybrid</x:v>
      </x:c>
      <x:c r="G43" s="24"/>
      <x:c r="H43" s="24"/>
      <x:c r="I43" s="24"/>
      <x:c r="J43" s="24"/>
      <x:c r="K43" s="24"/>
      <x:c r="L43" s="24"/>
      <x:c r="M43" s="24"/>
      <x:c r="N43" s="24"/>
    </x:row>
    <x:row r="44">
      <x:c r="A44" s="24"/>
      <x:c r="B44" s="24"/>
      <x:c r="C44" s="24"/>
      <x:c r="D44" s="24"/>
      <x:c r="E44" s="30" t="n">
        <x:v>0</x:v>
      </x:c>
      <x:c r="F44" s="24" t="str">
        <x:v>Hybrid</x:v>
      </x:c>
      <x:c r="G44" s="24"/>
      <x:c r="H44" s="24"/>
      <x:c r="I44" s="24"/>
      <x:c r="J44" s="24"/>
      <x:c r="K44" s="24"/>
      <x:c r="L44" s="24"/>
      <x:c r="M44" s="24"/>
      <x:c r="N44" s="24"/>
    </x:row>
    <x:row r="45">
      <x:c r="A45" s="24"/>
      <x:c r="B45" s="24"/>
      <x:c r="C45" s="24"/>
      <x:c r="D45" s="24"/>
      <x:c r="E45" s="30" t="n">
        <x:v>0</x:v>
      </x:c>
      <x:c r="F45" s="24" t="str">
        <x:v>Hybrid</x:v>
      </x:c>
      <x:c r="G45" s="24"/>
      <x:c r="H45" s="24"/>
      <x:c r="I45" s="24"/>
      <x:c r="J45" s="24"/>
      <x:c r="K45" s="24"/>
      <x:c r="L45" s="24"/>
      <x:c r="M45" s="24"/>
      <x:c r="N45" s="24"/>
    </x:row>
    <x:row r="46">
      <x:c r="A46" s="24"/>
      <x:c r="B46" s="24"/>
      <x:c r="C46" s="24"/>
      <x:c r="D46" s="24"/>
      <x:c r="E46" s="30" t="n">
        <x:v>0</x:v>
      </x:c>
      <x:c r="F46" s="24" t="str">
        <x:v>Hybrid</x:v>
      </x:c>
      <x:c r="G46" s="24"/>
      <x:c r="H46" s="24"/>
      <x:c r="I46" s="24"/>
      <x:c r="J46" s="24"/>
      <x:c r="K46" s="24"/>
      <x:c r="L46" s="24"/>
      <x:c r="M46" s="24"/>
      <x:c r="N46" s="24"/>
    </x:row>
    <x:row r="47">
      <x:c r="A47" s="24"/>
      <x:c r="B47" s="24"/>
      <x:c r="C47" s="24"/>
      <x:c r="D47" s="24"/>
      <x:c r="E47" s="30" t="n">
        <x:v>0</x:v>
      </x:c>
      <x:c r="F47" s="24" t="str">
        <x:v>Hybrid</x:v>
      </x:c>
      <x:c r="G47" s="24"/>
      <x:c r="H47" s="24"/>
      <x:c r="I47" s="24"/>
      <x:c r="J47" s="24"/>
      <x:c r="K47" s="24"/>
      <x:c r="L47" s="24"/>
      <x:c r="M47" s="24"/>
      <x:c r="N47" s="24"/>
    </x:row>
    <x:row r="48">
      <x:c r="A48" s="24"/>
      <x:c r="B48" s="24"/>
      <x:c r="C48" s="24"/>
      <x:c r="D48" s="24"/>
      <x:c r="E48" s="30" t="n">
        <x:v>0</x:v>
      </x:c>
      <x:c r="F48" s="24" t="str">
        <x:v>Hybrid</x:v>
      </x:c>
      <x:c r="G48" s="24"/>
      <x:c r="H48" s="24"/>
      <x:c r="I48" s="24"/>
      <x:c r="J48" s="24"/>
      <x:c r="K48" s="24"/>
      <x:c r="L48" s="24"/>
      <x:c r="M48" s="24"/>
      <x:c r="N48" s="24"/>
    </x:row>
    <x:row r="49">
      <x:c r="A49" s="24"/>
      <x:c r="B49" s="24"/>
      <x:c r="C49" s="24"/>
      <x:c r="D49" s="24"/>
      <x:c r="E49" s="30" t="n">
        <x:v>0</x:v>
      </x:c>
      <x:c r="F49" s="24" t="str">
        <x:v>Hybrid</x:v>
      </x:c>
      <x:c r="G49" s="24"/>
      <x:c r="H49" s="24"/>
      <x:c r="I49" s="24"/>
      <x:c r="J49" s="24"/>
      <x:c r="K49" s="24"/>
      <x:c r="L49" s="24"/>
      <x:c r="M49" s="24"/>
      <x:c r="N49" s="24"/>
    </x:row>
    <x:row r="50">
      <x:c r="A50" s="24"/>
      <x:c r="B50" s="24"/>
      <x:c r="C50" s="24"/>
      <x:c r="D50" s="24"/>
      <x:c r="E50" s="30" t="n">
        <x:v>0</x:v>
      </x:c>
      <x:c r="F50" s="24" t="str">
        <x:v>Hybrid</x:v>
      </x:c>
      <x:c r="G50" s="24"/>
      <x:c r="H50" s="24"/>
      <x:c r="I50" s="24"/>
      <x:c r="J50" s="24"/>
      <x:c r="K50" s="24"/>
      <x:c r="L50" s="24"/>
      <x:c r="M50" s="24"/>
      <x:c r="N50" s="24"/>
    </x:row>
  </x:sheetData>
  <x:mergeCells>
    <x:mergeCell ref="A1:N1"/>
    <x:mergeCell ref="A2:N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5" hidden="0" customWidth="1"/>
    <x:col min="4" max="4" width="24" hidden="0" customWidth="1"/>
    <x:col min="5" max="5" width="30" hidden="0" customWidth="1"/>
    <x:col min="6" max="6" width="45" hidden="0" customWidth="1"/>
    <x:col min="7" max="7" width="30" hidden="0" customWidth="1"/>
    <x:col min="8" max="8" width="33" hidden="0" customWidth="1"/>
    <x:col min="9" max="9" width="43" hidden="0" customWidth="1"/>
    <x:col min="10" max="10" width="28" hidden="0" customWidth="1"/>
  </x:cols>
  <x:sheetData>
    <x:row r="1">
      <x:c r="A1" s="28" t="str">
        <x:v>Ailment Arsenal, Orb Focuses &amp; Weapon Access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>
      <x:c r="A2" s="10" t="str">
        <x:v>Confirmed v0.6 family rules for Magic ailment builds, Rogue-exclusive weapons, ranged class access, high-tier ailment weapons and armour protection. Item-specific coefficients and future Bow/Hand Crossbow catalogue lines remain Working Draft content.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16" t="str">
        <x:v>Orb Focus Registry</x:v>
      </x:c>
      <x:c r="B4" s="16"/>
      <x:c r="C4" s="16"/>
      <x:c r="D4" s="16"/>
      <x:c r="E4" s="16"/>
      <x:c r="F4" s="16"/>
      <x:c r="G4" s="16"/>
      <x:c r="H4" s="16"/>
      <x:c r="I4" s="16"/>
      <x:c r="J4" s="16"/>
    </x:row>
    <x:row r="5">
      <x:c r="A5" t="str">
        <x:v>Orb Focus</x:v>
      </x:c>
      <x:c r="B5" t="str">
        <x:v>Parent Family</x:v>
      </x:c>
      <x:c r="C5" t="str">
        <x:v>Affinity</x:v>
      </x:c>
      <x:c r="D5" t="str">
        <x:v>2 EN Technique</x:v>
      </x:c>
      <x:c r="E5" t="str">
        <x:v>Direct Damage Role</x:v>
      </x:c>
      <x:c r="F5" t="str">
        <x:v>Guaranteed Focus Effect</x:v>
      </x:c>
      <x:c r="G5" t="str">
        <x:v>Resolved State</x:v>
      </x:c>
      <x:c r="H5" t="str">
        <x:v>Class Access</x:v>
      </x:c>
      <x:c r="I5" t="str">
        <x:v>Current Exemplar</x:v>
      </x:c>
      <x:c r="J5" t="str">
        <x:v>Status</x:v>
      </x:c>
    </x:row>
    <x:row r="6">
      <x:c r="A6" t="str">
        <x:v>Poison Orb</x:v>
      </x:c>
      <x:c r="B6" t="str">
        <x:v>Focus Orb</x:v>
      </x:c>
      <x:c r="C6" t="str">
        <x:v>Earth</x:v>
      </x:c>
      <x:c r="D6" t="str">
        <x:v>Venom Pulse</x:v>
      </x:c>
      <x:c r="E6" t="str">
        <x:v>Reduced Magic damage; focus effect consumes part of the action budget.</x:v>
      </x:c>
      <x:c r="F6" t="str">
        <x:v>On hit, apply 2 Poison stacks.</x:v>
      </x:c>
      <x:c r="G6" t="str">
        <x:v>Toxic</x:v>
      </x:c>
      <x:c r="H6" t="str">
        <x:v>Mage / Siren / Inquisitor / Bard</x:v>
      </x:c>
      <x:c r="I6" t="str">
        <x:v>EQ-FO-GRN — Mossagate Poison Orb</x:v>
      </x:c>
      <x:c r="J6" t="str">
        <x:v>Confirmed structure / Working Draft values</x:v>
      </x:c>
    </x:row>
    <x:row r="7">
      <x:c r="A7" t="str">
        <x:v>Burn Orb</x:v>
      </x:c>
      <x:c r="B7" t="str">
        <x:v>Focus Orb</x:v>
      </x:c>
      <x:c r="C7" t="str">
        <x:v>Day</x:v>
      </x:c>
      <x:c r="D7" t="str">
        <x:v>Cinder Pulse</x:v>
      </x:c>
      <x:c r="E7" t="str">
        <x:v>Reduced Magic damage; focus effect consumes part of the action budget.</x:v>
      </x:c>
      <x:c r="F7" t="str">
        <x:v>On hit, apply 2 Burn stacks.</x:v>
      </x:c>
      <x:c r="G7" t="str">
        <x:v>Incinerating → Scorched</x:v>
      </x:c>
      <x:c r="H7" t="str">
        <x:v>Mage / Siren / Inquisitor / Bard</x:v>
      </x:c>
      <x:c r="I7" t="str">
        <x:v>EQ-FO-GLD — Solar Burn Orb</x:v>
      </x:c>
      <x:c r="J7" t="str">
        <x:v>Confirmed structure / Working Draft values</x:v>
      </x:c>
    </x:row>
    <x:row r="8">
      <x:c r="A8" t="str">
        <x:v>Chill Orb</x:v>
      </x:c>
      <x:c r="B8" t="str">
        <x:v>Focus Orb</x:v>
      </x:c>
      <x:c r="C8" t="str">
        <x:v>Water</x:v>
      </x:c>
      <x:c r="D8" t="str">
        <x:v>Frost Pulse</x:v>
      </x:c>
      <x:c r="E8" t="str">
        <x:v>Reduced Magic damage; focus effect consumes part of the action budget.</x:v>
      </x:c>
      <x:c r="F8" t="str">
        <x:v>On hit, apply 2 Chilled stacks.</x:v>
      </x:c>
      <x:c r="G8" t="str">
        <x:v>Frozen</x:v>
      </x:c>
      <x:c r="H8" t="str">
        <x:v>Mage / Siren / Inquisitor / Bard</x:v>
      </x:c>
      <x:c r="I8" t="str">
        <x:v>EQ-FO-ORG — Orrery of Frozen Tides</x:v>
      </x:c>
      <x:c r="J8" t="str">
        <x:v>Confirmed structure / Working Draft values</x:v>
      </x:c>
    </x:row>
    <x:row r="9">
      <x:c r="A9" t="str">
        <x:v>Shock Orb</x:v>
      </x:c>
      <x:c r="B9" t="str">
        <x:v>Focus Orb</x:v>
      </x:c>
      <x:c r="C9" t="str">
        <x:v>Storm</x:v>
      </x:c>
      <x:c r="D9" t="str">
        <x:v>Storm Pulse</x:v>
      </x:c>
      <x:c r="E9" t="str">
        <x:v>Reduced Magic damage; focus effect consumes part of the action budget.</x:v>
      </x:c>
      <x:c r="F9" t="str">
        <x:v>On hit, apply 2 Shock stacks.</x:v>
      </x:c>
      <x:c r="G9" t="str">
        <x:v>Paralysed</x:v>
      </x:c>
      <x:c r="H9" t="str">
        <x:v>Mage / Siren / Inquisitor / Bard</x:v>
      </x:c>
      <x:c r="I9" t="str">
        <x:v>EQ-FO-BLU — Stormglass Shock Orb</x:v>
      </x:c>
      <x:c r="J9" t="str">
        <x:v>Confirmed structure / Working Draft values</x:v>
      </x:c>
    </x:row>
    <x:row r="10">
      <x:c r="A10" t="str">
        <x:v>Bleed Orb</x:v>
      </x:c>
      <x:c r="B10" t="str">
        <x:v>Focus Orb</x:v>
      </x:c>
      <x:c r="C10" t="str">
        <x:v>Night</x:v>
      </x:c>
      <x:c r="D10" t="str">
        <x:v>Sanguine Pulse</x:v>
      </x:c>
      <x:c r="E10" t="str">
        <x:v>Reduced Magic damage; focus effect consumes part of the action budget.</x:v>
      </x:c>
      <x:c r="F10" t="str">
        <x:v>On hit, apply 1 Bleed stack.</x:v>
      </x:c>
      <x:c r="G10" t="str">
        <x:v>3-stack Bleed cap</x:v>
      </x:c>
      <x:c r="H10" t="str">
        <x:v>Mage / Siren / Inquisitor / Bard</x:v>
      </x:c>
      <x:c r="I10" t="str">
        <x:v>EQ-FO-PUR — Moonwell Bleed Orb</x:v>
      </x:c>
      <x:c r="J10" t="str">
        <x:v>Confirmed structure / Working Draft values</x:v>
      </x:c>
    </x:row>
    <x:row r="11">
      <x:c r="A11" t="str">
        <x:v>Echo Orb</x:v>
      </x:c>
      <x:c r="B11" t="str">
        <x:v>Focus Orb</x:v>
      </x:c>
      <x:c r="C11" t="str">
        <x:v>Sky</x:v>
      </x:c>
      <x:c r="D11" t="str">
        <x:v>Echo Pulse</x:v>
      </x:c>
      <x:c r="E11" t="str">
        <x:v>Reduced Magic damage; focus effect consumes part of the action budget.</x:v>
      </x:c>
      <x:c r="F11" t="str">
        <x:v>Deal 75% immediately and store 25% as Delayed damage.</x:v>
      </x:c>
      <x:c r="G11" t="str">
        <x:v>Delayed</x:v>
      </x:c>
      <x:c r="H11" t="str">
        <x:v>Mage / Siren / Inquisitor / Bard</x:v>
      </x:c>
      <x:c r="I11" t="str">
        <x:v>EQ-FO-GRY — Clouded Echo Orb</x:v>
      </x:c>
      <x:c r="J11" t="str">
        <x:v>Confirmed structure / Working Draft values</x:v>
      </x:c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 t="str">
        <x:v>Ranged and Specialist Weapon Access</x:v>
      </x:c>
      <x:c r="B13"/>
      <x:c r="C13"/>
      <x:c r="D13"/>
      <x:c r="E13"/>
      <x:c r="F13"/>
      <x:c r="G13"/>
      <x:c r="H13"/>
      <x:c r="I13"/>
      <x:c r="J13"/>
    </x:row>
    <x:row r="14">
      <x:c r="A14" t="str">
        <x:v>Weapon Family</x:v>
      </x:c>
      <x:c r="B14" t="str">
        <x:v>Hands</x:v>
      </x:c>
      <x:c r="C14" t="str">
        <x:v>Class Access</x:v>
      </x:c>
      <x:c r="D14" t="str">
        <x:v>Techniques</x:v>
      </x:c>
      <x:c r="E14" t="str">
        <x:v>Technique A</x:v>
      </x:c>
      <x:c r="F14" t="str">
        <x:v>Technique B / Paired</x:v>
      </x:c>
      <x:c r="G14" t="str">
        <x:v>Orb Combination</x:v>
      </x:c>
      <x:c r="H14" t="str">
        <x:v>Scaling Identity</x:v>
      </x:c>
      <x:c r="I14" t="str">
        <x:v>Catalogue State</x:v>
      </x:c>
      <x:c r="J14" t="str">
        <x:v>Status</x:v>
      </x:c>
    </x:row>
    <x:row r="15">
      <x:c r="A15" t="str">
        <x:v>Dagger Pinion</x:v>
      </x:c>
      <x:c r="B15" t="n">
        <x:v>1</x:v>
      </x:c>
      <x:c r="C15" t="str">
        <x:v>Rogue only</x:v>
      </x:c>
      <x:c r="D15" t="n">
        <x:v>1</x:v>
      </x:c>
      <x:c r="E15" t="str">
        <x:v>Throwing Pinion</x:v>
      </x:c>
      <x:c r="F15" t="str">
        <x:v>Two matching weapons unlock Pinion Barrage.</x:v>
      </x:c>
      <x:c r="G15" t="str">
        <x:v>Yes — Venom/Ember/Frost/Storm/Blood/Echo Pinion.</x:v>
      </x:c>
      <x:c r="H15" t="str">
        <x:v>Agility + smaller Might contribution; hybrid combinations use Agility + Focus.</x:v>
      </x:c>
      <x:c r="I15" t="str">
        <x:v>Repurposes the six existing Talon Dagger item rows; stable IDs retained.</x:v>
      </x:c>
      <x:c r="J15" t="str">
        <x:v>Confirmed</x:v>
      </x:c>
    </x:row>
    <x:row r="16">
      <x:c r="A16" t="str">
        <x:v>Bow</x:v>
      </x:c>
      <x:c r="B16" t="n">
        <x:v>2</x:v>
      </x:c>
      <x:c r="C16" t="str">
        <x:v>Rogue / Bard only</x:v>
      </x:c>
      <x:c r="D16" t="n">
        <x:v>2</x:v>
      </x:c>
      <x:c r="E16" t="str">
        <x:v>Quickshot</x:v>
      </x:c>
      <x:c r="F16" t="str">
        <x:v>Crescent Volley</x:v>
      </x:c>
      <x:c r="G16" t="str">
        <x:v>No off-hand Orb; the weapon occupies both hands.</x:v>
      </x:c>
      <x:c r="H16" t="str">
        <x:v>Agility/Might ranged tempo.</x:v>
      </x:c>
      <x:c r="I16" t="str">
        <x:v>Family confirmed; six rarity item rows require a separate content-budget pass.</x:v>
      </x:c>
      <x:c r="J16" t="str">
        <x:v>Confirmed family / Content Pending</x:v>
      </x:c>
    </x:row>
    <x:row r="17">
      <x:c r="A17" t="str">
        <x:v>Hand Crossbow</x:v>
      </x:c>
      <x:c r="B17" t="n">
        <x:v>1</x:v>
      </x:c>
      <x:c r="C17" t="str">
        <x:v>Rogue / Bard only</x:v>
      </x:c>
      <x:c r="D17" t="n">
        <x:v>1</x:v>
      </x:c>
      <x:c r="E17" t="str">
        <x:v>Pinion Bolt</x:v>
      </x:c>
      <x:c r="F17" t="str">
        <x:v>Two matching weapons unlock Twin Bolts.</x:v>
      </x:c>
      <x:c r="G17" t="str">
        <x:v>Yes — Venom/Ember/Frost/Storm/Blood/Echo Bolt.</x:v>
      </x:c>
      <x:c r="H17" t="str">
        <x:v>High Precision; Agility + Focus in Orb combinations.</x:v>
      </x:c>
      <x:c r="I17" t="str">
        <x:v>Family confirmed; six rarity item rows require a separate content-budget pass.</x:v>
      </x:c>
      <x:c r="J17" t="str">
        <x:v>Confirmed family / Content Pending</x:v>
      </x:c>
    </x:row>
    <x:row r="18">
      <x:c r="A18" t="str">
        <x:v>Greatbow</x:v>
      </x:c>
      <x:c r="B18" t="n">
        <x:v>2</x:v>
      </x:c>
      <x:c r="C18" t="str">
        <x:v>Knight / Brute only</x:v>
      </x:c>
      <x:c r="D18" t="n">
        <x:v>2</x:v>
      </x:c>
      <x:c r="E18" t="str">
        <x:v>Aimed Feather — 3 EN</x:v>
      </x:c>
      <x:c r="F18" t="str">
        <x:v>Skyfall Arrow — 4 EN</x:v>
      </x:c>
      <x:c r="G18" t="str">
        <x:v>No off-hand Orb; the weapon occupies both hands.</x:v>
      </x:c>
      <x:c r="H18" t="str">
        <x:v>Might, Martial Penetration, Ferocity and deliberate full-turn pressure.</x:v>
      </x:c>
      <x:c r="I18" t="str">
        <x:v>The six existing Greatbow rows are re-restricted in v0.6.</x:v>
      </x:c>
      <x:c r="J18" t="str">
        <x:v>Confirmed access / Working Draft values</x:v>
      </x:c>
    </x:row>
    <x:row r="19">
      <x:c r="A19" t="str">
        <x:v>Focus Orb</x:v>
      </x:c>
      <x:c r="B19" t="n">
        <x:v>1</x:v>
      </x:c>
      <x:c r="C19" t="str">
        <x:v>Mage / Siren / Inquisitor / Bard</x:v>
      </x:c>
      <x:c r="D19" t="n">
        <x:v>1</x:v>
      </x:c>
      <x:c r="E19" t="str">
        <x:v>Focus Pulse — 2 EN</x:v>
      </x:c>
      <x:c r="F19" t="str">
        <x:v>Two Orbs unlock Twin Eclipse.</x:v>
      </x:c>
      <x:c r="G19" t="str">
        <x:v>Combines with Talon Blade, Dagger Pinion and Hand Crossbow.</x:v>
      </x:c>
      <x:c r="H19" t="str">
        <x:v>Focus plus the chosen Orb Focus.</x:v>
      </x:c>
      <x:c r="I19" t="str">
        <x:v>Six existing items are authored as one exemplar of each focus.</x:v>
      </x:c>
      <x:c r="J19" t="str">
        <x:v>Confirmed structure</x:v>
      </x:c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 t="str">
        <x:v>Ailments on Purple, Gold and Orange Weapons</x:v>
      </x:c>
      <x:c r="B21"/>
      <x:c r="C21"/>
      <x:c r="D21"/>
      <x:c r="E21"/>
      <x:c r="F21"/>
      <x:c r="G21"/>
      <x:c r="H21"/>
      <x:c r="I21"/>
      <x:c r="J21"/>
    </x:row>
    <x:row r="22">
      <x:c r="A22" t="str">
        <x:v>Rarity</x:v>
      </x:c>
      <x:c r="B22" t="str">
        <x:v>Permission</x:v>
      </x:c>
      <x:c r="C22" t="str">
        <x:v>Normal Application</x:v>
      </x:c>
      <x:c r="D22" t="str">
        <x:v>Direct Damage Cost</x:v>
      </x:c>
      <x:c r="E22" t="str">
        <x:v>Resolved-State Rule</x:v>
      </x:c>
      <x:c r="F22" t="str">
        <x:v>Budget Treatment</x:v>
      </x:c>
      <x:c r="G22" t="str">
        <x:v>Example</x:v>
      </x:c>
      <x:c r="H22" t="str">
        <x:v>Status</x:v>
      </x:c>
      <x:c r="I22"/>
      <x:c r="J22"/>
    </x:row>
    <x:row r="23">
      <x:c r="A23" t="str">
        <x:v>Purple</x:v>
      </x:c>
      <x:c r="B23" t="str">
        <x:v>Selected named weapons may add one base-ailment rider.</x:v>
      </x:c>
      <x:c r="C23" t="str">
        <x:v>Normally 1 guaranteed stack after a landed action.</x:v>
      </x:c>
      <x:c r="D23" t="str">
        <x:v>Reduce direct damage when the rider is added.</x:v>
      </x:c>
      <x:c r="E23" t="str">
        <x:v>Cannot apply Toxic, Incinerating, Frozen or Paralysed directly.</x:v>
      </x:c>
      <x:c r="F23" t="str">
        <x:v>Consumes the named-bonus budget.</x:v>
      </x:c>
      <x:c r="G23" t="str">
        <x:v>Frostbite Bow; Barbed Talon Blade.</x:v>
      </x:c>
      <x:c r="H23" t="str">
        <x:v>Confirmed permission</x:v>
      </x:c>
      <x:c r="I23"/>
      <x:c r="J23"/>
    </x:row>
    <x:row r="24">
      <x:c r="A24" t="str">
        <x:v>Gold</x:v>
      </x:c>
      <x:c r="B24" t="str">
        <x:v>Selected named weapons may add ailment payoff or Ultimate synergy.</x:v>
      </x:c>
      <x:c r="C24" t="str">
        <x:v>Normally 1 guaranteed stack after a landed action.</x:v>
      </x:c>
      <x:c r="D24" t="str">
        <x:v>All damage, stacks and utility share one action budget.</x:v>
      </x:c>
      <x:c r="E24" t="str">
        <x:v>May accelerate buildup but does not bypass the base threshold.</x:v>
      </x:c>
      <x:c r="F24" t="str">
        <x:v>Consumes a named bonus or Ultimate budget.</x:v>
      </x:c>
      <x:c r="G24" t="str">
        <x:v>Ember Greatbow; Stormbolt Crossbow.</x:v>
      </x:c>
      <x:c r="H24" t="str">
        <x:v>Confirmed permission</x:v>
      </x:c>
      <x:c r="I24"/>
      <x:c r="J24"/>
    </x:row>
    <x:row r="25">
      <x:c r="A25" t="str">
        <x:v>Orange</x:v>
      </x:c>
      <x:c r="B25" t="str">
        <x:v>Unique interaction with one ailment family.</x:v>
      </x:c>
      <x:c r="C25" t="str">
        <x:v>Still obeys 2 stacks per action and 4 per turn unless explicitly approved.</x:v>
      </x:c>
      <x:c r="D25" t="str">
        <x:v>Unique power is paid from the Orange permission and total budget.</x:v>
      </x:c>
      <x:c r="E25" t="str">
        <x:v>May modify a resolved state but does not apply it freely.</x:v>
      </x:c>
      <x:c r="F25" t="str">
        <x:v>Consumes the unique permission.</x:v>
      </x:c>
      <x:c r="G25" t="str">
        <x:v>Venom Pinion; named Incinerating interaction.</x:v>
      </x:c>
      <x:c r="H25" t="str">
        <x:v>Confirmed permission</x:v>
      </x:c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 t="str">
        <x:v>Ailment Protection on Armour</x:v>
      </x:c>
      <x:c r="B27"/>
      <x:c r="C27"/>
      <x:c r="D27"/>
      <x:c r="E27"/>
      <x:c r="F27"/>
      <x:c r="G27"/>
      <x:c r="H27"/>
      <x:c r="I27"/>
      <x:c r="J27"/>
    </x:row>
    <x:row r="28">
      <x:c r="A28" t="str">
        <x:v>Rarity</x:v>
      </x:c>
      <x:c r="B28" t="str">
        <x:v>Protection</x:v>
      </x:c>
      <x:c r="C28" t="str">
        <x:v>Rule</x:v>
      </x:c>
      <x:c r="D28" t="str">
        <x:v>Frequency</x:v>
      </x:c>
      <x:c r="E28" t="str">
        <x:v>Base Ailment</x:v>
      </x:c>
      <x:c r="F28" t="str">
        <x:v>Resolved State</x:v>
      </x:c>
      <x:c r="G28" t="str">
        <x:v>Direct Damage</x:v>
      </x:c>
      <x:c r="H28" t="str">
        <x:v>Budget Treatment</x:v>
      </x:c>
      <x:c r="I28" t="str">
        <x:v>Status</x:v>
      </x:c>
      <x:c r="J28"/>
    </x:row>
    <x:row r="29">
      <x:c r="A29" t="str">
        <x:v>Purple</x:v>
      </x:c>
      <x:c r="B29" t="str">
        <x:v>Resistance</x:v>
      </x:c>
      <x:c r="C29" t="str">
        <x:v>Reduce the first application of the named ailment each round by 1 stack.</x:v>
      </x:c>
      <x:c r="D29" t="str">
        <x:v>Once per round.</x:v>
      </x:c>
      <x:c r="E29" t="str">
        <x:v>Still receives any remaining stacks.</x:v>
      </x:c>
      <x:c r="F29" t="str">
        <x:v>Does not automatically prevent the resolved state.</x:v>
      </x:c>
      <x:c r="G29" t="str">
        <x:v>Never prevented.</x:v>
      </x:c>
      <x:c r="H29" t="str">
        <x:v>Consumes the named-bonus budget.</x:v>
      </x:c>
      <x:c r="I29" t="str">
        <x:v>Confirmed permission</x:v>
      </x:c>
      <x:c r="J29"/>
    </x:row>
    <x:row r="30">
      <x:c r="A30" t="str">
        <x:v>Gold</x:v>
      </x:c>
      <x:c r="B30" t="str">
        <x:v>Ward</x:v>
      </x:c>
      <x:c r="C30" t="str">
        <x:v>Once per battle, prevent the named resolved state and clear its base stacks.</x:v>
      </x:c>
      <x:c r="D30" t="str">
        <x:v>Once per battle.</x:v>
      </x:c>
      <x:c r="E30" t="str">
        <x:v>Stacks build normally until the Ward triggers.</x:v>
      </x:c>
      <x:c r="F30" t="str">
        <x:v>Prevented once.</x:v>
      </x:c>
      <x:c r="G30" t="str">
        <x:v>Never prevented.</x:v>
      </x:c>
      <x:c r="H30" t="str">
        <x:v>Consumes a named bonus or Ultimate budget.</x:v>
      </x:c>
      <x:c r="I30" t="str">
        <x:v>Confirmed permission</x:v>
      </x:c>
      <x:c r="J30"/>
    </x:row>
    <x:row r="31">
      <x:c r="A31" t="str">
        <x:v>Orange</x:v>
      </x:c>
      <x:c r="B31" t="str">
        <x:v>Immunity</x:v>
      </x:c>
      <x:c r="C31" t="str">
        <x:v>Cannot gain the named base ailment or its resolved state.</x:v>
      </x:c>
      <x:c r="D31" t="str">
        <x:v>Permanent while equipped.</x:v>
      </x:c>
      <x:c r="E31" t="str">
        <x:v>Prevented.</x:v>
      </x:c>
      <x:c r="F31" t="str">
        <x:v>Prevented.</x:v>
      </x:c>
      <x:c r="G31" t="str">
        <x:v>Never prevented.</x:v>
      </x:c>
      <x:c r="H31" t="str">
        <x:v>Consumes the Orange unique permission.</x:v>
      </x:c>
      <x:c r="I31" t="str">
        <x:v>Confirmed permission</x:v>
      </x:c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 t="str">
        <x:v>Protection Families</x:v>
      </x:c>
      <x:c r="B33"/>
      <x:c r="C33"/>
      <x:c r="D33"/>
      <x:c r="E33"/>
      <x:c r="F33"/>
      <x:c r="G33"/>
      <x:c r="H33"/>
      <x:c r="I33"/>
      <x:c r="J33"/>
    </x:row>
    <x:row r="34">
      <x:c r="A34" t="str">
        <x:v>Protection Family</x:v>
      </x:c>
      <x:c r="B34" t="str">
        <x:v>Base Ailment</x:v>
      </x:c>
      <x:c r="C34" t="str">
        <x:v>Resolved State Covered</x:v>
      </x:c>
      <x:c r="D34" t="str">
        <x:v>Does Not Prevent</x:v>
      </x:c>
      <x:c r="E34" t="str">
        <x:v>Purple</x:v>
      </x:c>
      <x:c r="F34" t="str">
        <x:v>Gold</x:v>
      </x:c>
      <x:c r="G34" t="str">
        <x:v>Orange</x:v>
      </x:c>
      <x:c r="H34" t="str">
        <x:v>Status</x:v>
      </x:c>
      <x:c r="I34"/>
      <x:c r="J34"/>
    </x:row>
    <x:row r="35">
      <x:c r="A35" t="str">
        <x:v>Burn</x:v>
      </x:c>
      <x:c r="B35" t="str">
        <x:v>Burn</x:v>
      </x:c>
      <x:c r="C35" t="str">
        <x:v>Incinerating</x:v>
      </x:c>
      <x:c r="D35" t="str">
        <x:v>Direct weapon or Magic damage</x:v>
      </x:c>
      <x:c r="E35" t="str">
        <x:v>Resistance</x:v>
      </x:c>
      <x:c r="F35" t="str">
        <x:v>Ward</x:v>
      </x:c>
      <x:c r="G35" t="str">
        <x:v>Immunity</x:v>
      </x:c>
      <x:c r="H35" t="str">
        <x:v>Confirmed</x:v>
      </x:c>
      <x:c r="I35"/>
      <x:c r="J35"/>
    </x:row>
    <x:row r="36">
      <x:c r="A36" t="str">
        <x:v>Poison</x:v>
      </x:c>
      <x:c r="B36" t="str">
        <x:v>Poison</x:v>
      </x:c>
      <x:c r="C36" t="str">
        <x:v>Toxic</x:v>
      </x:c>
      <x:c r="D36" t="str">
        <x:v>Direct weapon or Magic damage</x:v>
      </x:c>
      <x:c r="E36" t="str">
        <x:v>Resistance</x:v>
      </x:c>
      <x:c r="F36" t="str">
        <x:v>Ward</x:v>
      </x:c>
      <x:c r="G36" t="str">
        <x:v>Immunity</x:v>
      </x:c>
      <x:c r="H36" t="str">
        <x:v>Confirmed</x:v>
      </x:c>
      <x:c r="I36"/>
      <x:c r="J36"/>
    </x:row>
    <x:row r="37">
      <x:c r="A37" t="str">
        <x:v>Chill</x:v>
      </x:c>
      <x:c r="B37" t="str">
        <x:v>Chilled</x:v>
      </x:c>
      <x:c r="C37" t="str">
        <x:v>Frozen</x:v>
      </x:c>
      <x:c r="D37" t="str">
        <x:v>Direct weapon or Magic damage</x:v>
      </x:c>
      <x:c r="E37" t="str">
        <x:v>Resistance</x:v>
      </x:c>
      <x:c r="F37" t="str">
        <x:v>Ward</x:v>
      </x:c>
      <x:c r="G37" t="str">
        <x:v>Immunity</x:v>
      </x:c>
      <x:c r="H37" t="str">
        <x:v>Confirmed</x:v>
      </x:c>
      <x:c r="I37"/>
      <x:c r="J37"/>
    </x:row>
    <x:row r="38">
      <x:c r="A38" t="str">
        <x:v>Shock</x:v>
      </x:c>
      <x:c r="B38" t="str">
        <x:v>Shock</x:v>
      </x:c>
      <x:c r="C38" t="str">
        <x:v>Paralysed</x:v>
      </x:c>
      <x:c r="D38" t="str">
        <x:v>Direct weapon or Magic damage</x:v>
      </x:c>
      <x:c r="E38" t="str">
        <x:v>Resistance</x:v>
      </x:c>
      <x:c r="F38" t="str">
        <x:v>Ward</x:v>
      </x:c>
      <x:c r="G38" t="str">
        <x:v>Immunity</x:v>
      </x:c>
      <x:c r="H38" t="str">
        <x:v>Confirmed</x:v>
      </x:c>
      <x:c r="I38"/>
      <x:c r="J38"/>
    </x:row>
    <x:row r="39">
      <x:c r="A39" t="str">
        <x:v>Bleed</x:v>
      </x:c>
      <x:c r="B39" t="str">
        <x:v>Bleed</x:v>
      </x:c>
      <x:c r="C39" t="str">
        <x:v>No separate resolved state</x:v>
      </x:c>
      <x:c r="D39" t="str">
        <x:v>Direct weapon or Martial damage</x:v>
      </x:c>
      <x:c r="E39" t="str">
        <x:v>Resistance</x:v>
      </x:c>
      <x:c r="F39" t="str">
        <x:v>Ward clears stacks</x:v>
      </x:c>
      <x:c r="G39" t="str">
        <x:v>Immunity</x:v>
      </x:c>
      <x:c r="H39" t="str">
        <x:v>Confirmed</x:v>
      </x:c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 t="str">
        <x:v>Implementation Boundaries</x:v>
      </x:c>
      <x:c r="B41"/>
      <x:c r="C41"/>
      <x:c r="D41"/>
      <x:c r="E41"/>
      <x:c r="F41"/>
      <x:c r="G41"/>
      <x:c r="H41"/>
      <x:c r="I41"/>
      <x:c r="J41"/>
    </x:row>
    <x:row r="42">
      <x:c r="A42" t="str">
        <x:v>Rule</x:v>
      </x:c>
      <x:c r="B42" t="str">
        <x:v>Definition</x:v>
      </x:c>
      <x:c r="C42" t="str">
        <x:v>Authority</x:v>
      </x:c>
      <x:c r="D42" t="str">
        <x:v>Content State</x:v>
      </x:c>
      <x:c r="E42"/>
      <x:c r="F42"/>
      <x:c r="G42"/>
      <x:c r="H42"/>
      <x:c r="I42"/>
      <x:c r="J42"/>
    </x:row>
    <x:row r="43">
      <x:c r="A43" t="str">
        <x:v>Orb parent family</x:v>
      </x:c>
      <x:c r="B43" t="str">
        <x:v>Focus Orb remains the equipment family; every concrete Orb item declares exactly one Orb Focus.</x:v>
      </x:c>
      <x:c r="C43" t="str">
        <x:v>Confirmed</x:v>
      </x:c>
      <x:c r="D43" t="str">
        <x:v>The six current items demonstrate the six focuses. A later content pass may create every focus at every rarity.</x:v>
      </x:c>
      <x:c r="E43"/>
      <x:c r="F43"/>
      <x:c r="G43"/>
      <x:c r="H43"/>
      <x:c r="I43"/>
      <x:c r="J43"/>
    </x:row>
    <x:row r="44">
      <x:c r="A44" t="str">
        <x:v>Dedicated Orb advantage</x:v>
      </x:c>
      <x:c r="B44" t="str">
        <x:v>Focus Pulse applies more buildup than a hybrid combination because it sacrifices direct damage.</x:v>
      </x:c>
      <x:c r="C44" t="str">
        <x:v>Confirmed structure</x:v>
      </x:c>
      <x:c r="D44" t="str">
        <x:v>Exact coefficients remain Working Draft.</x:v>
      </x:c>
      <x:c r="E44"/>
      <x:c r="F44"/>
      <x:c r="G44"/>
      <x:c r="H44"/>
      <x:c r="I44"/>
      <x:c r="J44"/>
    </x:row>
    <x:row r="45">
      <x:c r="A45" t="str">
        <x:v>Combination advantage</x:v>
      </x:c>
      <x:c r="B45" t="str">
        <x:v>Hybrid techniques deal Martial and Magic portions but normally apply only 1 guaranteed stack.</x:v>
      </x:c>
      <x:c r="C45" t="str">
        <x:v>Confirmed structure</x:v>
      </x:c>
      <x:c r="D45" t="str">
        <x:v>See Combination Techniques and Skill Library.</x:v>
      </x:c>
      <x:c r="E45"/>
      <x:c r="F45"/>
      <x:c r="G45"/>
      <x:c r="H45"/>
      <x:c r="I45"/>
      <x:c r="J45"/>
    </x:row>
    <x:row r="46">
      <x:c r="A46" t="str">
        <x:v>Bow and Hand Crossbow</x:v>
      </x:c>
      <x:c r="B46" t="str">
        <x:v>Class access, hand cost and technique roles are confirmed without inventing unapproved item stats.</x:v>
      </x:c>
      <x:c r="C46" t="str">
        <x:v>Confirmed structure</x:v>
      </x:c>
      <x:c r="D46" t="str">
        <x:v>Item names, six-rarity stat packages and bonuses remain a discrete content task.</x:v>
      </x:c>
      <x:c r="E46"/>
      <x:c r="F46"/>
      <x:c r="G46"/>
      <x:c r="H46"/>
      <x:c r="I46"/>
      <x:c r="J46"/>
    </x:row>
    <x:row r="47">
      <x:c r="A47" t="str">
        <x:v>Stable IDs</x:v>
      </x:c>
      <x:c r="B47" t="str">
        <x:v>Repurposed Dagger Pinion and focused-Orb display data keep existing item and skill IDs where practical.</x:v>
      </x:c>
      <x:c r="C47" t="str">
        <x:v>Confirmed</x:v>
      </x:c>
      <x:c r="D47" t="str">
        <x:v>Use display aliases and save migration rather than deleting identifiers.</x:v>
      </x:c>
      <x:c r="E47"/>
      <x:c r="F47"/>
      <x:c r="G47"/>
      <x:c r="H47"/>
      <x:c r="I47"/>
      <x:c r="J47"/>
    </x:row>
    <x:row r="48">
      <x:c r="A48" t="str">
        <x:v>No automatic hard control</x:v>
      </x:c>
      <x:c r="B48" t="str">
        <x:v>Weapons apply Burn, Poison, Bleed, Chilled or Shock; they do not directly apply Incinerating, Toxic, Frozen or Paralysed.</x:v>
      </x:c>
      <x:c r="C48" t="str">
        <x:v>Confirmed</x:v>
      </x:c>
      <x:c r="D48" t="str">
        <x:v>Orange exceptions still require explicit approval and telegraphing.</x:v>
      </x:c>
      <x:c r="E48"/>
      <x:c r="F48"/>
      <x:c r="G48"/>
      <x:c r="H48"/>
      <x:c r="I48"/>
      <x:c r="J48"/>
    </x:row>
    <x:row r="49">
      <x:c r="A49" s="107" t="str">
        <x:v>Physical Ailment Protection Families</x:v>
      </x:c>
      <x:c r="B49" s="107"/>
      <x:c r="C49" s="107"/>
      <x:c r="D49" s="107"/>
      <x:c r="E49" s="107"/>
      <x:c r="F49" s="107"/>
      <x:c r="G49" s="107"/>
      <x:c r="H49" s="107"/>
      <x:c r="I49" s="107"/>
      <x:c r="J49" s="107"/>
    </x:row>
    <x:row r="50">
      <x:c r="A50" s="109" t="str">
        <x:v>Protection Family</x:v>
      </x:c>
      <x:c r="B50" s="109" t="str">
        <x:v>Base Ailment</x:v>
      </x:c>
      <x:c r="C50" s="109" t="str">
        <x:v>Resolved State Covered</x:v>
      </x:c>
      <x:c r="D50" s="109" t="str">
        <x:v>Does Not Prevent</x:v>
      </x:c>
      <x:c r="E50" s="109" t="str">
        <x:v>Purple</x:v>
      </x:c>
      <x:c r="F50" s="109" t="str">
        <x:v>Gold</x:v>
      </x:c>
      <x:c r="G50" s="109" t="str">
        <x:v>Orange</x:v>
      </x:c>
      <x:c r="H50" s="109" t="str">
        <x:v>Status</x:v>
      </x:c>
      <x:c r="I50" s="41"/>
      <x:c r="J50" s="41"/>
    </x:row>
    <x:row r="51">
      <x:c r="A51" s="41" t="str">
        <x:v>Fracture</x:v>
      </x:c>
      <x:c r="B51" s="41" t="str">
        <x:v>Fracture</x:v>
      </x:c>
      <x:c r="C51" s="41" t="str">
        <x:v>Shattered</x:v>
      </x:c>
      <x:c r="D51" s="41" t="str">
        <x:v>Direct physical damage</x:v>
      </x:c>
      <x:c r="E51" s="41" t="str">
        <x:v>Resistance</x:v>
      </x:c>
      <x:c r="F51" s="41" t="str">
        <x:v>Ward clears stacks / prevents Shattered once</x:v>
      </x:c>
      <x:c r="G51" s="41" t="str">
        <x:v>Immunity</x:v>
      </x:c>
      <x:c r="H51" s="41" t="str">
        <x:v>Confirmed</x:v>
      </x:c>
      <x:c r="I51" s="41"/>
      <x:c r="J51" s="41"/>
    </x:row>
    <x:row r="52">
      <x:c r="A52" s="41" t="str">
        <x:v>Cripple</x:v>
      </x:c>
      <x:c r="B52" s="41" t="str">
        <x:v>Crippled</x:v>
      </x:c>
      <x:c r="C52" s="41" t="str">
        <x:v>Immobilised</x:v>
      </x:c>
      <x:c r="D52" s="41" t="str">
        <x:v>Direct physical damage</x:v>
      </x:c>
      <x:c r="E52" s="41" t="str">
        <x:v>Resistance</x:v>
      </x:c>
      <x:c r="F52" s="41" t="str">
        <x:v>Ward clears stacks / prevents Immobilised once</x:v>
      </x:c>
      <x:c r="G52" s="41" t="str">
        <x:v>Immunity</x:v>
      </x:c>
      <x:c r="H52" s="41" t="str">
        <x:v>Confirmed</x:v>
      </x:c>
      <x:c r="I52" s="41"/>
      <x:c r="J52" s="41"/>
    </x:row>
    <x:row r="53">
      <x:c r="A53" s="41" t="str">
        <x:v>Daze</x:v>
      </x:c>
      <x:c r="B53" s="41" t="str">
        <x:v>Dazed</x:v>
      </x:c>
      <x:c r="C53" s="41" t="str">
        <x:v>Concussed</x:v>
      </x:c>
      <x:c r="D53" s="41" t="str">
        <x:v>Direct physical damage</x:v>
      </x:c>
      <x:c r="E53" s="41" t="str">
        <x:v>Resistance</x:v>
      </x:c>
      <x:c r="F53" s="41" t="str">
        <x:v>Ward clears stacks / prevents Concussed once</x:v>
      </x:c>
      <x:c r="G53" s="41" t="str">
        <x:v>Immunity</x:v>
      </x:c>
      <x:c r="H53" s="41" t="str">
        <x:v>Confirmed</x:v>
      </x:c>
      <x:c r="I53" s="41"/>
      <x:c r="J53" s="41"/>
    </x:row>
  </x:sheetData>
  <x:mergeCells>
    <x:mergeCell ref="A1:J1"/>
    <x:mergeCell ref="A2:J2"/>
    <x:mergeCell ref="A4:J4"/>
    <x:mergeCell ref="A13:J13"/>
    <x:mergeCell ref="A21:J21"/>
    <x:mergeCell ref="A27:J27"/>
    <x:mergeCell ref="A33:J33"/>
    <x:mergeCell ref="A41:J41"/>
    <x:mergeCell ref="A49:J49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48" hidden="0" customWidth="1"/>
    <x:col min="11" max="11" width="50" hidden="0" customWidth="1"/>
  </x:cols>
  <x:sheetData>
    <x:row r="1">
      <x:c r="A1" s="4" t="str">
        <x:v>Weapon Damage Ranges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Every active weapon family now has an intrinsic damage range at each rarity.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>
      <x:c r="A4" s="17" t="str">
        <x:v>Family</x:v>
      </x:c>
      <x:c r="B4" s="17" t="str">
        <x:v>Damage Type</x:v>
      </x:c>
      <x:c r="C4" s="17" t="str">
        <x:v>Scaling Stat</x:v>
      </x:c>
      <x:c r="D4" s="17" t="str">
        <x:v>Grey</x:v>
      </x:c>
      <x:c r="E4" s="17" t="str">
        <x:v>Green</x:v>
      </x:c>
      <x:c r="F4" s="17" t="str">
        <x:v>Blue</x:v>
      </x:c>
      <x:c r="G4" s="17" t="str">
        <x:v>Purple</x:v>
      </x:c>
      <x:c r="H4" s="17" t="str">
        <x:v>Gold</x:v>
      </x:c>
      <x:c r="I4" s="17" t="str">
        <x:v>Orange</x:v>
      </x:c>
      <x:c r="J4" s="17" t="str">
        <x:v>Rarity Factors</x:v>
      </x:c>
      <x:c r="K4" s="17" t="str">
        <x:v>Notes</x:v>
      </x:c>
    </x:row>
    <x:row r="5">
      <x:c r="A5" s="24" t="str">
        <x:v>Talon Blade</x:v>
      </x:c>
      <x:c r="B5" s="24" t="str">
        <x:v>Physical Finesse</x:v>
      </x:c>
      <x:c r="C5" s="24" t="str">
        <x:v>Dexterity</x:v>
      </x:c>
      <x:c r="D5" s="24" t="str">
        <x:v>3–4</x:v>
      </x:c>
      <x:c r="E5" s="24" t="str">
        <x:v>4–5</x:v>
      </x:c>
      <x:c r="F5" s="24" t="str">
        <x:v>5–6</x:v>
      </x:c>
      <x:c r="G5" s="24" t="str">
        <x:v>6–8</x:v>
      </x:c>
      <x:c r="H5" s="24" t="str">
        <x:v>7–9</x:v>
      </x:c>
      <x:c r="I5" s="24" t="str">
        <x:v>8–11</x:v>
      </x:c>
      <x:c r="J5" s="24" t="str">
        <x:v>1.00× / 1.25× / 1.55× / 1.90× / 2.30× / 2.75×</x:v>
      </x:c>
      <x:c r="K5" s="24" t="str">
        <x:v>Curated whole-number ranges generated from the Grey family profile.</x:v>
      </x:c>
    </x:row>
    <x:row r="6">
      <x:c r="A6" s="24" t="str">
        <x:v>Dagger Pinion</x:v>
      </x:c>
      <x:c r="B6" s="24" t="str">
        <x:v>Physical Finesse</x:v>
      </x:c>
      <x:c r="C6" s="24" t="str">
        <x:v>Dexterity</x:v>
      </x:c>
      <x:c r="D6" s="24" t="str">
        <x:v>2–3</x:v>
      </x:c>
      <x:c r="E6" s="24" t="str">
        <x:v>3–4</x:v>
      </x:c>
      <x:c r="F6" s="24" t="str">
        <x:v>3–5</x:v>
      </x:c>
      <x:c r="G6" s="24" t="str">
        <x:v>4–6</x:v>
      </x:c>
      <x:c r="H6" s="24" t="str">
        <x:v>5–7</x:v>
      </x:c>
      <x:c r="I6" s="24" t="str">
        <x:v>6–8</x:v>
      </x:c>
      <x:c r="J6" s="24" t="str">
        <x:v>1.00× / 1.25× / 1.55× / 1.90× / 2.30× / 2.75×</x:v>
      </x:c>
      <x:c r="K6" s="24" t="str">
        <x:v>Curated whole-number ranges generated from the Grey family profile.</x:v>
      </x:c>
    </x:row>
    <x:row r="7">
      <x:c r="A7" s="24" t="str">
        <x:v>Duel Sabre</x:v>
      </x:c>
      <x:c r="B7" s="24" t="str">
        <x:v>Physical Finesse</x:v>
      </x:c>
      <x:c r="C7" s="24" t="str">
        <x:v>Dexterity</x:v>
      </x:c>
      <x:c r="D7" s="24" t="str">
        <x:v>3–5</x:v>
      </x:c>
      <x:c r="E7" s="24" t="str">
        <x:v>4–6</x:v>
      </x:c>
      <x:c r="F7" s="24" t="str">
        <x:v>5–8</x:v>
      </x:c>
      <x:c r="G7" s="24" t="str">
        <x:v>6–10</x:v>
      </x:c>
      <x:c r="H7" s="24" t="str">
        <x:v>7–12</x:v>
      </x:c>
      <x:c r="I7" s="24" t="str">
        <x:v>8–14</x:v>
      </x:c>
      <x:c r="J7" s="24" t="str">
        <x:v>1.00× / 1.25× / 1.55× / 1.90× / 2.30× / 2.75×</x:v>
      </x:c>
      <x:c r="K7" s="24" t="str">
        <x:v>Curated whole-number ranges generated from the Grey family profile.</x:v>
      </x:c>
    </x:row>
    <x:row r="8">
      <x:c r="A8" s="24" t="str">
        <x:v>Greatbow</x:v>
      </x:c>
      <x:c r="B8" s="24" t="str">
        <x:v>Physical Finesse</x:v>
      </x:c>
      <x:c r="C8" s="24" t="str">
        <x:v>Dexterity</x:v>
      </x:c>
      <x:c r="D8" s="24" t="str">
        <x:v>5–8</x:v>
      </x:c>
      <x:c r="E8" s="24" t="str">
        <x:v>6–10</x:v>
      </x:c>
      <x:c r="F8" s="24" t="str">
        <x:v>8–12</x:v>
      </x:c>
      <x:c r="G8" s="24" t="str">
        <x:v>10–15</x:v>
      </x:c>
      <x:c r="H8" s="24" t="str">
        <x:v>12–18</x:v>
      </x:c>
      <x:c r="I8" s="24" t="str">
        <x:v>14–22</x:v>
      </x:c>
      <x:c r="J8" s="24" t="str">
        <x:v>1.00× / 1.25× / 1.55× / 1.90× / 2.30× / 2.75×</x:v>
      </x:c>
      <x:c r="K8" s="24" t="str">
        <x:v>Curated whole-number ranges generated from the Grey family profile.</x:v>
      </x:c>
    </x:row>
    <x:row r="9">
      <x:c r="A9" s="24" t="str">
        <x:v>Beak Hammer</x:v>
      </x:c>
      <x:c r="B9" s="24" t="str">
        <x:v>Physical Strength</x:v>
      </x:c>
      <x:c r="C9" s="24" t="str">
        <x:v>Might</x:v>
      </x:c>
      <x:c r="D9" s="24" t="str">
        <x:v>4–6</x:v>
      </x:c>
      <x:c r="E9" s="24" t="str">
        <x:v>5–8</x:v>
      </x:c>
      <x:c r="F9" s="24" t="str">
        <x:v>6–9</x:v>
      </x:c>
      <x:c r="G9" s="24" t="str">
        <x:v>8–11</x:v>
      </x:c>
      <x:c r="H9" s="24" t="str">
        <x:v>9–14</x:v>
      </x:c>
      <x:c r="I9" s="24" t="str">
        <x:v>11–17</x:v>
      </x:c>
      <x:c r="J9" s="24" t="str">
        <x:v>1.00× / 1.25× / 1.55× / 1.90× / 2.30× / 2.75×</x:v>
      </x:c>
      <x:c r="K9" s="24" t="str">
        <x:v>Curated whole-number ranges generated from the Grey family profile.</x:v>
      </x:c>
    </x:row>
    <x:row r="10">
      <x:c r="A10" s="24" t="str">
        <x:v>Lance</x:v>
      </x:c>
      <x:c r="B10" s="24" t="str">
        <x:v>Physical Strength</x:v>
      </x:c>
      <x:c r="C10" s="24" t="str">
        <x:v>Might</x:v>
      </x:c>
      <x:c r="D10" s="24" t="str">
        <x:v>5–7</x:v>
      </x:c>
      <x:c r="E10" s="24" t="str">
        <x:v>6–9</x:v>
      </x:c>
      <x:c r="F10" s="24" t="str">
        <x:v>8–11</x:v>
      </x:c>
      <x:c r="G10" s="24" t="str">
        <x:v>10–13</x:v>
      </x:c>
      <x:c r="H10" s="24" t="str">
        <x:v>12–16</x:v>
      </x:c>
      <x:c r="I10" s="24" t="str">
        <x:v>14–19</x:v>
      </x:c>
      <x:c r="J10" s="24" t="str">
        <x:v>1.00× / 1.25× / 1.55× / 1.90× / 2.30× / 2.75×</x:v>
      </x:c>
      <x:c r="K10" s="24" t="str">
        <x:v>Curated whole-number ranges generated from the Grey family profile.</x:v>
      </x:c>
    </x:row>
    <x:row r="11">
      <x:c r="A11" s="24" t="str">
        <x:v>Greatblade</x:v>
      </x:c>
      <x:c r="B11" s="24" t="str">
        <x:v>Physical Strength</x:v>
      </x:c>
      <x:c r="C11" s="24" t="str">
        <x:v>Might</x:v>
      </x:c>
      <x:c r="D11" s="24" t="str">
        <x:v>6–8</x:v>
      </x:c>
      <x:c r="E11" s="24" t="str">
        <x:v>8–10</x:v>
      </x:c>
      <x:c r="F11" s="24" t="str">
        <x:v>9–12</x:v>
      </x:c>
      <x:c r="G11" s="24" t="str">
        <x:v>11–15</x:v>
      </x:c>
      <x:c r="H11" s="24" t="str">
        <x:v>14–18</x:v>
      </x:c>
      <x:c r="I11" s="24" t="str">
        <x:v>17–22</x:v>
      </x:c>
      <x:c r="J11" s="24" t="str">
        <x:v>1.00× / 1.25× / 1.55× / 1.90× / 2.30× / 2.75×</x:v>
      </x:c>
      <x:c r="K11" s="24" t="str">
        <x:v>Curated whole-number ranges generated from the Grey family profile.</x:v>
      </x:c>
    </x:row>
    <x:row r="12">
      <x:c r="A12" s="24" t="str">
        <x:v>War Scythe</x:v>
      </x:c>
      <x:c r="B12" s="24" t="str">
        <x:v>Physical Strength</x:v>
      </x:c>
      <x:c r="C12" s="24" t="str">
        <x:v>Might</x:v>
      </x:c>
      <x:c r="D12" s="24" t="str">
        <x:v>5–7</x:v>
      </x:c>
      <x:c r="E12" s="24" t="str">
        <x:v>6–9</x:v>
      </x:c>
      <x:c r="F12" s="24" t="str">
        <x:v>8–11</x:v>
      </x:c>
      <x:c r="G12" s="24" t="str">
        <x:v>10–13</x:v>
      </x:c>
      <x:c r="H12" s="24" t="str">
        <x:v>12–16</x:v>
      </x:c>
      <x:c r="I12" s="24" t="str">
        <x:v>14–19</x:v>
      </x:c>
      <x:c r="J12" s="24" t="str">
        <x:v>1.00× / 1.25× / 1.55× / 1.90× / 2.30× / 2.75×</x:v>
      </x:c>
      <x:c r="K12" s="24" t="str">
        <x:v>Curated whole-number ranges generated from the Grey family profile.</x:v>
      </x:c>
    </x:row>
    <x:row r="13">
      <x:c r="A13" s="24" t="str">
        <x:v>Wand</x:v>
      </x:c>
      <x:c r="B13" s="24" t="str">
        <x:v>Magic</x:v>
      </x:c>
      <x:c r="C13" s="24" t="str">
        <x:v>Focus</x:v>
      </x:c>
      <x:c r="D13" s="24" t="str">
        <x:v>2–4</x:v>
      </x:c>
      <x:c r="E13" s="24" t="str">
        <x:v>3–5</x:v>
      </x:c>
      <x:c r="F13" s="24" t="str">
        <x:v>3–6</x:v>
      </x:c>
      <x:c r="G13" s="24" t="str">
        <x:v>4–8</x:v>
      </x:c>
      <x:c r="H13" s="24" t="str">
        <x:v>5–9</x:v>
      </x:c>
      <x:c r="I13" s="24" t="str">
        <x:v>6–11</x:v>
      </x:c>
      <x:c r="J13" s="24" t="str">
        <x:v>1.00× / 1.25× / 1.55× / 1.90× / 2.30× / 2.75×</x:v>
      </x:c>
      <x:c r="K13" s="24" t="str">
        <x:v>Curated whole-number ranges generated from the Grey family profile.</x:v>
      </x:c>
    </x:row>
    <x:row r="14">
      <x:c r="A14" s="24" t="str">
        <x:v>Hexwood Wand</x:v>
      </x:c>
      <x:c r="B14" s="24" t="str">
        <x:v>Magic</x:v>
      </x:c>
      <x:c r="C14" s="24" t="str">
        <x:v>Focus</x:v>
      </x:c>
      <x:c r="D14" s="24" t="str">
        <x:v>2–3</x:v>
      </x:c>
      <x:c r="E14" s="24" t="str">
        <x:v>3–4</x:v>
      </x:c>
      <x:c r="F14" s="24" t="str">
        <x:v>3–5</x:v>
      </x:c>
      <x:c r="G14" s="24" t="str">
        <x:v>4–6</x:v>
      </x:c>
      <x:c r="H14" s="24" t="str">
        <x:v>5–7</x:v>
      </x:c>
      <x:c r="I14" s="24" t="str">
        <x:v>6–8</x:v>
      </x:c>
      <x:c r="J14" s="24" t="str">
        <x:v>1.00× / 1.25× / 1.55× / 1.90× / 2.30× / 2.75×</x:v>
      </x:c>
      <x:c r="K14" s="24" t="str">
        <x:v>Curated whole-number ranges generated from the Grey family profile.</x:v>
      </x:c>
    </x:row>
    <x:row r="15">
      <x:c r="A15" s="24" t="str">
        <x:v>Focus Orb</x:v>
      </x:c>
      <x:c r="B15" s="24" t="str">
        <x:v>Magic</x:v>
      </x:c>
      <x:c r="C15" s="24" t="str">
        <x:v>Focus</x:v>
      </x:c>
      <x:c r="D15" s="24" t="str">
        <x:v>1–3</x:v>
      </x:c>
      <x:c r="E15" s="24" t="str">
        <x:v>1–4</x:v>
      </x:c>
      <x:c r="F15" s="24" t="str">
        <x:v>2–5</x:v>
      </x:c>
      <x:c r="G15" s="24" t="str">
        <x:v>2–6</x:v>
      </x:c>
      <x:c r="H15" s="24" t="str">
        <x:v>2–7</x:v>
      </x:c>
      <x:c r="I15" s="24" t="str">
        <x:v>3–8</x:v>
      </x:c>
      <x:c r="J15" s="24" t="str">
        <x:v>1.00× / 1.25× / 1.55× / 1.90× / 2.30× / 2.75×</x:v>
      </x:c>
      <x:c r="K15" s="24" t="str">
        <x:v>Curated whole-number ranges generated from the Grey family profile.</x:v>
      </x:c>
    </x:row>
    <x:row r="16">
      <x:c r="A16" s="24" t="str">
        <x:v>Bell Sceptre</x:v>
      </x:c>
      <x:c r="B16" s="24" t="str">
        <x:v>Magic</x:v>
      </x:c>
      <x:c r="C16" s="24" t="str">
        <x:v>Focus</x:v>
      </x:c>
      <x:c r="D16" s="24" t="str">
        <x:v>3–4</x:v>
      </x:c>
      <x:c r="E16" s="24" t="str">
        <x:v>4–5</x:v>
      </x:c>
      <x:c r="F16" s="24" t="str">
        <x:v>5–6</x:v>
      </x:c>
      <x:c r="G16" s="24" t="str">
        <x:v>6–8</x:v>
      </x:c>
      <x:c r="H16" s="24" t="str">
        <x:v>7–9</x:v>
      </x:c>
      <x:c r="I16" s="24" t="str">
        <x:v>8–11</x:v>
      </x:c>
      <x:c r="J16" s="24" t="str">
        <x:v>1.00× / 1.25× / 1.55× / 1.90× / 2.30× / 2.75×</x:v>
      </x:c>
      <x:c r="K16" s="24" t="str">
        <x:v>Curated whole-number ranges generated from the Grey family profile.</x:v>
      </x:c>
    </x:row>
    <x:row r="17">
      <x:c r="A17" s="24" t="str">
        <x:v>Staff</x:v>
      </x:c>
      <x:c r="B17" s="24" t="str">
        <x:v>Magic</x:v>
      </x:c>
      <x:c r="C17" s="24" t="str">
        <x:v>Focus</x:v>
      </x:c>
      <x:c r="D17" s="24" t="str">
        <x:v>4–6</x:v>
      </x:c>
      <x:c r="E17" s="24" t="str">
        <x:v>5–8</x:v>
      </x:c>
      <x:c r="F17" s="24" t="str">
        <x:v>6–9</x:v>
      </x:c>
      <x:c r="G17" s="24" t="str">
        <x:v>8–11</x:v>
      </x:c>
      <x:c r="H17" s="24" t="str">
        <x:v>9–14</x:v>
      </x:c>
      <x:c r="I17" s="24" t="str">
        <x:v>11–17</x:v>
      </x:c>
      <x:c r="J17" s="24" t="str">
        <x:v>1.00× / 1.25× / 1.55× / 1.90× / 2.30× / 2.75×</x:v>
      </x:c>
      <x:c r="K17" s="24" t="str">
        <x:v>Curated whole-number ranges generated from the Grey family profile.</x:v>
      </x:c>
    </x:row>
    <x:row r="18">
      <x:c r="A18" s="24" t="str">
        <x:v>Runic Grimoire</x:v>
      </x:c>
      <x:c r="B18" s="24" t="str">
        <x:v>Magic</x:v>
      </x:c>
      <x:c r="C18" s="24" t="str">
        <x:v>Focus</x:v>
      </x:c>
      <x:c r="D18" s="24" t="str">
        <x:v>3–5</x:v>
      </x:c>
      <x:c r="E18" s="24" t="str">
        <x:v>4–6</x:v>
      </x:c>
      <x:c r="F18" s="24" t="str">
        <x:v>5–8</x:v>
      </x:c>
      <x:c r="G18" s="24" t="str">
        <x:v>6–10</x:v>
      </x:c>
      <x:c r="H18" s="24" t="str">
        <x:v>7–12</x:v>
      </x:c>
      <x:c r="I18" s="24" t="str">
        <x:v>8–14</x:v>
      </x:c>
      <x:c r="J18" s="24" t="str">
        <x:v>1.00× / 1.25× / 1.55× / 1.90× / 2.30× / 2.75×</x:v>
      </x:c>
      <x:c r="K18" s="24" t="str">
        <x:v>Curated whole-number ranges generated from the Grey family profile.</x:v>
      </x:c>
    </x:row>
    <x:row r="19">
      <x:c r="A19" s="24" t="str">
        <x:v>Bard Song</x:v>
      </x:c>
      <x:c r="B19" s="24" t="str">
        <x:v>Magic</x:v>
      </x:c>
      <x:c r="C19" s="24" t="str">
        <x:v>Focus</x:v>
      </x:c>
      <x:c r="D19" s="24" t="str">
        <x:v>2–4</x:v>
      </x:c>
      <x:c r="E19" s="24" t="str">
        <x:v>3–5</x:v>
      </x:c>
      <x:c r="F19" s="24" t="str">
        <x:v>3–6</x:v>
      </x:c>
      <x:c r="G19" s="24" t="str">
        <x:v>4–8</x:v>
      </x:c>
      <x:c r="H19" s="24" t="str">
        <x:v>5–9</x:v>
      </x:c>
      <x:c r="I19" s="24" t="str">
        <x:v>6–11</x:v>
      </x:c>
      <x:c r="J19" s="24" t="str">
        <x:v>1.00× / 1.25× / 1.55× / 1.90× / 2.30× / 2.75×</x:v>
      </x:c>
      <x:c r="K19" s="24" t="str">
        <x:v>Curated whole-number ranges generated from the Grey family profile.</x:v>
      </x:c>
    </x:row>
    <x:row r="20">
      <x:c r="A20" s="24" t="str">
        <x:v>Lament Song</x:v>
      </x:c>
      <x:c r="B20" s="24" t="str">
        <x:v>Magic</x:v>
      </x:c>
      <x:c r="C20" s="24" t="str">
        <x:v>Focus</x:v>
      </x:c>
      <x:c r="D20" s="24" t="str">
        <x:v>2–4</x:v>
      </x:c>
      <x:c r="E20" s="24" t="str">
        <x:v>3–5</x:v>
      </x:c>
      <x:c r="F20" s="24" t="str">
        <x:v>3–6</x:v>
      </x:c>
      <x:c r="G20" s="24" t="str">
        <x:v>4–8</x:v>
      </x:c>
      <x:c r="H20" s="24" t="str">
        <x:v>5–9</x:v>
      </x:c>
      <x:c r="I20" s="24" t="str">
        <x:v>6–11</x:v>
      </x:c>
      <x:c r="J20" s="24" t="str">
        <x:v>1.00× / 1.25× / 1.55× / 1.90× / 2.30× / 2.75×</x:v>
      </x:c>
      <x:c r="K20" s="24" t="str">
        <x:v>Curated whole-number ranges generated from the Grey family profile.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44" hidden="0" customWidth="1"/>
    <x:col min="4" max="4" width="32" hidden="0" customWidth="1"/>
    <x:col min="5" max="5" width="28" hidden="0" customWidth="1"/>
  </x:cols>
  <x:sheetData>
    <x:row r="1">
      <x:c r="A1" s="4" t="str">
        <x:v>NPC Equipment Attribution Rules</x:v>
      </x:c>
      <x:c r="B1" s="4"/>
      <x:c r="C1" s="4"/>
      <x:c r="D1" s="4"/>
      <x:c r="E1" s="4"/>
    </x:row>
    <x:row r="2">
      <x:c r="A2" s="10" t="str">
        <x:v>NPC stats are no longer a simplified base-stat opponent. They use the same equipment and weapon data as the player.</x:v>
      </x:c>
      <x:c r="B2" s="10"/>
      <x:c r="C2" s="10"/>
      <x:c r="D2" s="10"/>
      <x:c r="E2" s="10"/>
    </x:row>
    <x:row r="3">
      <x:c r="A3"/>
      <x:c r="B3"/>
      <x:c r="C3"/>
      <x:c r="D3"/>
      <x:c r="E3"/>
    </x:row>
    <x:row r="4">
      <x:c r="A4" s="17" t="str">
        <x:v>Step</x:v>
      </x:c>
      <x:c r="B4" s="17" t="str">
        <x:v>NPC Construction Rule</x:v>
      </x:c>
      <x:c r="C4" s="17" t="str">
        <x:v>Player Equivalent</x:v>
      </x:c>
      <x:c r="D4" s="17" t="str">
        <x:v>Formula Source</x:v>
      </x:c>
      <x:c r="E4" s="17" t="str">
        <x:v>Audit</x:v>
      </x:c>
    </x:row>
    <x:row r="5">
      <x:c r="A5" s="24" t="n">
        <x:v>1</x:v>
      </x:c>
      <x:c r="B5" s="24" t="str">
        <x:v>Choose bird/species and class</x:v>
      </x:c>
      <x:c r="C5" s="24" t="str">
        <x:v>Choose player bird</x:v>
      </x:c>
      <x:c r="D5" s="24" t="str">
        <x:v>Bird Stats</x:v>
      </x:c>
      <x:c r="E5" s="24" t="str">
        <x:v>Same base columns</x:v>
      </x:c>
    </x:row>
    <x:row r="6">
      <x:c r="A6" s="24" t="n">
        <x:v>2</x:v>
      </x:c>
      <x:c r="B6" s="24" t="str">
        <x:v>Apply level/star/tier progression</x:v>
      </x:c>
      <x:c r="C6" s="24" t="str">
        <x:v>Apply player progression</x:v>
      </x:c>
      <x:c r="D6" s="24" t="str">
        <x:v>Progression Rules</x:v>
      </x:c>
      <x:c r="E6" s="24" t="str">
        <x:v>Same order</x:v>
      </x:c>
    </x:row>
    <x:row r="7">
      <x:c r="A7" s="24" t="n">
        <x:v>3</x:v>
      </x:c>
      <x:c r="B7" s="24" t="str">
        <x:v>Select curated equipment IDs</x:v>
      </x:c>
      <x:c r="C7" s="24" t="str">
        <x:v>Equip player items</x:v>
      </x:c>
      <x:c r="D7" s="24" t="str">
        <x:v>Reference Loadouts</x:v>
      </x:c>
      <x:c r="E7" s="24" t="str">
        <x:v>Same rarity and slot rules</x:v>
      </x:c>
    </x:row>
    <x:row r="8">
      <x:c r="A8" s="24" t="n">
        <x:v>4</x:v>
      </x:c>
      <x:c r="B8" s="24" t="str">
        <x:v>Sum flat equipment attributes</x:v>
      </x:c>
      <x:c r="C8" s="24" t="str">
        <x:v>Sum player equipment attributes</x:v>
      </x:c>
      <x:c r="D8" s="24" t="str">
        <x:v>Equipment Stats</x:v>
      </x:c>
      <x:c r="E8" s="24" t="str">
        <x:v>Same SUMIF pipeline</x:v>
      </x:c>
    </x:row>
    <x:row r="9">
      <x:c r="A9" s="24" t="n">
        <x:v>5</x:v>
      </x:c>
      <x:c r="B9" s="24" t="str">
        <x:v>Read weapon min/max range</x:v>
      </x:c>
      <x:c r="C9" s="24" t="str">
        <x:v>Read player weapon range</x:v>
      </x:c>
      <x:c r="D9" s="24" t="str">
        <x:v>Equipment Stats</x:v>
      </x:c>
      <x:c r="E9" s="24" t="str">
        <x:v>Same weapon row</x:v>
      </x:c>
    </x:row>
    <x:row r="10">
      <x:c r="A10" s="24" t="n">
        <x:v>6</x:v>
      </x:c>
      <x:c r="B10" s="24" t="str">
        <x:v>Read fixed Skill Power</x:v>
      </x:c>
      <x:c r="C10" s="24" t="str">
        <x:v>Read player skill</x:v>
      </x:c>
      <x:c r="D10" s="24" t="str">
        <x:v>Skill Library</x:v>
      </x:c>
      <x:c r="E10" s="24" t="str">
        <x:v>No rarity multiplier</x:v>
      </x:c>
    </x:row>
    <x:row r="11">
      <x:c r="A11" s="24" t="n">
        <x:v>7</x:v>
      </x:c>
      <x:c r="B11" s="24" t="str">
        <x:v>Calculate health, Dodge and mitigation</x:v>
      </x:c>
      <x:c r="C11" s="24" t="str">
        <x:v>Calculate player derived stats</x:v>
      </x:c>
      <x:c r="D11" s="24" t="str">
        <x:v>Scaling Model</x:v>
      </x:c>
      <x:c r="E11" s="24" t="str">
        <x:v>Same formulas</x:v>
      </x:c>
    </x:row>
    <x:row r="12">
      <x:c r="A12" s="24" t="n">
        <x:v>8</x:v>
      </x:c>
      <x:c r="B12" s="24" t="str">
        <x:v>Apply difficulty AI policy</x:v>
      </x:c>
      <x:c r="C12" s="24" t="str">
        <x:v>Player chooses actions</x:v>
      </x:c>
      <x:c r="D12" s="24" t="str">
        <x:v>Enemy Scaling</x:v>
      </x:c>
      <x:c r="E12" s="24" t="str">
        <x:v>No hidden Standard stat multiplier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58" hidden="0" customWidth="1"/>
    <x:col min="4" max="4" width="40" hidden="0" customWidth="1"/>
    <x:col min="5" max="5" width="28" hidden="0" customWidth="1"/>
    <x:col min="6" max="6" width="42" hidden="0" customWidth="1"/>
    <x:col min="7" max="7" width="42" hidden="0" customWidth="1"/>
    <x:col min="8" max="8" width="23" hidden="0" customWidth="1"/>
    <x:col min="9" max="9" width="58" hidden="0" customWidth="1"/>
    <x:col min="10" max="10" width="54" hidden="0" customWidth="1"/>
  </x:cols>
  <x:sheetData>
    <x:row r="1" ht="30" customHeight="1">
      <x:c r="A1" s="62" t="str">
        <x:v>GitHub Import Bridge — Passives &amp; Perks v1.0</x:v>
      </x:c>
      <x:c r="B1" s="62"/>
      <x:c r="C1" s="62"/>
      <x:c r="D1" s="62"/>
      <x:c r="E1" s="62"/>
      <x:c r="F1" s="62"/>
      <x:c r="G1" s="62"/>
      <x:c r="H1" s="62"/>
      <x:c r="I1" s="62"/>
      <x:c r="J1" s="62"/>
    </x:row>
    <x:row r="2" ht="30" customHeight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</x:row>
    <x:row r="4" ht="30" customHeight="1">
      <x:c r="A4" s="76" t="str">
        <x:v>Bird Name</x:v>
      </x:c>
      <x:c r="B4" s="76" t="str">
        <x:v>Passive Name</x:v>
      </x:c>
      <x:c r="C4" s="76" t="str">
        <x:v>Simple Passive Effect</x:v>
      </x:c>
      <x:c r="D4" s="76" t="str">
        <x:v>Trigger / Timing</x:v>
      </x:c>
      <x:c r="E4" s="76" t="str">
        <x:v>Benefit Type</x:v>
      </x:c>
      <x:c r="F4" s="76" t="str">
        <x:v>Ability Alignment Notes</x:v>
      </x:c>
      <x:c r="G4" s="76" t="str">
        <x:v>Balance Note</x:v>
      </x:c>
      <x:c r="H4" s="76" t="str">
        <x:v>Class Perk</x:v>
      </x:c>
      <x:c r="I4" s="76" t="str">
        <x:v>Class Perk Effect</x:v>
      </x:c>
      <x:c r="J4" s="76" t="str">
        <x:v>Overflow Effect</x:v>
      </x:c>
    </x:row>
    <x:row r="5">
      <x:c r="A5" s="79" t="str">
        <x:v>Sparrow</x:v>
      </x:c>
      <x:c r="B5" s="79" t="str">
        <x:v>Fledgling Grit</x:v>
      </x:c>
      <x:c r="C5" s="79" t="str">
        <x:v>After using Hedge Hop, your next Weapon Skill 1 gains +10 Precision and +5 percentage points Critical Chance.</x:v>
      </x:c>
      <x:c r="D5" s="79" t="str">
        <x:v>Once per turn; consumed on the next 2 EN Weapon Skill 1.</x:v>
      </x:c>
      <x:c r="E5" s="79" t="str">
        <x:v>Precision, Critical</x:v>
      </x:c>
      <x:c r="F5" s="79" t="str">
        <x:v>Light weapons, Shadowplume and early-turn Rogue Tempo.</x:v>
      </x:c>
      <x:c r="G5" s="79" t="str">
        <x:v>Starter Rogue loop now points to the 2 EN weapon skill structure.</x:v>
      </x:c>
      <x:c r="H5" s="79" t="str">
        <x:v>Rogue Tempo</x:v>
      </x:c>
      <x:c r="I5" s="79" t="str">
        <x:v>Once per turn, if acting before the target, your first Weapon Skill 1 gains +10 Precision. If that skill breaks Armour, gain Minor Agility Up (+4 Agility) until the start of your next turn.</x:v>
      </x:c>
      <x:c r="J5" s="79" t="str">
        <x:v>Fortify/Ward effects heal current protection and raise temporary maximum; restoration cannot exceed normal maximum.</x:v>
      </x:c>
    </x:row>
    <x:row r="6">
      <x:c r="A6" s="79" t="str">
        <x:v>Hummingbird</x:v>
      </x:c>
      <x:c r="B6" s="79" t="str">
        <x:v>Ruby Needle Tempo</x:v>
      </x:c>
      <x:c r="C6" s="79" t="str">
        <x:v>After using two different skills in the same turn, gain Minor Agility Up (+4 Agility) until the start of your next turn and restore 1 Magic Armour, capped at its normal maximum.</x:v>
      </x:c>
      <x:c r="D6" s="79" t="str">
        <x:v>Once per turn; repeated copies of the same skill do not count.</x:v>
      </x:c>
      <x:c r="E6" s="79" t="str">
        <x:v>Armour, Magic Armour, Restoration</x:v>
      </x:c>
      <x:c r="F6" s="79" t="str">
        <x:v>One-handed weapons, accessories and multi-action turns.</x:v>
      </x:c>
      <x:c r="G6" s="79" t="str">
        <x:v>No longer requires two separate 1 EN actions.</x:v>
      </x:c>
      <x:c r="H6" s="79" t="str">
        <x:v>Rogue Tempo</x:v>
      </x:c>
      <x:c r="I6" s="79" t="str">
        <x:v>Once per turn, if acting before the target, your first Weapon Skill 1 gains +10 Precision. If that skill breaks Armour, gain Minor Agility Up (+4 Agility) until the start of your next turn.</x:v>
      </x:c>
      <x:c r="J6" s="79" t="str">
        <x:v>Fortify/Ward effects heal current protection and raise temporary maximum; restoration cannot exceed normal maximum.</x:v>
      </x:c>
    </x:row>
    <x:row r="7">
      <x:c r="A7" s="79" t="str">
        <x:v>Blackbird</x:v>
      </x:c>
      <x:c r="B7" s="79" t="str">
        <x:v>Plague-Nocturne</x:v>
      </x:c>
      <x:c r="C7" s="79" t="str">
        <x:v>Your first Night Magic weapon skill each turn against a debuffed target gains +10 Skill Power against Magic Armour. If it damages Health, it also gains +10 Precision for its debuff or ailment roll.</x:v>
      </x:c>
      <x:c r="D7" s="79" t="str">
        <x:v>Once per turn; the Skill Power bonus applies only to Magic Armour damage.</x:v>
      </x:c>
      <x:c r="E7" s="79" t="str">
        <x:v>Armour, Magic Armour, Ailment, Skill Power, Precision</x:v>
      </x:c>
      <x:c r="F7" s="79" t="str">
        <x:v>Night Wands, Staffs, Runewoven and Nightweave equipment.</x:v>
      </x:c>
      <x:c r="G7" s="79" t="str">
        <x:v>Replaces generic Magic Damage Up.</x:v>
      </x:c>
      <x:c r="H7" s="79" t="str">
        <x:v>Arcane Pressure</x:v>
      </x:c>
      <x:c r="I7" s="79" t="str">
        <x:v>The first Magic weapon skill you use each turn deals 10% additional damage to Magic Armour only. This bonus does not increase Health damage.</x:v>
      </x:c>
      <x:c r="J7" s="79" t="str">
        <x:v>Fortify/Ward effects heal current protection and raise temporary maximum; restoration cannot exceed normal maximum.</x:v>
      </x:c>
    </x:row>
    <x:row r="8">
      <x:c r="A8" s="79" t="str">
        <x:v>Macaw</x:v>
      </x:c>
      <x:c r="B8" s="79" t="str">
        <x:v>Scarlet Echo Call</x:v>
      </x:c>
      <x:c r="C8" s="79" t="str">
        <x:v>When Verse and Chorus triggers, the second skill also gains +10 Precision and restores 1 to the lower protection pool, capped at its normal maximum.</x:v>
      </x:c>
      <x:c r="D8" s="79" t="str">
        <x:v>Once per turn with Verse and Chorus.</x:v>
      </x:c>
      <x:c r="E8" s="79" t="str">
        <x:v>Restoration, Precision</x:v>
      </x:c>
      <x:c r="F8" s="79" t="str">
        <x:v>Bard Song, Talon Blade, Focus Orb and balanced defensive sets.</x:v>
      </x:c>
      <x:c r="G8" s="79" t="str">
        <x:v>Strengthens the class perk without duplicating its Skill Power reward.</x:v>
      </x:c>
      <x:c r="H8" s="79" t="str">
        <x:v>Verse and Chorus</x:v>
      </x:c>
      <x:c r="I8" s="79" t="str">
        <x:v>Once per turn, when you alternate Martial and Magic damaging skills, the second skill restores 2 to the lower protection pool. If both pools are full, it gains +10 Skill Power instead.</x:v>
      </x:c>
      <x:c r="J8" s="79" t="str">
        <x:v>Fortify/Ward effects heal current protection and raise temporary maximum; restoration cannot exceed normal maximum.</x:v>
      </x:c>
    </x:row>
    <x:row r="9">
      <x:c r="A9" s="79" t="str">
        <x:v>Peregrine Falcon</x:v>
      </x:c>
      <x:c r="B9" s="79" t="str">
        <x:v>Skyfall Precision</x:v>
      </x:c>
      <x:c r="C9" s="79" t="str">
        <x:v>If acting before the target, your first Finesse Weapon Skill 1 or 2 each turn ignores 4 Guard.</x:v>
      </x:c>
      <x:c r="D9" s="79" t="str">
        <x:v>Once per turn; flat and percentage penetration still follow the normal penetration order.</x:v>
      </x:c>
      <x:c r="E9" s="79" t="str">
        <x:v>Precision</x:v>
      </x:c>
      <x:c r="F9" s="79" t="str">
        <x:v>Dagger Pinion, Talon Blade, Bow and Greatbow.</x:v>
      </x:c>
      <x:c r="G9" s="79" t="str">
        <x:v>Converted percentage Guard ignore into controlled flat penetration.</x:v>
      </x:c>
      <x:c r="H9" s="79" t="str">
        <x:v>Rogue Tempo</x:v>
      </x:c>
      <x:c r="I9" s="79" t="str">
        <x:v>Once per turn, if acting before the target, your first Weapon Skill 1 gains +10 Precision. If that skill breaks Armour, gain Minor Agility Up (+4 Agility) until the start of your next turn.</x:v>
      </x:c>
      <x:c r="J9" s="79" t="str">
        <x:v>Fortify/Ward effects heal current protection and raise temporary maximum; restoration cannot exceed normal maximum.</x:v>
      </x:c>
    </x:row>
    <x:row r="10">
      <x:c r="A10" s="79" t="str">
        <x:v>Snowy Owl</x:v>
      </x:c>
      <x:c r="B10" s="79" t="str">
        <x:v>Frost-Sight Vigil</x:v>
      </x:c>
      <x:c r="C10" s="79" t="str">
        <x:v>After applying Chilled, your next Magic weapon skill gains +20 Skill Power against Magic Armour.</x:v>
      </x:c>
      <x:c r="D10" s="79" t="str">
        <x:v>2-turn cooldown; consumed on hit or miss; bonus does not increase Health damage.</x:v>
      </x:c>
      <x:c r="E10" s="79" t="str">
        <x:v>Armour, Magic Armour, Ailment, Skill Power</x:v>
      </x:c>
      <x:c r="F10" s="79" t="str">
        <x:v>Frost-infused Staffs, Orbs and Runewoven equipment.</x:v>
      </x:c>
      <x:c r="G10" s="79" t="str">
        <x:v>Chilled remains gated by Magic Armour.</x:v>
      </x:c>
      <x:c r="H10" s="79" t="str">
        <x:v>Arcane Pressure</x:v>
      </x:c>
      <x:c r="I10" s="79" t="str">
        <x:v>The first Magic weapon skill you use each turn deals 10% additional damage to Magic Armour only. This bonus does not increase Health damage.</x:v>
      </x:c>
      <x:c r="J10" s="79" t="str">
        <x:v>Fortify/Ward effects heal current protection and raise temporary maximum; restoration cannot exceed normal maximum.</x:v>
      </x:c>
    </x:row>
    <x:row r="11">
      <x:c r="A11" s="79" t="str">
        <x:v>Kiwi</x:v>
      </x:c>
      <x:c r="B11" s="79" t="str">
        <x:v>Night Forager</x:v>
      </x:c>
      <x:c r="C11" s="79" t="str">
        <x:v>Your first physical weapon hit each turn against a debuffed or Marked target ignores 4 Guard.</x:v>
      </x:c>
      <x:c r="D11" s="79" t="str">
        <x:v>Once per turn; total penetration remains subject to the normal cap.</x:v>
      </x:c>
      <x:c r="E11" s="79" t="str">
        <x:v>Precision</x:v>
      </x:c>
      <x:c r="F11" s="79" t="str">
        <x:v>War Scythe, Bell Sceptre hybrids and Judgement Leech.</x:v>
      </x:c>
      <x:c r="G11" s="79" t="str">
        <x:v>Supports both debuff and Mark builds.</x:v>
      </x:c>
      <x:c r="H11" s="79" t="str">
        <x:v>Judgement Leech</x:v>
      </x:c>
      <x:c r="I11" s="79" t="str">
        <x:v>Once per turn after a damaging skill hits an ailmented, debuffed or Marked target, restore 2 to the lower of Armour or Magic Armour, capped at its normal maximum. If both pools are full, heal 5% Maximum Health.</x:v>
      </x:c>
      <x:c r="J11" s="79" t="str">
        <x:v>Fortify/Ward effects heal current protection and raise temporary maximum; restoration cannot exceed normal maximum.</x:v>
      </x:c>
    </x:row>
    <x:row r="12">
      <x:c r="A12" s="79" t="str">
        <x:v>Black Cockatoo</x:v>
      </x:c>
      <x:c r="B12" s="79" t="str">
        <x:v>Ashen Rhythm</x:v>
      </x:c>
      <x:c r="C12" s="79" t="str">
        <x:v>After using a song or call, your next Magic damaging skill deals 2 additional Magic Armour damage. If it damages Health, apply -10 Precision for 1 turn.</x:v>
      </x:c>
      <x:c r="D12" s="79" t="str">
        <x:v>2-turn cooldown; the debuff remains blocked if Magic Armour was not depleted.</x:v>
      </x:c>
      <x:c r="E12" s="79" t="str">
        <x:v>Armour, Magic Armour, Precision</x:v>
      </x:c>
      <x:c r="F12" s="79" t="str">
        <x:v>Lament Song, Bard Song, Crystalwind and Nightweave.</x:v>
      </x:c>
      <x:c r="G12" s="79" t="str">
        <x:v>Replaces generic Damage Down and Precision tier wording.</x:v>
      </x:c>
      <x:c r="H12" s="79" t="str">
        <x:v>Verse and Chorus</x:v>
      </x:c>
      <x:c r="I12" s="79" t="str">
        <x:v>Once per turn, when you alternate Martial and Magic damaging skills, the second skill restores 2 to the lower protection pool. If both pools are full, it gains +10 Skill Power instead.</x:v>
      </x:c>
      <x:c r="J12" s="79" t="str">
        <x:v>Fortify/Ward effects heal current protection and raise temporary maximum; restoration cannot exceed normal maximum.</x:v>
      </x:c>
    </x:row>
    <x:row r="13">
      <x:c r="A13" s="79" t="str">
        <x:v>Crow</x:v>
      </x:c>
      <x:c r="B13" s="79" t="str">
        <x:v>Carrion Guard</x:v>
      </x:c>
      <x:c r="C13" s="79" t="str">
        <x:v>Once per turn after Armour absorbs physical damage, your next weapon skill deals 10% additional damage to Armour. If that hit damages Health, it may apply Minor Might Down (-4 Might) for 1 turn.</x:v>
      </x:c>
      <x:c r="D13" s="79" t="str">
        <x:v>Once per turn; the Might debuff requires Armour to be depleted and Health to be damaged.</x:v>
      </x:c>
      <x:c r="E13" s="79" t="str">
        <x:v>Armour, Restoration</x:v>
      </x:c>
      <x:c r="F13" s="79" t="str">
        <x:v>Ironfeather, shields, Beak Hammer and Bulwark Oath.</x:v>
      </x:c>
      <x:c r="G13" s="79" t="str">
        <x:v>Replaces Brace and Barrier triggers.</x:v>
      </x:c>
      <x:c r="H13" s="79" t="str">
        <x:v>Bulwark Oath</x:v>
      </x:c>
      <x:c r="I13" s="79" t="str">
        <x:v>Once per turn, after using Armour Restoration or Fortify, gain Minor Guard Up (+4 Guard) until the start of your next turn.</x:v>
      </x:c>
      <x:c r="J13" s="79" t="str">
        <x:v>Fortify/Ward effects heal current protection and raise temporary maximum; restoration cannot exceed normal maximum.</x:v>
      </x:c>
    </x:row>
    <x:row r="14">
      <x:c r="A14" s="79" t="str">
        <x:v>Kookaburra</x:v>
      </x:c>
      <x:c r="B14" s="79" t="str">
        <x:v>Gallows Laugh</x:v>
      </x:c>
      <x:c r="C14" s="79" t="str">
        <x:v>After successfully applying a stat debuff, your next magical ailment or debuff against that target gains +10 percentage points application chance.</x:v>
      </x:c>
      <x:c r="D14" s="79" t="str">
        <x:v>2-turn cooldown; does not bypass Magic Armour or recursively trigger Cursed Call.</x:v>
      </x:c>
      <x:c r="E14" s="79" t="str">
        <x:v>Armour, Magic Armour, Ailment, Precision</x:v>
      </x:c>
      <x:c r="F14" s="79" t="str">
        <x:v>Hexwood Wand, Lament Song and Siren ailment equipment.</x:v>
      </x:c>
      <x:c r="G14" s="79" t="str">
        <x:v>Retains the Gallows Laugh setup identity.</x:v>
      </x:c>
      <x:c r="H14" s="79" t="str">
        <x:v>Cursed Call</x:v>
      </x:c>
      <x:c r="I14" s="79" t="str">
        <x:v>Once per turn after you break Magic Armour, the next ailment or stat debuff you apply to that target gains +10 percentage points application chance and lasts 1 additional turn.</x:v>
      </x:c>
      <x:c r="J14" s="79" t="str">
        <x:v>Fortify/Ward effects heal current protection and raise temporary maximum; restoration cannot exceed normal maximum.</x:v>
      </x:c>
    </x:row>
    <x:row r="15">
      <x:c r="A15" s="79" t="str">
        <x:v>Lyrebird</x:v>
      </x:c>
      <x:c r="B15" s="79" t="str">
        <x:v>Mimic Court</x:v>
      </x:c>
      <x:c r="C15" s="79" t="str">
        <x:v>The first time each combat a song grants Might Up or Focus Up, also gain the other stat at Minor tier (+4) for the same duration and restore 2 Magic Armour.</x:v>
      </x:c>
      <x:c r="D15" s="79" t="str">
        <x:v>Once per combat; only copies Might Up or Focus Up.</x:v>
      </x:c>
      <x:c r="E15" s="79" t="str">
        <x:v>Armour, Magic Armour, Restoration</x:v>
      </x:c>
      <x:c r="F15" s="79" t="str">
        <x:v>Bard Song, mixed weapons and Runewoven equipment.</x:v>
      </x:c>
      <x:c r="G15" s="79" t="str">
        <x:v>Keeps a bounded mimic rule.</x:v>
      </x:c>
      <x:c r="H15" s="79" t="str">
        <x:v>Verse and Chorus</x:v>
      </x:c>
      <x:c r="I15" s="79" t="str">
        <x:v>Once per turn, when you alternate Martial and Magic damaging skills, the second skill restores 2 to the lower protection pool. If both pools are full, it gains +10 Skill Power instead.</x:v>
      </x:c>
      <x:c r="J15" s="79" t="str">
        <x:v>Fortify/Ward effects heal current protection and raise temporary maximum; restoration cannot exceed normal maximum.</x:v>
      </x:c>
    </x:row>
    <x:row r="16">
      <x:c r="A16" s="79" t="str">
        <x:v>Raven</x:v>
      </x:c>
      <x:c r="B16" s="79" t="str">
        <x:v>Omen King</x:v>
      </x:c>
      <x:c r="C16" s="79" t="str">
        <x:v>The first stat debuff you successfully apply each turn also deals 2 Magic Armour damage. If the target already has no Magic Armour, it instead applies -10 Precision for 1 turn.</x:v>
      </x:c>
      <x:c r="D16" s="79" t="str">
        <x:v>Once per turn; strongest Precision Down value applies.</x:v>
      </x:c>
      <x:c r="E16" s="79" t="str">
        <x:v>Armour, Magic Armour, Precision</x:v>
      </x:c>
      <x:c r="F16" s="79" t="str">
        <x:v>Lament Song, Hexwood Wand and Nightweave.</x:v>
      </x:c>
      <x:c r="G16" s="79" t="str">
        <x:v>Does not bypass Magic Armour.</x:v>
      </x:c>
      <x:c r="H16" s="79" t="str">
        <x:v>Cursed Call</x:v>
      </x:c>
      <x:c r="I16" s="79" t="str">
        <x:v>Once per turn after you break Magic Armour, the next ailment or stat debuff you apply to that target gains +10 percentage points application chance and lasts 1 additional turn.</x:v>
      </x:c>
      <x:c r="J16" s="79" t="str">
        <x:v>Fortify/Ward effects heal current protection and raise temporary maximum; restoration cannot exceed normal maximum.</x:v>
      </x:c>
    </x:row>
    <x:row r="17">
      <x:c r="A17" s="79" t="str">
        <x:v>Magpie</x:v>
      </x:c>
      <x:c r="B17" s="79" t="str">
        <x:v>Silver Swoop</x:v>
      </x:c>
      <x:c r="C17" s="79" t="str">
        <x:v>After successfully applying Precision Down, your next Finesse weapon skill gains +10 Skill Power against Armour and +10 Precision.</x:v>
      </x:c>
      <x:c r="D17" s="79" t="str">
        <x:v>Once per turn; consumed on hit or miss.</x:v>
      </x:c>
      <x:c r="E17" s="79" t="str">
        <x:v>Armour, Skill Power, Precision</x:v>
      </x:c>
      <x:c r="F17" s="79" t="str">
        <x:v>Dagger Pinion, Talon Blade and Shadowplume.</x:v>
      </x:c>
      <x:c r="G17" s="79" t="str">
        <x:v>Replaces generic Martial Damage Up.</x:v>
      </x:c>
      <x:c r="H17" s="79" t="str">
        <x:v>Rogue Tempo</x:v>
      </x:c>
      <x:c r="I17" s="79" t="str">
        <x:v>Once per turn, if acting before the target, your first Weapon Skill 1 gains +10 Precision. If that skill breaks Armour, gain Minor Agility Up (+4 Agility) until the start of your next turn.</x:v>
      </x:c>
      <x:c r="J17" s="79" t="str">
        <x:v>Fortify/Ward effects heal current protection and raise temporary maximum; restoration cannot exceed normal maximum.</x:v>
      </x:c>
    </x:row>
    <x:row r="18">
      <x:c r="A18" s="79" t="str">
        <x:v>Robin</x:v>
      </x:c>
      <x:c r="B18" s="79" t="str">
        <x:v>Dawn-Breast Vow</x:v>
      </x:c>
      <x:c r="C18" s="79" t="str">
        <x:v>After using a support utility, your next Day damaging skill gains +10 Skill Power and restores 2 Magic Armour on hit, capped at its normal maximum.</x:v>
      </x:c>
      <x:c r="D18" s="79" t="str">
        <x:v>Once per turn; consumed on hit or miss.</x:v>
      </x:c>
      <x:c r="E18" s="79" t="str">
        <x:v>Armour, Magic Armour, Restoration, Skill Power</x:v>
      </x:c>
      <x:c r="F18" s="79" t="str">
        <x:v>Day weapons, Dawnfeather and Bard support skills.</x:v>
      </x:c>
      <x:c r="G18" s="79" t="str">
        <x:v>Creates a support-to-offence loop without broad Damage Up.</x:v>
      </x:c>
      <x:c r="H18" s="79" t="str">
        <x:v>Verse and Chorus</x:v>
      </x:c>
      <x:c r="I18" s="79" t="str">
        <x:v>Once per turn, when you alternate Martial and Magic damaging skills, the second skill restores 2 to the lower protection pool. If both pools are full, it gains +10 Skill Power instead.</x:v>
      </x:c>
      <x:c r="J18" s="79" t="str">
        <x:v>Fortify/Ward effects heal current protection and raise temporary maximum; restoration cannot exceed normal maximum.</x:v>
      </x:c>
    </x:row>
    <x:row r="19">
      <x:c r="A19" s="79" t="str">
        <x:v>Bowerbird</x:v>
      </x:c>
      <x:c r="B19" s="79" t="str">
        <x:v>Jewel Lure</x:v>
      </x:c>
      <x:c r="C19" s="79" t="str">
        <x:v>After using Jewel Display, your next Magic hit deals 2 additional Magic Armour damage. If it damages Health, its ailment or debuff gains +10 percentage points application chance.</x:v>
      </x:c>
      <x:c r="D19" s="79" t="str">
        <x:v>Once per turn; consumed on hit or miss.</x:v>
      </x:c>
      <x:c r="E19" s="79" t="str">
        <x:v>Armour, Magic Armour, Ailment</x:v>
      </x:c>
      <x:c r="F19" s="79" t="str">
        <x:v>Focus Orb, Hexwood Wand and Siren equipment.</x:v>
      </x:c>
      <x:c r="G19" s="79" t="str">
        <x:v>Jewel Mark is a Mark, not an ailment.</x:v>
      </x:c>
      <x:c r="H19" s="79" t="str">
        <x:v>Cursed Call</x:v>
      </x:c>
      <x:c r="I19" s="79" t="str">
        <x:v>Once per turn after you break Magic Armour, the next ailment or stat debuff you apply to that target gains +10 percentage points application chance and lasts 1 additional turn.</x:v>
      </x:c>
      <x:c r="J19" s="79" t="str">
        <x:v>Fortify/Ward effects heal current protection and raise temporary maximum; restoration cannot exceed normal maximum.</x:v>
      </x:c>
    </x:row>
    <x:row r="20">
      <x:c r="A20" s="79" t="str">
        <x:v>Toucan</x:v>
      </x:c>
      <x:c r="B20" s="79" t="str">
        <x:v>Sunfruit Boast</x:v>
      </x:c>
      <x:c r="C20" s="79" t="str">
        <x:v>After using a Day action, your next song or call restores 2 to the lower protection pool and gains +10 Precision.</x:v>
      </x:c>
      <x:c r="D20" s="79" t="str">
        <x:v>Once per turn.</x:v>
      </x:c>
      <x:c r="E20" s="79" t="str">
        <x:v>Restoration, Precision</x:v>
      </x:c>
      <x:c r="F20" s="79" t="str">
        <x:v>Bard Song, Talon Blade and mixed Day loadouts.</x:v>
      </x:c>
      <x:c r="G20" s="79" t="str">
        <x:v>Supports flexible affinity and hybrid equipment.</x:v>
      </x:c>
      <x:c r="H20" s="79" t="str">
        <x:v>Verse and Chorus</x:v>
      </x:c>
      <x:c r="I20" s="79" t="str">
        <x:v>Once per turn, when you alternate Martial and Magic damaging skills, the second skill restores 2 to the lower protection pool. If both pools are full, it gains +10 Skill Power instead.</x:v>
      </x:c>
      <x:c r="J20" s="79" t="str">
        <x:v>Fortify/Ward effects heal current protection and raise temporary maximum; restoration cannot exceed normal maximum.</x:v>
      </x:c>
    </x:row>
    <x:row r="21">
      <x:c r="A21" s="79" t="str">
        <x:v>Swan</x:v>
      </x:c>
      <x:c r="B21" s="79" t="str">
        <x:v>Mirrorlake Oath</x:v>
      </x:c>
      <x:c r="C21" s="79" t="str">
        <x:v>The first time each turn you take damage while above 50% Health, restore 2 Magic Armour, capped at its normal maximum. If Magic Armour is already full, gain Minor Resolve Up (+4 Resolve) until the start of your next turn.</x:v>
      </x:c>
      <x:c r="D21" s="79" t="str">
        <x:v>Once per turn.</x:v>
      </x:c>
      <x:c r="E21" s="79" t="str">
        <x:v>Armour, Magic Armour, Restoration, Ward</x:v>
      </x:c>
      <x:c r="F21" s="79" t="str">
        <x:v>Runewoven, Layered Scale and shield builds.</x:v>
      </x:c>
      <x:c r="G21" s="79" t="str">
        <x:v>Replaces the legacy Health-based Barrier.</x:v>
      </x:c>
      <x:c r="H21" s="79" t="str">
        <x:v>Bulwark Oath</x:v>
      </x:c>
      <x:c r="I21" s="79" t="str">
        <x:v>Once per turn, after using Armour Restoration or Fortify, gain Minor Guard Up (+4 Guard) until the start of your next turn.</x:v>
      </x:c>
      <x:c r="J21" s="79" t="str">
        <x:v>Fortify/Ward effects heal current protection and raise temporary maximum; restoration cannot exceed normal maximum.</x:v>
      </x:c>
    </x:row>
    <x:row r="22">
      <x:c r="A22" s="79" t="str">
        <x:v>Flamingo</x:v>
      </x:c>
      <x:c r="B22" s="79" t="str">
        <x:v>Elegant Balance</x:v>
      </x:c>
      <x:c r="C22" s="79" t="str">
        <x:v>After successfully applying a debuff, gain Minor Agility Up (+4 Agility) until the start of your next turn and restore 1 Magic Armour.</x:v>
      </x:c>
      <x:c r="D22" s="79" t="str">
        <x:v>Once per turn.</x:v>
      </x:c>
      <x:c r="E22" s="79" t="str">
        <x:v>Armour, Magic Armour, Restoration</x:v>
      </x:c>
      <x:c r="F22" s="79" t="str">
        <x:v>Crystalwind, Focus Orb and Siren tempo builds.</x:v>
      </x:c>
      <x:c r="G22" s="79" t="str">
        <x:v>Evasion wording replaced with Agility.</x:v>
      </x:c>
      <x:c r="H22" s="79" t="str">
        <x:v>Cursed Call</x:v>
      </x:c>
      <x:c r="I22" s="79" t="str">
        <x:v>Once per turn after you break Magic Armour, the next ailment or stat debuff you apply to that target gains +10 percentage points application chance and lasts 1 additional turn.</x:v>
      </x:c>
      <x:c r="J22" s="79" t="str">
        <x:v>Fortify/Ward effects heal current protection and raise temporary maximum; restoration cannot exceed normal maximum.</x:v>
      </x:c>
    </x:row>
    <x:row r="23">
      <x:c r="A23" s="79" t="str">
        <x:v>Secretary Bird</x:v>
      </x:c>
      <x:c r="B23" s="79" t="str">
        <x:v>Serpent-Bane Writ</x:v>
      </x:c>
      <x:c r="C23" s="79" t="str">
        <x:v>Once per turn after Armour absorbs physical damage, your next Strength weapon skill gains +10 Skill Power against Armour.</x:v>
      </x:c>
      <x:c r="D23" s="79" t="str">
        <x:v>Once per turn; consumed on hit or miss.</x:v>
      </x:c>
      <x:c r="E23" s="79" t="str">
        <x:v>Armour, Skill Power, Precision</x:v>
      </x:c>
      <x:c r="F23" s="79" t="str">
        <x:v>Lance, Beak Hammer and Ironfeather.</x:v>
      </x:c>
      <x:c r="G23" s="79" t="str">
        <x:v>Supports a mobile Knight identity without generic Damage Up.</x:v>
      </x:c>
      <x:c r="H23" s="79" t="str">
        <x:v>Bulwark Oath</x:v>
      </x:c>
      <x:c r="I23" s="79" t="str">
        <x:v>Once per turn, after using Armour Restoration or Fortify, gain Minor Guard Up (+4 Guard) until the start of your next turn.</x:v>
      </x:c>
      <x:c r="J23" s="79" t="str">
        <x:v>Fortify/Ward effects heal current protection and raise temporary maximum; restoration cannot exceed normal maximum.</x:v>
      </x:c>
    </x:row>
    <x:row r="24">
      <x:c r="A24" s="79" t="str">
        <x:v>Albatross</x:v>
      </x:c>
      <x:c r="B24" s="79" t="str">
        <x:v>Horizon Oath</x:v>
      </x:c>
      <x:c r="C24" s="79" t="str">
        <x:v>After using a Magic action, restore 2 Magic Armour. If Magic Armour is full, gain +10 Precision until the start of your next turn.</x:v>
      </x:c>
      <x:c r="D24" s="79" t="str">
        <x:v>Once per turn.</x:v>
      </x:c>
      <x:c r="E24" s="79" t="str">
        <x:v>Armour, Magic Armour, Restoration, Precision</x:v>
      </x:c>
      <x:c r="F24" s="79" t="str">
        <x:v>Bell Sceptre, Focus Orb and Dawnfeather.</x:v>
      </x:c>
      <x:c r="G24" s="79" t="str">
        <x:v>Connects Inquisitor sustain to the new protection pools.</x:v>
      </x:c>
      <x:c r="H24" s="79" t="str">
        <x:v>Judgement Leech</x:v>
      </x:c>
      <x:c r="I24" s="79" t="str">
        <x:v>Once per turn after a damaging skill hits an ailmented, debuffed or Marked target, restore 2 to the lower of Armour or Magic Armour, capped at its normal maximum. If both pools are full, heal 5% Maximum Health.</x:v>
      </x:c>
      <x:c r="J24" s="79" t="str">
        <x:v>Fortify/Ward effects heal current protection and raise temporary maximum; restoration cannot exceed normal maximum.</x:v>
      </x:c>
    </x:row>
    <x:row r="25">
      <x:c r="A25" s="79" t="str">
        <x:v>Seagull</x:v>
      </x:c>
      <x:c r="B25" s="79" t="str">
        <x:v>Dockside Raider</x:v>
      </x:c>
      <x:c r="C25" s="79" t="str">
        <x:v>After damaging a debuffed or Marked target, restore 1 to the lower protection pool and gain Minor Agility Up (+4 Agility) until the start of your next turn.</x:v>
      </x:c>
      <x:c r="D25" s="79" t="str">
        <x:v>Once per turn.</x:v>
      </x:c>
      <x:c r="E25" s="79" t="str">
        <x:v>Restoration</x:v>
      </x:c>
      <x:c r="F25" s="79" t="str">
        <x:v>Light gear, marks and Rogue Tempo.</x:v>
      </x:c>
      <x:c r="G25" s="79" t="str">
        <x:v>Maintains scavenger sustain without Barrier.</x:v>
      </x:c>
      <x:c r="H25" s="79" t="str">
        <x:v>Rogue Tempo</x:v>
      </x:c>
      <x:c r="I25" s="79" t="str">
        <x:v>Once per turn, if acting before the target, your first Weapon Skill 1 gains +10 Precision. If that skill breaks Armour, gain Minor Agility Up (+4 Agility) until the start of your next turn.</x:v>
      </x:c>
      <x:c r="J25" s="79" t="str">
        <x:v>Fortify/Ward effects heal current protection and raise temporary maximum; restoration cannot exceed normal maximum.</x:v>
      </x:c>
    </x:row>
    <x:row r="26">
      <x:c r="A26" s="79" t="str">
        <x:v>Goose</x:v>
      </x:c>
      <x:c r="B26" s="79" t="str">
        <x:v>Marshlord Challenge</x:v>
      </x:c>
      <x:c r="C26" s="79" t="str">
        <x:v>The first time each turn Armour absorbs physical damage, restore 1 Armour after the hit, capped at normal Maximum Armour.</x:v>
      </x:c>
      <x:c r="D26" s="79" t="str">
        <x:v>Once per turn.</x:v>
      </x:c>
      <x:c r="E26" s="79" t="str">
        <x:v>Armour, Magic Armour, Restoration</x:v>
      </x:c>
      <x:c r="F26" s="79" t="str">
        <x:v>Ironfeather, shields and Crushing Momentum.</x:v>
      </x:c>
      <x:c r="G26" s="79" t="str">
        <x:v>No separate Brute passive or hidden multiplier.</x:v>
      </x:c>
      <x:c r="H26" s="79" t="str">
        <x:v>Crushing Momentum</x:v>
      </x:c>
      <x:c r="I26" s="79" t="str">
        <x:v>Once per turn after Armour absorbs physical damage, your next Strength weapon skill gains +10 Skill Power.</x:v>
      </x:c>
      <x:c r="J26" s="79" t="str">
        <x:v>Fortify/Ward effects heal current protection and raise temporary maximum; restoration cannot exceed normal maximum.</x:v>
      </x:c>
    </x:row>
    <x:row r="27">
      <x:c r="A27" s="79" t="str">
        <x:v>Shoebill Stork</x:v>
      </x:c>
      <x:c r="B27" s="79" t="str">
        <x:v>Boghammer Patience</x:v>
      </x:c>
      <x:c r="C27" s="79" t="str">
        <x:v>If you did not use a damaging action during your previous turn, your next Strength weapon skill gains +20 Skill Power and deals 2 additional Armour damage.</x:v>
      </x:c>
      <x:c r="D27" s="79" t="str">
        <x:v>Consumed on hit or miss; cannot trigger on the first turn.</x:v>
      </x:c>
      <x:c r="E27" s="79" t="str">
        <x:v>Armour, Fortify, Skill Power</x:v>
      </x:c>
      <x:c r="F27" s="79" t="str">
        <x:v>Beak Hammer, Greatblade and heavy equipment.</x:v>
      </x:c>
      <x:c r="G27" s="79" t="str">
        <x:v>Patience trades tempo for a stronger Armour-breaking turn.</x:v>
      </x:c>
      <x:c r="H27" s="79" t="str">
        <x:v>Crushing Momentum</x:v>
      </x:c>
      <x:c r="I27" s="79" t="str">
        <x:v>Once per turn after Armour absorbs physical damage, your next Strength weapon skill gains +10 Skill Power.</x:v>
      </x:c>
      <x:c r="J27" s="79" t="str">
        <x:v>Fortify/Ward effects heal current protection and raise temporary maximum; restoration cannot exceed normal maximum.</x:v>
      </x:c>
    </x:row>
    <x:row r="28">
      <x:c r="A28" s="79" t="str">
        <x:v>Harpy Eagle</x:v>
      </x:c>
      <x:c r="B28" s="79" t="str">
        <x:v>Canopy Claim</x:v>
      </x:c>
      <x:c r="C28" s="79" t="str">
        <x:v>Your first Finesse weapon skill after using Predator Grip ignores 4 Guard and deals 2 additional Armour damage.</x:v>
      </x:c>
      <x:c r="D28" s="79" t="str">
        <x:v>Consumed on hit or miss; penetration remains subject to the normal cap.</x:v>
      </x:c>
      <x:c r="E28" s="79" t="str">
        <x:v>Armour, Precision</x:v>
      </x:c>
      <x:c r="F28" s="79" t="str">
        <x:v>Greatbow, Talon Blade and Shadowplume.</x:v>
      </x:c>
      <x:c r="G28" s="79" t="str">
        <x:v>Predator Mark is not a stat debuff.</x:v>
      </x:c>
      <x:c r="H28" s="79" t="str">
        <x:v>Rogue Tempo</x:v>
      </x:c>
      <x:c r="I28" s="79" t="str">
        <x:v>Once per turn, if acting before the target, your first Weapon Skill 1 gains +10 Precision. If that skill breaks Armour, gain Minor Agility Up (+4 Agility) until the start of your next turn.</x:v>
      </x:c>
      <x:c r="J28" s="79" t="str">
        <x:v>Fortify/Ward effects heal current protection and raise temporary maximum; restoration cannot exceed normal maximum.</x:v>
      </x:c>
    </x:row>
    <x:row r="29">
      <x:c r="A29" s="79" t="str">
        <x:v>Bald Eagle</x:v>
      </x:c>
      <x:c r="B29" s="79" t="str">
        <x:v>Predatory Focus</x:v>
      </x:c>
      <x:c r="C29" s="79" t="str">
        <x:v>After landing a critical hit, restore 2 to the lower protection pool. If both pools are full, gain +10 Precision until the start of your next turn.</x:v>
      </x:c>
      <x:c r="D29" s="79" t="str">
        <x:v>Once per turn.</x:v>
      </x:c>
      <x:c r="E29" s="79" t="str">
        <x:v>Armour, Magic Armour, Restoration, Fortify, Ward, Precision</x:v>
      </x:c>
      <x:c r="F29" s="79" t="str">
        <x:v>Balanced defensive sets and Judgement Leech.</x:v>
      </x:c>
      <x:c r="G29" s="79" t="str">
        <x:v>Replaces the legacy Barrier with a small dual-pool Aegis.</x:v>
      </x:c>
      <x:c r="H29" s="79" t="str">
        <x:v>Judgement Leech</x:v>
      </x:c>
      <x:c r="I29" s="79" t="str">
        <x:v>Once per turn after a damaging skill hits an ailmented, debuffed or Marked target, restore 2 to the lower of Armour or Magic Armour, capped at its normal maximum. If both pools are full, heal 5% Maximum Health.</x:v>
      </x:c>
      <x:c r="J29" s="79" t="str">
        <x:v>Fortify/Ward effects heal current protection and raise temporary maximum; restoration cannot exceed normal maximum.</x:v>
      </x:c>
    </x:row>
    <x:row r="30">
      <x:c r="A30" s="79" t="str">
        <x:v>Emperor Penguin</x:v>
      </x:c>
      <x:c r="B30" s="79" t="str">
        <x:v>Polar Resilience</x:v>
      </x:c>
      <x:c r="C30" s="79" t="str">
        <x:v>After successfully applying Chilled, restore 2 Magic Armour. If Magic Armour is full, gain Minor Resolve Up (+4 Resolve) until the start of your next turn.</x:v>
      </x:c>
      <x:c r="D30" s="79" t="str">
        <x:v>Once per turn.</x:v>
      </x:c>
      <x:c r="E30" s="79" t="str">
        <x:v>Armour, Magic Armour, Restoration, Ward, Ailment</x:v>
      </x:c>
      <x:c r="F30" s="79" t="str">
        <x:v>Frost infusion, Runewoven and Judgement Leech.</x:v>
      </x:c>
      <x:c r="G30" s="79" t="str">
        <x:v>Retaliation damages protection and does not bypass ailment gates.</x:v>
      </x:c>
      <x:c r="H30" s="79" t="str">
        <x:v>Judgement Leech</x:v>
      </x:c>
      <x:c r="I30" s="79" t="str">
        <x:v>Once per turn after a damaging skill hits an ailmented, debuffed or Marked target, restore 2 to the lower of Armour or Magic Armour, capped at its normal maximum. If both pools are full, heal 5% Maximum Health.</x:v>
      </x:c>
      <x:c r="J30" s="79" t="str">
        <x:v>Fortify/Ward effects heal current protection and raise temporary maximum; restoration cannot exceed normal maximum.</x:v>
      </x:c>
    </x:row>
    <x:row r="31">
      <x:c r="A31" s="79" t="str">
        <x:v>Ostrich</x:v>
      </x:c>
      <x:c r="B31" s="79" t="str">
        <x:v>Sand-King Momentum</x:v>
      </x:c>
      <x:c r="C31" s="79" t="str">
        <x:v>After using Momentum Charge, your next Strength weapon skill gains +20 Skill Power and +10 Precision.</x:v>
      </x:c>
      <x:c r="D31" s="79" t="str">
        <x:v>Consumed on hit or miss; controlled by the utility cooldown.</x:v>
      </x:c>
      <x:c r="E31" s="79" t="str">
        <x:v>Skill Power, Precision</x:v>
      </x:c>
      <x:c r="F31" s="79" t="str">
        <x:v>Greatblade, Lance and Crushing Momentum.</x:v>
      </x:c>
      <x:c r="G31" s="79" t="str">
        <x:v>Replaces generic Martial Damage Up.</x:v>
      </x:c>
      <x:c r="H31" s="79" t="str">
        <x:v>Crushing Momentum</x:v>
      </x:c>
      <x:c r="I31" s="79" t="str">
        <x:v>Once per turn after Armour absorbs physical damage, your next Strength weapon skill gains +10 Skill Power.</x:v>
      </x:c>
      <x:c r="J31" s="79" t="str">
        <x:v>Fortify/Ward effects heal current protection and raise temporary maximum; restoration cannot exceed normal maximum.</x:v>
      </x:c>
    </x:row>
    <x:row r="32">
      <x:c r="A32" s="79" t="str">
        <x:v>Cassowary</x:v>
      </x:c>
      <x:c r="B32" s="79" t="str">
        <x:v>Helmetbreaker Wrath</x:v>
      </x:c>
      <x:c r="C32" s="79" t="str">
        <x:v>Your first Strength weapon skill each turn against a Bleeding or Weakened target gains +10 percentage points Critical Chance and deals 2 additional Armour damage.</x:v>
      </x:c>
      <x:c r="D32" s="79" t="str">
        <x:v>Once per turn; condition must be true before the skill resolves.</x:v>
      </x:c>
      <x:c r="E32" s="79" t="str">
        <x:v>Armour, Ailment, Precision, Critical</x:v>
      </x:c>
      <x:c r="F32" s="79" t="str">
        <x:v>Beak Hammer, Greatblade and Blood infusion.</x:v>
      </x:c>
      <x:c r="G32" s="79" t="str">
        <x:v>Physical debuff requires Armour to be depleted.</x:v>
      </x:c>
      <x:c r="H32" s="79" t="str">
        <x:v>Crushing Momentum</x:v>
      </x:c>
      <x:c r="I32" s="79" t="str">
        <x:v>Once per turn after Armour absorbs physical damage, your next Strength weapon skill gains +10 Skill Power.</x:v>
      </x:c>
      <x:c r="J32" s="79" t="str">
        <x:v>Fortify/Ward effects heal current protection and raise temporary maximum; restoration cannot exceed normal maximum.</x:v>
      </x:c>
    </x:row>
    <x:row r="33">
      <x:c r="A33" s="79" t="str">
        <x:v>Emu</x:v>
      </x:c>
      <x:c r="B33" s="79" t="str">
        <x:v>Red-Dust Stampede</x:v>
      </x:c>
      <x:c r="C33" s="79" t="str">
        <x:v>After Armour absorbs physical damage, gain Minor Agility Up (+4 Agility) until the start of your next turn and your next Strength weapon skill gains +10 Precision.</x:v>
      </x:c>
      <x:c r="D33" s="79" t="str">
        <x:v>Once per turn.</x:v>
      </x:c>
      <x:c r="E33" s="79" t="str">
        <x:v>Armour, Restoration, Precision</x:v>
      </x:c>
      <x:c r="F33" s="79" t="str">
        <x:v>Heavy weapons with lighter armour variants.</x:v>
      </x:c>
      <x:c r="G33" s="79" t="str">
        <x:v>Evasion wording removed.</x:v>
      </x:c>
      <x:c r="H33" s="79" t="str">
        <x:v>Crushing Momentum</x:v>
      </x:c>
      <x:c r="I33" s="79" t="str">
        <x:v>Once per turn after Armour absorbs physical damage, your next Strength weapon skill gains +10 Skill Power.</x:v>
      </x:c>
      <x:c r="J33" s="79" t="str">
        <x:v>Fortify/Ward effects heal current protection and raise temporary maximum; restoration cannot exceed normal maximum.</x:v>
      </x:c>
    </x:row>
    <x:row r="34">
      <x:c r="A34" s="79" t="str">
        <x:v>Duke Blakiston</x:v>
      </x:c>
      <x:c r="B34" s="79" t="str">
        <x:v>Nightfall Sovereignty</x:v>
      </x:c>
      <x:c r="C34" s="79" t="str">
        <x:v>The first time each combat you fall below 50% Health, restore 25% of normal Maximum Armour and Magic Armour and gain Moderate Might Up (+10 Might) and Moderate Focus Up (+10 Focus) for 2 turns.</x:v>
      </x:c>
      <x:c r="D34" s="79" t="str">
        <x:v>Once per combat; distinct from Duke Ascension.</x:v>
      </x:c>
      <x:c r="E34" s="79" t="str">
        <x:v>Armour, Magic Armour, Restoration</x:v>
      </x:c>
      <x:c r="F34" s="79" t="str">
        <x:v>Curated Duke equipment and sequential encounters.</x:v>
      </x:c>
      <x:c r="G34" s="79" t="str">
        <x:v>Playable Duke passive remains distinct from the Duke class perk and boss override.</x:v>
      </x:c>
      <x:c r="H34" s="79" t="str">
        <x:v>Duke Ascension</x:v>
      </x:c>
      <x:c r="I34" s="79" t="str">
        <x:v>After defeating an enemy, restore 25% of normal Maximum Armour and Magic Armour and gain +5% all damage for the remainder of combat.</x:v>
      </x:c>
      <x:c r="J34" s="79" t="str">
        <x:v>Fortify/Ward effects heal current protection and raise temporary maximum; restoration cannot exceed normal maximum.</x:v>
      </x:c>
    </x:row>
    <x:row r="35">
      <x:c r="A35" s="79" t="str">
        <x:v>Wren</x:v>
      </x:c>
      <x:c r="B35" s="79" t="str">
        <x:v>Bramble Vanishing</x:v>
      </x:c>
      <x:c r="C35" s="79" t="str">
        <x:v>After you Dodge, your next Weapon Skill 1 gains +10 Precision. If it damages Health, apply -10 Precision to the target for 1 turn.</x:v>
      </x:c>
      <x:c r="D35" s="79" t="str">
        <x:v>Once per turn; consumed on hit.</x:v>
      </x:c>
      <x:c r="E35" s="79" t="str">
        <x:v>Armour, Restoration, Precision</x:v>
      </x:c>
      <x:c r="F35" s="79" t="str">
        <x:v>Dagger Pinion, Shadowplume and Rogue Tempo.</x:v>
      </x:c>
      <x:c r="G35" s="79" t="str">
        <x:v>Basic Attack and Evasion wording removed.</x:v>
      </x:c>
      <x:c r="H35" s="79" t="str">
        <x:v>Rogue Tempo</x:v>
      </x:c>
      <x:c r="I35" s="79" t="str">
        <x:v>Once per turn, if acting before the target, your first Weapon Skill 1 gains +10 Precision. If that skill breaks Armour, gain Minor Agility Up (+4 Agility) until the start of your next turn.</x:v>
      </x:c>
      <x:c r="J35" s="79" t="str">
        <x:v>Fortify/Ward effects heal current protection and raise temporary maximum; restoration cannot exceed normal maximum.</x:v>
      </x:c>
    </x:row>
    <x:row r="36">
      <x:c r="A36" s="79" t="str">
        <x:v>Superb Fairywren</x:v>
      </x:c>
      <x:c r="B36" s="79" t="str">
        <x:v>Azure Court Rhythm</x:v>
      </x:c>
      <x:c r="C36" s="79" t="str">
        <x:v>After a Magic damaging skill, your next Finesse damaging skill gains +5 percentage points Critical Chance and restores 1 to the lower protection pool on hit.</x:v>
      </x:c>
      <x:c r="D36" s="79" t="str">
        <x:v>Once per turn; consumed on hit or miss.</x:v>
      </x:c>
      <x:c r="E36" s="79" t="str">
        <x:v>Restoration, Critical</x:v>
      </x:c>
      <x:c r="F36" s="79" t="str">
        <x:v>Bard Song, Talon Blade and Crystalwind.</x:v>
      </x:c>
      <x:c r="G36" s="79" t="str">
        <x:v>Supports Verse and Chorus without duplicating its Skill Power option.</x:v>
      </x:c>
      <x:c r="H36" s="79" t="str">
        <x:v>Verse and Chorus</x:v>
      </x:c>
      <x:c r="I36" s="79" t="str">
        <x:v>Once per turn, when you alternate Martial and Magic damaging skills, the second skill restores 2 to the lower protection pool. If both pools are full, it gains +10 Skill Power instead.</x:v>
      </x:c>
      <x:c r="J36" s="79" t="str">
        <x:v>Fortify/Ward effects heal current protection and raise temporary maximum; restoration cannot exceed normal maximum.</x:v>
      </x:c>
    </x:row>
    <x:row r="37">
      <x:c r="A37" s="79" t="str">
        <x:v>Firecrest</x:v>
      </x:c>
      <x:c r="B37" s="79" t="str">
        <x:v>Kindled Crown</x:v>
      </x:c>
      <x:c r="C37" s="79" t="str">
        <x:v>Your first Day damaging skill each turn gains +5 percentage points Critical Chance and deals 2 additional Magic Armour damage.</x:v>
      </x:c>
      <x:c r="D37" s="79" t="str">
        <x:v>Once per turn.</x:v>
      </x:c>
      <x:c r="E37" s="79" t="str">
        <x:v>Armour, Magic Armour, Ailment, Critical</x:v>
      </x:c>
      <x:c r="F37" s="79" t="str">
        <x:v>Day weapons, Ember infusion and Rogue Tempo.</x:v>
      </x:c>
      <x:c r="G37" s="79" t="str">
        <x:v>Burn remains protected by Magic Armour.</x:v>
      </x:c>
      <x:c r="H37" s="79" t="str">
        <x:v>Rogue Tempo</x:v>
      </x:c>
      <x:c r="I37" s="79" t="str">
        <x:v>Once per turn, if acting before the target, your first Weapon Skill 1 gains +10 Precision. If that skill breaks Armour, gain Minor Agility Up (+4 Agility) until the start of your next turn.</x:v>
      </x:c>
      <x:c r="J37" s="79" t="str">
        <x:v>Fortify/Ward effects heal current protection and raise temporary maximum; restoration cannot exceed normal maximum.</x:v>
      </x:c>
    </x:row>
    <x:row r="38">
      <x:c r="A38" s="79" t="str">
        <x:v>Willie Wagtail</x:v>
      </x:c>
      <x:c r="B38" s="79" t="str">
        <x:v>Perilous Last Wag</x:v>
      </x:c>
      <x:c r="C38" s="79" t="str">
        <x:v>After an enemy attack resolves against you, gain Minor Agility Up (+4 Agility) until the start of your next turn. If you Dodged the attack, also restore 1 Armour.</x:v>
      </x:c>
      <x:c r="D38" s="79" t="str">
        <x:v>Once per turn.</x:v>
      </x:c>
      <x:c r="E38" s="79" t="str">
        <x:v>Armour, Restoration, Precision</x:v>
      </x:c>
      <x:c r="F38" s="79" t="str">
        <x:v>Light shields, Shadowplume and Finesse weapons.</x:v>
      </x:c>
      <x:c r="G38" s="79" t="str">
        <x:v>Evasion wording removed.</x:v>
      </x:c>
      <x:c r="H38" s="79" t="str">
        <x:v>Rogue Tempo</x:v>
      </x:c>
      <x:c r="I38" s="79" t="str">
        <x:v>Once per turn, if acting before the target, your first Weapon Skill 1 gains +10 Precision. If that skill breaks Armour, gain Minor Agility Up (+4 Agility) until the start of your next turn.</x:v>
      </x:c>
      <x:c r="J38" s="79" t="str">
        <x:v>Fortify/Ward effects heal current protection and raise temporary maximum; restoration cannot exceed normal maximum.</x:v>
      </x:c>
    </x:row>
    <x:row r="39">
      <x:c r="A39" s="79" t="str">
        <x:v>Galah</x:v>
      </x:c>
      <x:c r="B39" s="79" t="str">
        <x:v>Rosefeather Revel</x:v>
      </x:c>
      <x:c r="C39" s="79" t="str">
        <x:v>After using a song or call, restore 2 Magic Armour. If Magic Armour is full, gain Minor Agility Up (+4 Agility) until the start of your next turn.</x:v>
      </x:c>
      <x:c r="D39" s="79" t="str">
        <x:v>2-turn cooldown.</x:v>
      </x:c>
      <x:c r="E39" s="79" t="str">
        <x:v>Armour, Magic Armour, Restoration</x:v>
      </x:c>
      <x:c r="F39" s="79" t="str">
        <x:v>Bard Song, Lament Song and Crystalwind.</x:v>
      </x:c>
      <x:c r="G39" s="79" t="str">
        <x:v>Replaces Evasion and generic Damage Down.</x:v>
      </x:c>
      <x:c r="H39" s="79" t="str">
        <x:v>Verse and Chorus</x:v>
      </x:c>
      <x:c r="I39" s="79" t="str">
        <x:v>Once per turn, when you alternate Martial and Magic damaging skills, the second skill restores 2 to the lower protection pool. If both pools are full, it gains +10 Skill Power instead.</x:v>
      </x:c>
      <x:c r="J39" s="79" t="str">
        <x:v>Fortify/Ward effects heal current protection and raise temporary maximum; restoration cannot exceed normal maximum.</x:v>
      </x:c>
    </x:row>
    <x:row r="40">
      <x:c r="A40" s="79" t="str">
        <x:v>Blue Jay</x:v>
      </x:c>
      <x:c r="B40" s="79" t="str">
        <x:v>Cobalt Plunder</x:v>
      </x:c>
      <x:c r="C40" s="79" t="str">
        <x:v>The first time each turn a Storm damaging skill hits a debuffed or Marked target, gain 3 Ward Magic Armour for 1 turn.</x:v>
      </x:c>
      <x:c r="D40" s="79" t="str">
        <x:v>Once per turn; Ward follows the normal healing and overflow rules.</x:v>
      </x:c>
      <x:c r="E40" s="79" t="str">
        <x:v>Armour, Magic Armour, Restoration, Ward</x:v>
      </x:c>
      <x:c r="F40" s="79" t="str">
        <x:v>Storm weapons, Layered Scale and Judgement Leech.</x:v>
      </x:c>
      <x:c r="G40" s="79" t="str">
        <x:v>Replaces the legacy Barrier.</x:v>
      </x:c>
      <x:c r="H40" s="79" t="str">
        <x:v>Judgement Leech</x:v>
      </x:c>
      <x:c r="I40" s="79" t="str">
        <x:v>Once per turn after a damaging skill hits an ailmented, debuffed or Marked target, restore 2 to the lower of Armour or Magic Armour, capped at its normal maximum. If both pools are full, heal 5% Maximum Health.</x:v>
      </x:c>
      <x:c r="J40" s="79" t="str">
        <x:v>Fortify/Ward effects heal current protection and raise temporary maximum; restoration cannot exceed normal maximum.</x:v>
      </x:c>
    </x:row>
    <x:row r="41">
      <x:c r="A41" s="79" t="str">
        <x:v>Cardinal</x:v>
      </x:c>
      <x:c r="B41" s="79" t="str">
        <x:v>Crimson Benediction</x:v>
      </x:c>
      <x:c r="C41" s="79" t="str">
        <x:v>Your first Day Magic weapon skill each turn against a Burning target gains +20 Skill Power against Magic Armour. If it damages Health, heal 5% Maximum Health.</x:v>
      </x:c>
      <x:c r="D41" s="79" t="str">
        <x:v>Once per turn; the Skill Power bonus does not increase Health damage.</x:v>
      </x:c>
      <x:c r="E41" s="79" t="str">
        <x:v>Armour, Magic Armour, Restoration, Ailment, Skill Power</x:v>
      </x:c>
      <x:c r="F41" s="79" t="str">
        <x:v>Ember infusion, Wands and Dawnfeather.</x:v>
      </x:c>
      <x:c r="G41" s="79" t="str">
        <x:v>Replaces Moderate Damage Up.</x:v>
      </x:c>
      <x:c r="H41" s="79" t="str">
        <x:v>Arcane Pressure</x:v>
      </x:c>
      <x:c r="I41" s="79" t="str">
        <x:v>The first Magic weapon skill you use each turn deals 10% additional damage to Magic Armour only. This bonus does not increase Health damage.</x:v>
      </x:c>
      <x:c r="J41" s="79" t="str">
        <x:v>Fortify/Ward effects heal current protection and raise temporary maximum; restoration cannot exceed normal maximum.</x:v>
      </x:c>
    </x:row>
    <x:row r="42">
      <x:c r="A42" s="79" t="str">
        <x:v>Bush Turkey</x:v>
      </x:c>
      <x:c r="B42" s="79" t="str">
        <x:v>Mound-King Claim</x:v>
      </x:c>
      <x:c r="C42" s="79" t="str">
        <x:v>Once per turn, an Armour Restoration or Fortify skill you use grants 1 additional Armour.</x:v>
      </x:c>
      <x:c r="D42" s="79" t="str">
        <x:v>Once per turn; the additional point follows the original skill's normal cap or overflow rule.</x:v>
      </x:c>
      <x:c r="E42" s="79" t="str">
        <x:v>Armour, Fortify</x:v>
      </x:c>
      <x:c r="F42" s="79" t="str">
        <x:v>Ironfeather, shields and Bulwark Oath.</x:v>
      </x:c>
      <x:c r="G42" s="79" t="str">
        <x:v>Armour Technique and Brace wording removed.</x:v>
      </x:c>
      <x:c r="H42" s="79" t="str">
        <x:v>Bulwark Oath</x:v>
      </x:c>
      <x:c r="I42" s="79" t="str">
        <x:v>Once per turn, after using Armour Restoration or Fortify, gain Minor Guard Up (+4 Guard) until the start of your next turn.</x:v>
      </x:c>
      <x:c r="J42" s="79" t="str">
        <x:v>Fortify/Ward effects heal current protection and raise temporary maximum; restoration cannot exceed normal maximum.</x:v>
      </x:c>
    </x:row>
    <x:row r="43">
      <x:c r="A43" s="79" t="str">
        <x:v>Vulture</x:v>
      </x:c>
      <x:c r="B43" s="79" t="str">
        <x:v>Patient Scavenger</x:v>
      </x:c>
      <x:c r="C43" s="79" t="str">
        <x:v>While the target is below 50% Health, gain +10 Precision. The first time each turn you damage that target's Health, restore 1 to the lower protection pool.</x:v>
      </x:c>
      <x:c r="D43" s="79" t="str">
        <x:v>Condition is checked before each action; restoration is once per turn.</x:v>
      </x:c>
      <x:c r="E43" s="79" t="str">
        <x:v>Restoration, Ailment, Precision</x:v>
      </x:c>
      <x:c r="F43" s="79" t="str">
        <x:v>War Scythe, marks and Judgement Leech.</x:v>
      </x:c>
      <x:c r="G43" s="79" t="str">
        <x:v>Physical ailments restore Armour; magical ailments restore Magic Armour.</x:v>
      </x:c>
      <x:c r="H43" s="79" t="str">
        <x:v>Judgement Leech</x:v>
      </x:c>
      <x:c r="I43" s="79" t="str">
        <x:v>Once per turn after a damaging skill hits an ailmented, debuffed or Marked target, restore 2 to the lower of Armour or Magic Armour, capped at its normal maximum. If both pools are full, heal 5% Maximum Health.</x:v>
      </x:c>
      <x:c r="J43" s="79" t="str">
        <x:v>Fortify/Ward effects heal current protection and raise temporary maximum; restoration cannot exceed normal maximum.</x:v>
      </x:c>
    </x:row>
    <x:row r="44">
      <x:c r="A44" s="79" t="str">
        <x:v>Barn Owl</x:v>
      </x:c>
      <x:c r="B44" s="79" t="str">
        <x:v>Rafter-Moon Judgement</x:v>
      </x:c>
      <x:c r="C44" s="79" t="str">
        <x:v>If acting before the target, your first Night Magic weapon skill each turn gains +5 percentage points Critical Chance and deals 2 additional Magic Armour damage.</x:v>
      </x:c>
      <x:c r="D44" s="79" t="str">
        <x:v>Once per turn.</x:v>
      </x:c>
      <x:c r="E44" s="79" t="str">
        <x:v>Armour, Magic Armour, Precision, Critical</x:v>
      </x:c>
      <x:c r="F44" s="79" t="str">
        <x:v>Night Wands, Staffs and Crystalwind.</x:v>
      </x:c>
      <x:c r="G44" s="79" t="str">
        <x:v>Evasion wording removed.</x:v>
      </x:c>
      <x:c r="H44" s="79" t="str">
        <x:v>Arcane Pressure</x:v>
      </x:c>
      <x:c r="I44" s="79" t="str">
        <x:v>The first Magic weapon skill you use each turn deals 10% additional damage to Magic Armour only. This bonus does not increase Health damage.</x:v>
      </x:c>
      <x:c r="J44" s="79" t="str">
        <x:v>Fortify/Ward effects heal current protection and raise temporary maximum; restoration cannot exceed normal maximum.</x:v>
      </x:c>
    </x:row>
    <x:row r="45">
      <x:c r="A45" s="79" t="str">
        <x:v>Bustard</x:v>
      </x:c>
      <x:c r="B45" s="79" t="str">
        <x:v>Grassland Warlord</x:v>
      </x:c>
      <x:c r="C45" s="79" t="str">
        <x:v>While below 50% Health, restoring Armour or gaining Fortify also grants Minor Might Up (+4 Might) until the start of your next turn.</x:v>
      </x:c>
      <x:c r="D45" s="79" t="str">
        <x:v>Once per turn.</x:v>
      </x:c>
      <x:c r="E45" s="79" t="str">
        <x:v>Armour, Fortify</x:v>
      </x:c>
      <x:c r="F45" s="79" t="str">
        <x:v>Ironfeather, Greatblade and Bulwark Oath.</x:v>
      </x:c>
      <x:c r="G45" s="79" t="str">
        <x:v>Brace wording removed.</x:v>
      </x:c>
      <x:c r="H45" s="79" t="str">
        <x:v>Bulwark Oath</x:v>
      </x:c>
      <x:c r="I45" s="79" t="str">
        <x:v>Once per turn, after using Armour Restoration or Fortify, gain Minor Guard Up (+4 Guard) until the start of your next turn.</x:v>
      </x:c>
      <x:c r="J45" s="79" t="str">
        <x:v>Fortify/Ward effects heal current protection and raise temporary maximum; restoration cannot exceed normal maximum.</x:v>
      </x:c>
    </x:row>
    <x:row r="46">
      <x:c r="A46" s="79" t="str">
        <x:v>Golden Eagle</x:v>
      </x:c>
      <x:c r="B46" s="79" t="str">
        <x:v>Sun-Crown Trial</x:v>
      </x:c>
      <x:c r="C46" s="79" t="str">
        <x:v>Your first damaging skill each turn against a target below 50% Health gains +10 percentage points Critical Chance and deals 2 additional damage to the matching protection pool.</x:v>
      </x:c>
      <x:c r="D46" s="79" t="str">
        <x:v>Once per turn; condition must be true before the skill.</x:v>
      </x:c>
      <x:c r="E46" s="79" t="str">
        <x:v>Critical</x:v>
      </x:c>
      <x:c r="F46" s="79" t="str">
        <x:v>Greatbow, Talon Blade and offensive accessories.</x:v>
      </x:c>
      <x:c r="G46" s="79" t="str">
        <x:v>Uses matching Armour or Magic Armour according to the skill.</x:v>
      </x:c>
      <x:c r="H46" s="79" t="str">
        <x:v>Rogue Tempo</x:v>
      </x:c>
      <x:c r="I46" s="79" t="str">
        <x:v>Once per turn, if acting before the target, your first Weapon Skill 1 gains +10 Precision. If that skill breaks Armour, gain Minor Agility Up (+4 Agility) until the start of your next turn.</x:v>
      </x:c>
      <x:c r="J46" s="79" t="str">
        <x:v>Fortify/Ward effects heal current protection and raise temporary maximum; restoration cannot exceed normal maximum.</x:v>
      </x:c>
    </x:row>
    <x:row r="47">
      <x:c r="A47" s="79" t="str">
        <x:v>Australian Pelican</x:v>
      </x:c>
      <x:c r="B47" s="79" t="str">
        <x:v>Tidemouth Bastion</x:v>
      </x:c>
      <x:c r="C47" s="79" t="str">
        <x:v>After using a Water action, restore 2 Armour. Your next Strength weapon hit may apply Minor Might Down (-4 Might) only if Armour is depleted and Health is damaged.</x:v>
      </x:c>
      <x:c r="D47" s="79" t="str">
        <x:v>2-turn cooldown; the debuff is consumed on the next Strength hit.</x:v>
      </x:c>
      <x:c r="E47" s="79" t="str">
        <x:v>Armour, Restoration</x:v>
      </x:c>
      <x:c r="F47" s="79" t="str">
        <x:v>Heavy Water weapons, Layered Scale and Crushing Momentum.</x:v>
      </x:c>
      <x:c r="G47" s="79" t="str">
        <x:v>Replaces generic Bastion wording with explicit protection effects.</x:v>
      </x:c>
      <x:c r="H47" s="79" t="str">
        <x:v>Crushing Momentum</x:v>
      </x:c>
      <x:c r="I47" s="79" t="str">
        <x:v>Once per turn after Armour absorbs physical damage, your next Strength weapon skill gains +10 Skill Power.</x:v>
      </x:c>
      <x:c r="J47" s="79" t="str">
        <x:v>Fortify/Ward effects heal current protection and raise temporary maximum; restoration cannot exceed normal maximum.</x:v>
      </x:c>
    </x:row>
    <x:row r="48">
      <x:c r="A48" s="79" t="str">
        <x:v>Marabou Stork</x:v>
      </x:c>
      <x:c r="B48" s="79" t="str">
        <x:v>Carrion Opportunist</x:v>
      </x:c>
      <x:c r="C48" s="79" t="str">
        <x:v>Your first damaging action each turn against a target below 50% Health gains +10 Skill Power. If it damages Health, restore 2 to the lower protection pool.</x:v>
      </x:c>
      <x:c r="D48" s="79" t="str">
        <x:v>Once per turn.</x:v>
      </x:c>
      <x:c r="E48" s="79" t="str">
        <x:v>Restoration, Skill Power</x:v>
      </x:c>
      <x:c r="F48" s="79" t="str">
        <x:v>War Scythe, Focus Orb and Judgement Leech.</x:v>
      </x:c>
      <x:c r="G48" s="79" t="str">
        <x:v>Carrion Mark remains a Mark rather than an ailment.</x:v>
      </x:c>
      <x:c r="H48" s="79" t="str">
        <x:v>Judgement Leech</x:v>
      </x:c>
      <x:c r="I48" s="79" t="str">
        <x:v>Once per turn after a damaging skill hits an ailmented, debuffed or Marked target, restore 2 to the lower of Armour or Magic Armour, capped at its normal maximum. If both pools are full, heal 5% Maximum Health.</x:v>
      </x:c>
      <x:c r="J48" s="79" t="str">
        <x:v>Fortify/Ward effects heal current protection and raise temporary maximum; restoration cannot exceed normal maximum.</x:v>
      </x:c>
    </x:row>
    <x:row r="49">
      <x:c r="A49" s="79" t="str">
        <x:v>Pigeon</x:v>
      </x:c>
      <x:c r="B49" s="79" t="str">
        <x:v>Cobble-Crown Muster</x:v>
      </x:c>
      <x:c r="C49" s="79" t="str">
        <x:v>After using a support utility, your next Earth damaging skill gains +10 Skill Power and restores 1 to the lower protection pool on hit.</x:v>
      </x:c>
      <x:c r="D49" s="79" t="str">
        <x:v>Once per turn; consumed on hit or miss.</x:v>
      </x:c>
      <x:c r="E49" s="79" t="str">
        <x:v>Armour, Magic Armour, Restoration, Skill Power</x:v>
      </x:c>
      <x:c r="F49" s="79" t="str">
        <x:v>Layered Scale, Bard Song and Earth weapons.</x:v>
      </x:c>
      <x:c r="G49" s="79" t="str">
        <x:v>Brace and generic Damage Up wording removed.</x:v>
      </x:c>
      <x:c r="H49" s="79" t="str">
        <x:v>Verse and Chorus</x:v>
      </x:c>
      <x:c r="I49" s="79" t="str">
        <x:v>Once per turn, when you alternate Martial and Magic damaging skills, the second skill restores 2 to the lower protection pool. If both pools are full, it gains +10 Skill Power instead.</x:v>
      </x:c>
      <x:c r="J49" s="79" t="str">
        <x:v>Fortify/Ward effects heal current protection and raise temporary maximum; restoration cannot exceed normal maximum.</x:v>
      </x:c>
    </x:row>
    <x:row r="50">
      <x:c r="A50" s="79" t="str">
        <x:v>Rock Pigeon</x:v>
      </x:c>
      <x:c r="B50" s="79" t="str">
        <x:v>Quarrylord Rise</x:v>
      </x:c>
      <x:c r="C50" s="79" t="str">
        <x:v>After restoring Armour or gaining Fortify, your next Earth hit deals 2 additional Armour damage. If it damages Health, apply Minor Guard Down (-4 Guard) for 1 turn.</x:v>
      </x:c>
      <x:c r="D50" s="79" t="str">
        <x:v>Once per turn; consumed on hit.</x:v>
      </x:c>
      <x:c r="E50" s="79" t="str">
        <x:v>Armour, Restoration</x:v>
      </x:c>
      <x:c r="F50" s="79" t="str">
        <x:v>Ironfeather, Layered Scale and Earth weapons.</x:v>
      </x:c>
      <x:c r="G50" s="79" t="str">
        <x:v>Barrier and Brace Down wording removed.</x:v>
      </x:c>
      <x:c r="H50" s="79" t="str">
        <x:v>Bulwark Oath</x:v>
      </x:c>
      <x:c r="I50" s="79" t="str">
        <x:v>Once per turn, after using Armour Restoration or Fortify, gain Minor Guard Up (+4 Guard) until the start of your next turn.</x:v>
      </x:c>
      <x:c r="J50" s="79" t="str">
        <x:v>Fortify/Ward effects heal current protection and raise temporary maximum; restoration cannot exceed normal maximum.</x:v>
      </x:c>
    </x:row>
    <x:row r="51">
      <x:c r="A51" s="79" t="str">
        <x:v>Dove</x:v>
      </x:c>
      <x:c r="B51" s="79" t="str">
        <x:v>White-Feather Covenant</x:v>
      </x:c>
      <x:c r="C51" s="79" t="str">
        <x:v>The first support or song skill you use each turn restores 2 Magic Armour. If Magic Armour is full, gain Minor Resolve Up (+4 Resolve) until the start of your next turn.</x:v>
      </x:c>
      <x:c r="D51" s="79" t="str">
        <x:v>Once per turn.</x:v>
      </x:c>
      <x:c r="E51" s="79" t="str">
        <x:v>Armour, Magic Armour, Restoration, Ward</x:v>
      </x:c>
      <x:c r="F51" s="79" t="str">
        <x:v>Dawnfeather, Runewoven and Bard Song.</x:v>
      </x:c>
      <x:c r="G51" s="79" t="str">
        <x:v>Replaces the legacy Barrier.</x:v>
      </x:c>
      <x:c r="H51" s="79" t="str">
        <x:v>Verse and Chorus</x:v>
      </x:c>
      <x:c r="I51" s="79" t="str">
        <x:v>Once per turn, when you alternate Martial and Magic damaging skills, the second skill restores 2 to the lower protection pool. If both pools are full, it gains +10 Skill Power instead.</x:v>
      </x:c>
      <x:c r="J51" s="79" t="str">
        <x:v>Fortify/Ward effects heal current protection and raise temporary maximum; restoration cannot exceed normal maximum.</x:v>
      </x:c>
    </x:row>
    <x:row r="52">
      <x:c r="A52" s="79" t="str">
        <x:v>Rock Dove</x:v>
      </x:c>
      <x:c r="B52" s="79" t="str">
        <x:v>Stone-Court Oath</x:v>
      </x:c>
      <x:c r="C52" s="79" t="str">
        <x:v>After Armour absorbs physical damage, your next song or call restores 3 Armour, capped at its normal maximum.</x:v>
      </x:c>
      <x:c r="D52" s="79" t="str">
        <x:v>Once per turn; consumed when the song or call resolves.</x:v>
      </x:c>
      <x:c r="E52" s="79" t="str">
        <x:v>Armour, Restoration, Fortify</x:v>
      </x:c>
      <x:c r="F52" s="79" t="str">
        <x:v>Layered Scale, Ironfeather and Bard support builds.</x:v>
      </x:c>
      <x:c r="G52" s="79" t="str">
        <x:v>Brace and generic Damage Down wording removed.</x:v>
      </x:c>
      <x:c r="H52" s="79" t="str">
        <x:v>Verse and Chorus</x:v>
      </x:c>
      <x:c r="I52" s="79" t="str">
        <x:v>Once per turn, when you alternate Martial and Magic damaging skills, the second skill restores 2 to the lower protection pool. If both pools are full, it gains +10 Skill Power instead.</x:v>
      </x:c>
      <x:c r="J52" s="79" t="str">
        <x:v>Fortify/Ward effects heal current protection and raise temporary maximum; restoration cannot exceed normal maximum.</x:v>
      </x:c>
    </x:row>
    <x:row r="53">
      <x:c r="A53" s="79" t="str">
        <x:v>Kakapo</x:v>
      </x:c>
      <x:c r="B53" s="79" t="str">
        <x:v>Moss-King Dream</x:v>
      </x:c>
      <x:c r="C53" s="79" t="str">
        <x:v>While below 50% Health, the first song you use restores 2 to the lower protection pool and heals 5% Maximum Health.</x:v>
      </x:c>
      <x:c r="D53" s="79" t="str">
        <x:v>3-turn cooldown; does not trigger from Moss Dream.</x:v>
      </x:c>
      <x:c r="E53" s="79" t="str">
        <x:v>Armour, Magic Armour, Restoration</x:v>
      </x:c>
      <x:c r="F53" s="79" t="str">
        <x:v>Dawnfeather, defensive songs and Verse and Chorus.</x:v>
      </x:c>
      <x:c r="G53" s="79" t="str">
        <x:v>Sustain is split between Health and protection.</x:v>
      </x:c>
      <x:c r="H53" s="79" t="str">
        <x:v>Verse and Chorus</x:v>
      </x:c>
      <x:c r="I53" s="79" t="str">
        <x:v>Once per turn, when you alternate Martial and Magic damaging skills, the second skill restores 2 to the lower protection pool. If both pools are full, it gains +10 Skill Power instead.</x:v>
      </x:c>
      <x:c r="J53" s="79" t="str">
        <x:v>Fortify/Ward effects heal current protection and raise temporary maximum; restoration cannot exceed normal maximum.</x:v>
      </x:c>
    </x:row>
    <x:row r="54">
      <x:c r="A54" s="79" t="str">
        <x:v>Dodo</x:v>
      </x:c>
      <x:c r="B54" s="79" t="str">
        <x:v>Fool-King Reckoning</x:v>
      </x:c>
      <x:c r="C54" s="79" t="str">
        <x:v>The first time each combat your Armour reaches 0 while below 50% Health, restore 4 Armour and gain Minor Guard Up (+4 Guard) until the start of your next turn.</x:v>
      </x:c>
      <x:c r="D54" s="79" t="str">
        <x:v>Once per combat.</x:v>
      </x:c>
      <x:c r="E54" s="79" t="str">
        <x:v>Armour, Restoration, Fortify</x:v>
      </x:c>
      <x:c r="F54" s="79" t="str">
        <x:v>Ironfeather, shields and Bulwark Oath.</x:v>
      </x:c>
      <x:c r="G54" s="79" t="str">
        <x:v>Replaces generic damage reduction and the legacy Barrier.</x:v>
      </x:c>
      <x:c r="H54" s="79" t="str">
        <x:v>Bulwark Oath</x:v>
      </x:c>
      <x:c r="I54" s="79" t="str">
        <x:v>Once per turn, after using Armour Restoration or Fortify, gain Minor Guard Up (+4 Guard) until the start of your next turn.</x:v>
      </x:c>
      <x:c r="J54" s="79" t="str">
        <x:v>Fortify/Ward effects heal current protection and raise temporary maximum; restoration cannot exceed normal maximum.</x:v>
      </x:c>
    </x:row>
    <x:row r="55">
      <x:c r="A55" s="79" t="str">
        <x:v>Chickadee</x:v>
      </x:c>
      <x:c r="B55" s="79" t="str">
        <x:v>Pine-Nest Covenant</x:v>
      </x:c>
      <x:c r="C55" s="79" t="str">
        <x:v>After using Pine Cover, your next Weapon Skill 1 gains +10 Skill Power and +10 Precision.</x:v>
      </x:c>
      <x:c r="D55" s="79" t="str">
        <x:v>Once per turn; consumed on hit or miss.</x:v>
      </x:c>
      <x:c r="E55" s="79" t="str">
        <x:v>Armour, Magic Armour, Restoration, Skill Power, Precision</x:v>
      </x:c>
      <x:c r="F55" s="79" t="str">
        <x:v>Dagger Pinion, Shadowplume and Rogue Tempo.</x:v>
      </x:c>
      <x:c r="G55" s="79" t="str">
        <x:v>No longer tied to a 1 EN Martial action.</x:v>
      </x:c>
      <x:c r="H55" s="79" t="str">
        <x:v>Rogue Tempo</x:v>
      </x:c>
      <x:c r="I55" s="79" t="str">
        <x:v>Once per turn, if acting before the target, your first Weapon Skill 1 gains +10 Precision. If that skill breaks Armour, gain Minor Agility Up (+4 Agility) until the start of your next turn.</x:v>
      </x:c>
      <x:c r="J55" s="79" t="str">
        <x:v>Fortify/Ward effects heal current protection and raise temporary maximum; restoration cannot exceed normal maximum.</x:v>
      </x:c>
    </x:row>
    <x:row r="56">
      <x:c r="A56" s="79" t="str">
        <x:v>Finch</x:v>
      </x:c>
      <x:c r="B56" s="79" t="str">
        <x:v>Seed-Crown Flourish</x:v>
      </x:c>
      <x:c r="C56" s="79" t="str">
        <x:v>After using Natural Strike, your next Earth Weapon Skill 1 or 2 gains +10 Skill Power and restores 1 Armour on hit.</x:v>
      </x:c>
      <x:c r="D56" s="79" t="str">
        <x:v>Once per turn; consumed on hit or miss.</x:v>
      </x:c>
      <x:c r="E56" s="79" t="str">
        <x:v>Armour, Restoration, Skill Power</x:v>
      </x:c>
      <x:c r="F56" s="79" t="str">
        <x:v>Earth Talon Blade, Bow and light defensive sets.</x:v>
      </x:c>
      <x:c r="G56" s="79" t="str">
        <x:v>Basic Attack wording standardised to Natural Strike.</x:v>
      </x:c>
      <x:c r="H56" s="79" t="str">
        <x:v>Rogue Tempo</x:v>
      </x:c>
      <x:c r="I56" s="79" t="str">
        <x:v>Once per turn, if acting before the target, your first Weapon Skill 1 gains +10 Precision. If that skill breaks Armour, gain Minor Agility Up (+4 Agility) until the start of your next turn.</x:v>
      </x:c>
      <x:c r="J56" s="79" t="str">
        <x:v>Fortify/Ward effects heal current protection and raise temporary maximum; restoration cannot exceed normal maximum.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600b59c07d3647d3"/>
  </x:tableParts>
</x:worksheet>
</file>

<file path=xl/worksheets/sheet23.xml><?xml version="1.0" encoding="utf-8"?>
<x:worksheet xmlns:x="http://schemas.openxmlformats.org/spreadsheetml/2006/main">
  <x:sheetFormatPr defaultRowHeight="15"/>
  <x:sheetData>
    <x:row r="1">
      <x:c r="A1" s="41" t="str">
        <x:v>Avian Ascent Equipment System v1.3 — Basic Starting Weapons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</x:row>
    <x:row r="4">
      <x:c r="A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B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C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D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E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F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G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H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I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J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K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L4" s="41" t="str">
        <x:v>Standalone equipment workbook with weapon-first damage, two granted weapon skills, expanded equipment skill pools, Physical Armour, Magic Armour, Fortify, Ward, set families, materials, infusions and ailment gating.</x:v>
      </x:c>
    </x:row>
    <x:row r="5">
      <x:c r="A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B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C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D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E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F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G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H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I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J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K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L5" s="41" t="str">
        <x:v>Standalone equipment workbook with weapon-first damage, two granted weapon skills, expanded equipment skill pools, Physical Armour, Magic Armour, Fortify, Ward, set families, materials, infusions and ailment gating.</x:v>
      </x:c>
    </x:row>
    <x:row r="6">
      <x:c r="A6" s="41"/>
      <x:c r="B6" s="41"/>
      <x:c r="C6" s="41"/>
      <x:c r="D6" s="41"/>
      <x:c r="E6" s="41"/>
      <x:c r="F6" s="41"/>
      <x:c r="G6" s="41"/>
      <x:c r="H6" s="41"/>
      <x:c r="I6" s="41"/>
      <x:c r="J6" s="41"/>
      <x:c r="K6" s="41"/>
      <x:c r="L6" s="41"/>
    </x:row>
    <x:row r="7">
      <x:c r="A7" s="41" t="str">
        <x:v>Metric</x:v>
      </x:c>
      <x:c r="B7" s="41" t="str">
        <x:v>Value</x:v>
      </x:c>
      <x:c r="C7" s="41" t="str">
        <x:v>Rule</x:v>
      </x:c>
      <x:c r="D7" s="41" t="str">
        <x:v>Notes</x:v>
      </x:c>
      <x:c r="E7" s="41"/>
      <x:c r="F7" s="41" t="str">
        <x:v>Slot</x:v>
      </x:c>
      <x:c r="G7" s="41" t="str">
        <x:v>Item Count</x:v>
      </x:c>
      <x:c r="H7" s="41"/>
      <x:c r="I7" s="41"/>
      <x:c r="J7" s="41"/>
      <x:c r="K7" s="41"/>
      <x:c r="L7" s="41"/>
    </x:row>
    <x:row r="8">
      <x:c r="A8" s="41" t="str">
        <x:v>Total catalogue items</x:v>
      </x:c>
      <x:c r="B8" s="41" t="n">
        <x:v>305</x:v>
      </x:c>
      <x:c r="C8" s="41" t="str">
        <x:v>Unified Catalogue count</x:v>
      </x:c>
      <x:c r="D8" s="41" t="str">
        <x:v>Includes 5 Basic starting weapons.</x:v>
      </x:c>
      <x:c r="E8" s="41"/>
      <x:c r="F8" s="41" t="str">
        <x:v>Weapon</x:v>
      </x:c>
      <x:c r="G8" s="41" t="n">
        <x:f>COUNTIF('Unified Catalogue'!D5:D500,F8)</x:f>
        <x:v>113</x:v>
      </x:c>
      <x:c r="H8" s="41"/>
      <x:c r="I8" s="41"/>
      <x:c r="J8" s="41"/>
      <x:c r="K8" s="41"/>
      <x:c r="L8" s="41"/>
    </x:row>
    <x:row r="9">
      <x:c r="A9" s="41" t="str">
        <x:v>Weapons</x:v>
      </x:c>
      <x:c r="B9" s="41" t="n">
        <x:v>113</x:v>
      </x:c>
      <x:c r="C9" s="41" t="str">
        <x:v>108 standard weapons + 5 Basic starting weapons</x:v>
      </x:c>
      <x:c r="D9" s="41" t="str">
        <x:v>Basic weapons grant no extra skills.</x:v>
      </x:c>
      <x:c r="E9" s="41"/>
      <x:c r="F9" s="41" t="str">
        <x:v>Armour/Plumage</x:v>
      </x:c>
      <x:c r="G9" s="41" t="n">
        <x:f>COUNTIF('Unified Catalogue'!D5:D500,F9)</x:f>
        <x:v>48</x:v>
      </x:c>
      <x:c r="H9" s="41"/>
      <x:c r="I9" s="41"/>
      <x:c r="J9" s="41"/>
      <x:c r="K9" s="41"/>
      <x:c r="L9" s="41"/>
    </x:row>
    <x:row r="10">
      <x:c r="A10" s="41" t="str">
        <x:v>Weapon skills</x:v>
      </x:c>
      <x:c r="B10" s="41" t="n">
        <x:v>36</x:v>
      </x:c>
      <x:c r="C10" s="41" t="str">
        <x:v>18 standard families × 2 skills</x:v>
      </x:c>
      <x:c r="D10" s="41" t="str">
        <x:v>Basic starting weapons provide only the 1 EN Basic Attack.</x:v>
      </x:c>
      <x:c r="E10" s="41"/>
      <x:c r="F10" s="41" t="str">
        <x:v>Helmet</x:v>
      </x:c>
      <x:c r="G10" s="41" t="n">
        <x:f>COUNTIF('Unified Catalogue'!D5:D500,F10)</x:f>
        <x:v>48</x:v>
      </x:c>
      <x:c r="H10" s="41"/>
      <x:c r="I10" s="41"/>
      <x:c r="J10" s="41"/>
      <x:c r="K10" s="41"/>
      <x:c r="L10" s="41"/>
    </x:row>
    <x:row r="11">
      <x:c r="A11" s="41" t="str">
        <x:v>Equipment skills</x:v>
      </x:c>
      <x:c r="B11" s="41" t="n">
        <x:f>COUNTA('Equipment Skill Library'!A5:A200)</x:f>
        <x:v>64</x:v>
      </x:c>
      <x:c r="C11" s="41" t="str">
        <x:v>48 defensive + 16 accessory skills</x:v>
      </x:c>
      <x:c r="D11" s="41" t="str">
        <x:v>Skill pools appear by rarity</x:v>
      </x:c>
      <x:c r="E11" s="41"/>
      <x:c r="F11" s="41" t="str">
        <x:v>Shield</x:v>
      </x:c>
      <x:c r="G11" s="41" t="n">
        <x:f>COUNTIF('Unified Catalogue'!D5:D500,F11)</x:f>
        <x:v>48</x:v>
      </x:c>
      <x:c r="H11" s="41"/>
      <x:c r="I11" s="41"/>
      <x:c r="J11" s="41"/>
      <x:c r="K11" s="41"/>
      <x:c r="L11" s="41"/>
    </x:row>
    <x:row r="12">
      <x:c r="A12" s="41" t="str">
        <x:v>Armour/Plumage</x:v>
      </x:c>
      <x:c r="B12" s="41" t="n">
        <x:f>COUNTIF('Unified Catalogue'!D5:D500,"Armour/Plumage")</x:f>
        <x:v>48</x:v>
      </x:c>
      <x:c r="C12" s="41" t="str">
        <x:v>8 sets × 6 rarities</x:v>
      </x:c>
      <x:c r="D12" s="41" t="str">
        <x:v>Largest protection contribution</x:v>
      </x:c>
      <x:c r="E12" s="41"/>
      <x:c r="F12" s="41" t="str">
        <x:v>Anklet</x:v>
      </x:c>
      <x:c r="G12" s="41" t="n">
        <x:f>COUNTIF('Unified Catalogue'!D5:D500,F12)</x:f>
        <x:v>24</x:v>
      </x:c>
      <x:c r="H12" s="41"/>
      <x:c r="I12" s="41"/>
      <x:c r="J12" s="41"/>
      <x:c r="K12" s="41"/>
      <x:c r="L12" s="41"/>
    </x:row>
    <x:row r="13">
      <x:c r="A13" s="41" t="str">
        <x:v>Helmets</x:v>
      </x:c>
      <x:c r="B13" s="41" t="n">
        <x:f>COUNTIF('Unified Catalogue'!D5:D500,"Helmet")</x:f>
        <x:v>48</x:v>
      </x:c>
      <x:c r="C13" s="41" t="str">
        <x:v>8 sets × 6 rarities</x:v>
      </x:c>
      <x:c r="D13" s="41" t="str">
        <x:v>Secondary protection contribution</x:v>
      </x:c>
      <x:c r="E13" s="41"/>
      <x:c r="F13" s="41" t="str">
        <x:v>Necklace</x:v>
      </x:c>
      <x:c r="G13" s="41" t="n">
        <x:f>COUNTIF('Unified Catalogue'!D5:D500,F13)</x:f>
        <x:v>24</x:v>
      </x:c>
      <x:c r="H13" s="41"/>
      <x:c r="I13" s="41"/>
      <x:c r="J13" s="41"/>
      <x:c r="K13" s="41"/>
      <x:c r="L13" s="41"/>
    </x:row>
    <x:row r="14">
      <x:c r="A14" s="41" t="str">
        <x:v>Shields</x:v>
      </x:c>
      <x:c r="B14" s="41" t="n">
        <x:f>COUNTIF('Unified Catalogue'!D5:D500,"Shield")</x:f>
        <x:v>48</x:v>
      </x:c>
      <x:c r="C14" s="41" t="str">
        <x:v>8 sets × 6 rarities</x:v>
      </x:c>
      <x:c r="D14" s="41" t="str">
        <x:v>Optional major protection contribution</x:v>
      </x:c>
      <x:c r="E14" s="41"/>
      <x:c r="F14" s="41"/>
      <x:c r="G14" s="41"/>
      <x:c r="H14" s="41"/>
      <x:c r="I14" s="41"/>
      <x:c r="J14" s="41"/>
      <x:c r="K14" s="41"/>
      <x:c r="L14" s="41"/>
    </x:row>
    <x:row r="15">
      <x:c r="A15" s="41" t="str">
        <x:v>Accessories</x:v>
      </x:c>
      <x:c r="B15" s="41" t="n">
        <x:f>COUNTIF('Unified Catalogue'!D5:D500,"Anklet")+COUNTIF('Unified Catalogue'!D5:D500,"Necklace")</x:f>
        <x:v>48</x:v>
      </x:c>
      <x:c r="C15" s="41" t="str">
        <x:v>8 families × 6 rarities</x:v>
      </x:c>
      <x:c r="D15" s="41" t="str">
        <x:v>4 Anklet and 4 Necklace families</x:v>
      </x:c>
      <x:c r="E15" s="41"/>
      <x:c r="F15" s="41"/>
      <x:c r="G15" s="41"/>
      <x:c r="H15" s="41"/>
      <x:c r="I15" s="41"/>
      <x:c r="J15" s="41"/>
      <x:c r="K15" s="41"/>
      <x:c r="L15" s="41"/>
    </x:row>
    <x:row r="16">
      <x:c r="A16" s="41" t="str">
        <x:v>Active Barrier skills</x:v>
      </x:c>
      <x:c r="B16" s="41" t="n">
        <x:v>0</x:v>
      </x:c>
      <x:c r="C16" s="41" t="str">
        <x:v>Barrier removed as an active pool</x:v>
      </x:c>
      <x:c r="D16" s="41" t="str">
        <x:v>All skills use Armour, Magic Armour, Fortify or Ward</x:v>
      </x:c>
      <x:c r="E16" s="41"/>
      <x:c r="F16" s="41"/>
      <x:c r="G16" s="41"/>
      <x:c r="H16" s="41"/>
      <x:c r="I16" s="41"/>
      <x:c r="J16" s="41"/>
      <x:c r="K16" s="41"/>
      <x:c r="L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</x:row>
    <x:row r="18">
      <x:c r="A18" s="41" t="str">
        <x:v>Confirmed Core Rules and Skill Structure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</x:row>
    <x:row r="19">
      <x:c r="A19" s="41" t="str">
        <x:v>Weapon skills</x:v>
      </x:c>
      <x:c r="B19" s="41" t="str">
        <x:v>Skill 1 = 2 EN, no cooldown; Skill 2 = 3 EN, 1-turn cooldown</x:v>
      </x:c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</x:row>
    <x:row r="20">
      <x:c r="A20" s="41" t="str">
        <x:v>Confirmed Core Rules and Skill Structure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</x:row>
    <x:row r="21">
      <x:c r="A21" s="41" t="str">
        <x:v>Basic Attack</x:v>
      </x:c>
      <x:c r="B21" s="41" t="str">
        <x:v>The equipped weapon provides the 1 EN, 100% weapon-damage Basic Attack; there is no separate universal Natural Strike.</x:v>
      </x:c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</x:row>
    <x:row r="22">
      <x:c r="A22" s="41" t="str">
        <x:v>Basic starting weapons</x:v>
      </x:c>
      <x:c r="B22" s="41" t="str">
        <x:v>Tail Wand, Beak Stab, Broken Song, Talon Scratch and Plume Syphon are starting gear and grant no additional skills.</x:v>
      </x:c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</x:row>
    <x:row r="23">
      <x:c r="A23" s="41" t="str">
        <x:v>Standard weapon skills</x:v>
      </x:c>
      <x:c r="B23" s="41" t="str">
        <x:v>Later weapons replace the Basic weapon and can add a 2 EN Skill 1 and 3 EN Skill 2.</x:v>
      </x:c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</x:row>
    <x:row r="24">
      <x:c r="A24" s="41" t="str">
        <x:v>Fortify</x:v>
      </x:c>
      <x:c r="B24" s="41" t="str">
        <x:v>Heals current Armour and raises temporary maximum by the same amount; standard 3 EN with a 2-turn cooldown</x:v>
      </x:c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</x:row>
    <x:row r="25">
      <x:c r="A25" s="41" t="str">
        <x:v>Ward</x:v>
      </x:c>
      <x:c r="B25" s="41" t="str">
        <x:v>Heals current Magic Armour and raises temporary maximum by the same amount; standard 3 EN with a 2-turn cooldown</x:v>
      </x:c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</x:row>
    <x:row r="26">
      <x:c r="A26" s="41" t="str">
        <x:v>Barrier</x:v>
      </x:c>
      <x:c r="B26" s="41" t="str">
        <x:v>Removed as an active pool; rare dual protection uses Bastion/Aegis with a 3-turn cooldown</x:v>
      </x:c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</x:row>
    <x:row r="27">
      <x:c r="A27" s="41" t="str">
        <x:v>Buff tiers</x:v>
      </x:c>
      <x:c r="B27" s="41" t="str">
        <x:v>Minor ±4; Moderate ±10; Major ±20 flat stat</x:v>
      </x:c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</x:row>
  </x:sheetData>
  <x:mergeCells>
    <x:mergeCell ref="A1:L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sheetData>
    <x:row r="1">
      <x:c r="A1" t="str">
        <x:v>Core Equipment, Armour and Skill Rules v1.2</x:v>
      </x:c>
      <x:c r="B1"/>
      <x:c r="C1"/>
      <x:c r="D1"/>
      <x:c r="E1"/>
      <x:c r="F1"/>
      <x:c r="G1"/>
      <x:c r="H1"/>
    </x:row>
    <x:row r="2">
      <x:c r="A2"/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Section</x:v>
      </x:c>
      <x:c r="B4" t="str">
        <x:v>Rule</x:v>
      </x:c>
      <x:c r="C4" t="str">
        <x:v>Formula / Value</x:v>
      </x:c>
      <x:c r="D4" t="str">
        <x:v>Applies To</x:v>
      </x:c>
      <x:c r="E4" t="str">
        <x:v>Example</x:v>
      </x:c>
      <x:c r="F4" t="str">
        <x:v>Status</x:v>
      </x:c>
      <x:c r="G4" t="str">
        <x:v>Design Purpose</x:v>
      </x:c>
      <x:c r="H4" t="str">
        <x:v>Notes</x:v>
      </x:c>
    </x:row>
    <x:row r="5">
      <x:c r="A5" t="str">
        <x:v>Weapon-first damage</x:v>
      </x:c>
      <x:c r="B5" t="str">
        <x:v>The equipped weapon supplies minimum and maximum damage for the Basic Attack and weapon techniques.</x:v>
      </x:c>
      <x:c r="C5" t="str">
        <x:v>Weapon × ((Power + Stat×2.5)÷100)</x:v>
      </x:c>
      <x:c r="D5" t="str">
        <x:v>All attacks using a weapon</x:v>
      </x:c>
      <x:c r="E5" t="str">
        <x:v>Tail Wand 1–2, 8 Focus, 100% Basic Attack = 1.2–2.4 raw</x:v>
      </x:c>
      <x:c r="F5" t="str">
        <x:v>Confirmed</x:v>
      </x:c>
      <x:c r="G5" t="str">
        <x:v>Makes weapon upgrades directly replace and improve the basic attack.</x:v>
      </x:c>
      <x:c r="H5" t="str">
        <x:v>Basic weapons grant no extra skills; later weapons may grant additional techniques.</x:v>
      </x:c>
    </x:row>
    <x:row r="6">
      <x:c r="A6" t="str">
        <x:v>Equipped Basic Attack</x:v>
      </x:c>
      <x:c r="B6" t="str">
        <x:v>Every equipped weapon provides a 1 EN, 100% weapon-damage Basic Attack. It replaces the old universal Natural Strike.</x:v>
      </x:c>
      <x:c r="C6" t="str">
        <x:v>1 EN / no cooldown / 100% weapon damage</x:v>
      </x:c>
      <x:c r="D6" t="str">
        <x:v>All equipped weapons</x:v>
      </x:c>
      <x:c r="E6" t="str">
        <x:v>Talon Scratch uses Dexterity; Beak Stab uses Might; Tail Wand uses Focus.</x:v>
      </x:c>
      <x:c r="F6" t="str">
        <x:v>Confirmed</x:v>
      </x:c>
      <x:c r="G6" t="str">
        <x:v>Matches a weapon-first RPG model where the weapon and its scaling attribute determine normal attacks.</x:v>
      </x:c>
      <x:c r="H6" t="str">
        <x:v>Design reference: https://divinity.fandom.com/wiki/Attributes_and_Abilities_%28Original_Sin_2%29</x:v>
      </x:c>
    </x:row>
    <x:row r="7">
      <x:c r="A7" t="str">
        <x:v>Strength scaling</x:v>
      </x:c>
      <x:c r="B7" t="str">
        <x:v>Might scales Strength weapons.</x:v>
      </x:c>
      <x:c r="C7" t="str">
        <x:v>+2.5% per Might</x:v>
      </x:c>
      <x:c r="D7" t="str">
        <x:v>Physical Strength</x:v>
      </x:c>
      <x:c r="E7" t="str">
        <x:v>8 Might = +20%</x:v>
      </x:c>
      <x:c r="F7" t="str">
        <x:v>Confirmed</x:v>
      </x:c>
      <x:c r="G7" t="str">
        <x:v>Heavy physical identity.</x:v>
      </x:c>
      <x:c r="H7"/>
    </x:row>
    <x:row r="8">
      <x:c r="A8" t="str">
        <x:v>Finesse scaling</x:v>
      </x:c>
      <x:c r="B8" t="str">
        <x:v>Dexterity scales Finesse weapons.</x:v>
      </x:c>
      <x:c r="C8" t="str">
        <x:v>+2.5% per Dexterity</x:v>
      </x:c>
      <x:c r="D8" t="str">
        <x:v>Physical Finesse</x:v>
      </x:c>
      <x:c r="E8" t="str">
        <x:v>10 Dexterity = +25%</x:v>
      </x:c>
      <x:c r="F8" t="str">
        <x:v>Confirmed</x:v>
      </x:c>
      <x:c r="G8" t="str">
        <x:v>Rogue and bow identity.</x:v>
      </x:c>
      <x:c r="H8"/>
    </x:row>
    <x:row r="9">
      <x:c r="A9" t="str">
        <x:v>Magic scaling</x:v>
      </x:c>
      <x:c r="B9" t="str">
        <x:v>Focus scales Magic weapons.</x:v>
      </x:c>
      <x:c r="C9" t="str">
        <x:v>+2.5% per Focus</x:v>
      </x:c>
      <x:c r="D9" t="str">
        <x:v>Magical</x:v>
      </x:c>
      <x:c r="E9" t="str">
        <x:v>12 Focus = +30%</x:v>
      </x:c>
      <x:c r="F9" t="str">
        <x:v>Confirmed</x:v>
      </x:c>
      <x:c r="G9" t="str">
        <x:v>Mage and spell identity.</x:v>
      </x:c>
      <x:c r="H9"/>
    </x:row>
    <x:row r="10">
      <x:c r="A10" t="str">
        <x:v>Health</x:v>
      </x:c>
      <x:c r="B10" t="str">
        <x:v>Vitality increases Base Health.</x:v>
      </x:c>
      <x:c r="C10" t="str">
        <x:v>Base Health × (1 + Vitality×0.05)</x:v>
      </x:c>
      <x:c r="D10" t="str">
        <x:v>All birds</x:v>
      </x:c>
      <x:c r="E10" t="str">
        <x:v>10 Base Health, 4 Vitality = 12 Health</x:v>
      </x:c>
      <x:c r="F10" t="str">
        <x:v>Confirmed</x:v>
      </x:c>
      <x:c r="G10" t="str">
        <x:v>Low starting Health with meaningful investment.</x:v>
      </x:c>
      <x:c r="H10"/>
    </x:row>
    <x:row r="11">
      <x:c r="A11" t="str">
        <x:v>Turn order</x:v>
      </x:c>
      <x:c r="B11" t="str">
        <x:v>Higher Agility acts first.</x:v>
      </x:c>
      <x:c r="C11" t="str">
        <x:v>Direct comparison</x:v>
      </x:c>
      <x:c r="D11" t="str">
        <x:v>All birds</x:v>
      </x:c>
      <x:c r="E11" t="str">
        <x:v>10 Agility acts before 6</x:v>
      </x:c>
      <x:c r="F11" t="str">
        <x:v>Confirmed</x:v>
      </x:c>
      <x:c r="G11" t="str">
        <x:v>No separate Speed stat.</x:v>
      </x:c>
      <x:c r="H11"/>
    </x:row>
    <x:row r="12">
      <x:c r="A12" t="str">
        <x:v>Dodge</x:v>
      </x:c>
      <x:c r="B12" t="str">
        <x:v>Agility grants Dodge.</x:v>
      </x:c>
      <x:c r="C12" t="str">
        <x:v>MIN(50%, Agility×0.5%)</x:v>
      </x:c>
      <x:c r="D12" t="str">
        <x:v>All birds</x:v>
      </x:c>
      <x:c r="E12" t="str">
        <x:v>20 Agility = 10% Dodge</x:v>
      </x:c>
      <x:c r="F12" t="str">
        <x:v>Confirmed</x:v>
      </x:c>
      <x:c r="G12" t="str">
        <x:v>Speed and avoidance identity.</x:v>
      </x:c>
      <x:c r="H12"/>
    </x:row>
    <x:row r="13">
      <x:c r="A13" t="str">
        <x:v>Physical mitigation</x:v>
      </x:c>
      <x:c r="B13" t="str">
        <x:v>Guard generates mitigation rating.</x:v>
      </x:c>
      <x:c r="C13" t="str">
        <x:v>MIN(75%, Guard×2.5 ÷ (100+Guard×2.5))</x:v>
      </x:c>
      <x:c r="D13" t="str">
        <x:v>Physical damage</x:v>
      </x:c>
      <x:c r="E13" t="str">
        <x:v>8 Guard = 16.7%</x:v>
      </x:c>
      <x:c r="F13" t="str">
        <x:v>Confirmed</x:v>
      </x:c>
      <x:c r="G13" t="str">
        <x:v>Diminishing returns.</x:v>
      </x:c>
      <x:c r="H13"/>
    </x:row>
    <x:row r="14">
      <x:c r="A14" t="str">
        <x:v>Magical mitigation</x:v>
      </x:c>
      <x:c r="B14" t="str">
        <x:v>Resolve generates mitigation rating.</x:v>
      </x:c>
      <x:c r="C14" t="str">
        <x:v>MIN(75%, Resolve×2.5 ÷ (100+Resolve×2.5))</x:v>
      </x:c>
      <x:c r="D14" t="str">
        <x:v>Magical damage</x:v>
      </x:c>
      <x:c r="E14" t="str">
        <x:v>4 Resolve = 9.1%</x:v>
      </x:c>
      <x:c r="F14" t="str">
        <x:v>Confirmed</x:v>
      </x:c>
      <x:c r="G14" t="str">
        <x:v>Diminishing returns.</x:v>
      </x:c>
      <x:c r="H14"/>
    </x:row>
    <x:row r="15">
      <x:c r="A15" t="str">
        <x:v>Physical Armour</x:v>
      </x:c>
      <x:c r="B15" t="str">
        <x:v>Absorbs post-mitigation physical damage.</x:v>
      </x:c>
      <x:c r="C15" t="str">
        <x:v>Flat pool</x:v>
      </x:c>
      <x:c r="D15" t="str">
        <x:v>Physical damage</x:v>
      </x:c>
      <x:c r="E15" t="str">
        <x:v>Overflow reaches Health</x:v>
      </x:c>
      <x:c r="F15" t="str">
        <x:v>Confirmed</x:v>
      </x:c>
      <x:c r="G15" t="str">
        <x:v>Adds equipment durability layer.</x:v>
      </x:c>
      <x:c r="H15"/>
    </x:row>
    <x:row r="16">
      <x:c r="A16" t="str">
        <x:v>Magic Armour</x:v>
      </x:c>
      <x:c r="B16" t="str">
        <x:v>Absorbs post-mitigation magical damage.</x:v>
      </x:c>
      <x:c r="C16" t="str">
        <x:v>Flat pool</x:v>
      </x:c>
      <x:c r="D16" t="str">
        <x:v>Magical damage</x:v>
      </x:c>
      <x:c r="E16" t="str">
        <x:v>Overflow reaches Health</x:v>
      </x:c>
      <x:c r="F16" t="str">
        <x:v>Confirmed</x:v>
      </x:c>
      <x:c r="G16" t="str">
        <x:v>Adds equipment warding layer.</x:v>
      </x:c>
      <x:c r="H16"/>
    </x:row>
    <x:row r="17">
      <x:c r="A17" t="str">
        <x:v>Armour restoration</x:v>
      </x:c>
      <x:c r="B17" t="str">
        <x:v>Restores current Armour only to normal maximum.</x:v>
      </x:c>
      <x:c r="C17" t="str">
        <x:v>MIN(Max Armour, Current + Restore); standard 2 EN / 1-turn cooldown</x:v>
      </x:c>
      <x:c r="D17" t="str">
        <x:v>Physical protection</x:v>
      </x:c>
      <x:c r="E17" t="str">
        <x:v>18/24 + Restore 8 = 24/24</x:v>
      </x:c>
      <x:c r="F17" t="str">
        <x:v>Confirmed</x:v>
      </x:c>
      <x:c r="G17" t="str">
        <x:v>Frequent persistent repair without overflow.</x:v>
      </x:c>
      <x:c r="H17" t="str">
        <x:v>Restoration has a shorter cooldown than Fortify.</x:v>
      </x:c>
    </x:row>
    <x:row r="18">
      <x:c r="A18" t="str">
        <x:v>Magic Armour restoration</x:v>
      </x:c>
      <x:c r="B18" t="str">
        <x:v>Restores current Magic Armour only to normal maximum.</x:v>
      </x:c>
      <x:c r="C18" t="str">
        <x:v>MIN(Max Magic Armour, Current + Restore); standard 2 EN / 1-turn cooldown</x:v>
      </x:c>
      <x:c r="D18" t="str">
        <x:v>Magical protection</x:v>
      </x:c>
      <x:c r="E18" t="str">
        <x:v>10/18 + Restore 6 = 16/18</x:v>
      </x:c>
      <x:c r="F18" t="str">
        <x:v>Confirmed</x:v>
      </x:c>
      <x:c r="G18" t="str">
        <x:v>Frequent persistent repair without overflow.</x:v>
      </x:c>
      <x:c r="H18" t="str">
        <x:v>Restoration has a shorter cooldown than Ward.</x:v>
      </x:c>
    </x:row>
    <x:row r="19">
      <x:c r="A19" t="str">
        <x:v>Fortify</x:v>
      </x:c>
      <x:c r="B19" t="str">
        <x:v>Adds its full value to current Armour and raises temporary Maximum Armour by the same amount.</x:v>
      </x:c>
      <x:c r="C19" t="str">
        <x:v>New Current = MIN(Normal Max + Fortify, Current + Fortify); 3 EN / 2-turn cooldown</x:v>
      </x:c>
      <x:c r="D19" t="str">
        <x:v>Physical protection</x:v>
      </x:c>
      <x:c r="E19" t="str">
        <x:v>20/24 + Fortify 12 = 32/36; after damage at 27/36, expiry becomes 24/24</x:v>
      </x:c>
      <x:c r="F19" t="str">
        <x:v>Confirmed</x:v>
      </x:c>
      <x:c r="G19" t="str">
        <x:v>Heals missing Armour, creates overflow and restores physical ailment protection.</x:v>
      </x:c>
      <x:c r="H19" t="str">
        <x:v>Usually lasts 2 turns. On expiry: MIN(Current Armour, Normal Max).</x:v>
      </x:c>
    </x:row>
    <x:row r="20">
      <x:c r="A20" t="str">
        <x:v>Ward</x:v>
      </x:c>
      <x:c r="B20" t="str">
        <x:v>Adds its full value to current Magic Armour and raises temporary Maximum Magic Armour by the same amount.</x:v>
      </x:c>
      <x:c r="C20" t="str">
        <x:v>New Current = MIN(Normal Max + Ward, Current + Ward); 3 EN / 2-turn cooldown</x:v>
      </x:c>
      <x:c r="D20" t="str">
        <x:v>Magical protection</x:v>
      </x:c>
      <x:c r="E20" t="str">
        <x:v>15/18 + Ward 8 = 23/26; after damage at 21/26, expiry becomes 18/18</x:v>
      </x:c>
      <x:c r="F20" t="str">
        <x:v>Confirmed</x:v>
      </x:c>
      <x:c r="G20" t="str">
        <x:v>Heals missing Magic Armour, creates overflow and restores magical ailment protection.</x:v>
      </x:c>
      <x:c r="H20" t="str">
        <x:v>Usually lasts 2 turns. On expiry: MIN(Current Magic Armour, Normal Max).</x:v>
      </x:c>
    </x:row>
    <x:row r="21">
      <x:c r="A21" t="str">
        <x:v>Barrier removal</x:v>
      </x:c>
      <x:c r="B21" t="str">
        <x:v>Barrier is not an active protection pool.</x:v>
      </x:c>
      <x:c r="C21" t="str">
        <x:v>Physical → Armour/Fortify; Magical → Magic Armour/Ward</x:v>
      </x:c>
      <x:c r="D21" t="str">
        <x:v>All legacy skills</x:v>
      </x:c>
      <x:c r="E21" t="str">
        <x:v>Universal effects use rare Bastion/Aegis wording.</x:v>
      </x:c>
      <x:c r="F21" t="str">
        <x:v>Confirmed</x:v>
      </x:c>
      <x:c r="G21" t="str">
        <x:v>Avoids overlapping defensive pools.</x:v>
      </x:c>
      <x:c r="H21"/>
    </x:row>
    <x:row r="22">
      <x:c r="A22" t="str">
        <x:v>Ailment gate</x:v>
      </x:c>
      <x:c r="B22" t="str">
        <x:v>Matching protection must be zero and the hit must damage Health.</x:v>
      </x:c>
      <x:c r="C22" t="str">
        <x:v>Same-hit overflow rule</x:v>
      </x:c>
      <x:c r="D22" t="str">
        <x:v>Hostile ailments</x:v>
      </x:c>
      <x:c r="E22" t="str">
        <x:v>Bleed uses Armour; Poison uses Magic Armour</x:v>
      </x:c>
      <x:c r="F22" t="str">
        <x:v>Confirmed</x:v>
      </x:c>
      <x:c r="G22" t="str">
        <x:v>Prevents immediate control chains.</x:v>
      </x:c>
      <x:c r="H22" t="str">
        <x:v>Temporary protection counts.</x:v>
      </x:c>
    </x:row>
    <x:row r="23">
      <x:c r="A23" t="str">
        <x:v>Buff tiers</x:v>
      </x:c>
      <x:c r="B23" t="str">
        <x:v>Buffs and debuffs change flat stats.</x:v>
      </x:c>
      <x:c r="C23" t="str">
        <x:v>Minor ±4; Moderate ±10; Major ±20</x:v>
      </x:c>
      <x:c r="D23" t="str">
        <x:v>All core stats</x:v>
      </x:c>
      <x:c r="E23" t="str">
        <x:v>Minor Dex Up = +10% finesse rating</x:v>
      </x:c>
      <x:c r="F23" t="str">
        <x:v>Confirmed</x:v>
      </x:c>
      <x:c r="G23" t="str">
        <x:v>Consistent tier language.</x:v>
      </x:c>
      <x:c r="H23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sheetData>
    <x:row r="1">
      <x:c r="A1" t="str">
        <x:v>Equipment Slot and Granted-Skill Rules</x:v>
      </x:c>
      <x:c r="B1"/>
      <x:c r="C1"/>
      <x:c r="D1"/>
      <x:c r="E1"/>
      <x:c r="F1"/>
      <x:c r="G1"/>
      <x:c r="H1"/>
    </x:row>
    <x:row r="2">
      <x:c r="A2"/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Slot</x:v>
      </x:c>
      <x:c r="B4" t="str">
        <x:v>Quantity</x:v>
      </x:c>
      <x:c r="C4" t="str">
        <x:v>Damage / Protection</x:v>
      </x:c>
      <x:c r="D4" t="str">
        <x:v>Granted Skills</x:v>
      </x:c>
      <x:c r="E4" t="str">
        <x:v>Typical Stats</x:v>
      </x:c>
      <x:c r="F4" t="str">
        <x:v>Restrictions</x:v>
      </x:c>
      <x:c r="G4" t="str">
        <x:v>Skill Identity</x:v>
      </x:c>
      <x:c r="H4" t="str">
        <x:v>Purpose</x:v>
      </x:c>
    </x:row>
    <x:row r="5">
      <x:c r="A5" t="str">
        <x:v>Helmet</x:v>
      </x:c>
      <x:c r="B5" t="n">
        <x:v>1</x:v>
      </x:c>
      <x:c r="C5" t="str">
        <x:v>Armour and/or Magic Armour</x:v>
      </x:c>
      <x:c r="D5" t="str">
        <x:v>May grant one 2 EN or 3 EN utility skill</x:v>
      </x:c>
      <x:c r="E5" t="str">
        <x:v>Guard, Resolve, Vitality, Agility</x:v>
      </x:c>
      <x:c r="F5" t="str">
        <x:v>Heavy helms may reduce Agility</x:v>
      </x:c>
      <x:c r="G5" t="str">
        <x:v>Buffs, mental defence, restoration, Ward/Fortify</x:v>
      </x:c>
      <x:c r="H5" t="str">
        <x:v>Secondary protection and identity</x:v>
      </x:c>
    </x:row>
    <x:row r="6">
      <x:c r="A6" t="str">
        <x:v>Armour/Plumage</x:v>
      </x:c>
      <x:c r="B6" t="n">
        <x:v>1</x:v>
      </x:c>
      <x:c r="C6" t="str">
        <x:v>Largest Armour/Magic Armour contribution</x:v>
      </x:c>
      <x:c r="D6" t="str">
        <x:v>May grant one 2 EN or 3 EN defensive skill</x:v>
      </x:c>
      <x:c r="E6" t="str">
        <x:v>All core stats by family</x:v>
      </x:c>
      <x:c r="F6" t="str">
        <x:v>Weight determines protection and Agility trade-off</x:v>
      </x:c>
      <x:c r="G6" t="str">
        <x:v>Restoration, Fortify, Ward, dual Bastion/Aegis</x:v>
      </x:c>
      <x:c r="H6" t="str">
        <x:v>Main defensive set piece</x:v>
      </x:c>
    </x:row>
    <x:row r="7">
      <x:c r="A7" t="str">
        <x:v>Weapon</x:v>
      </x:c>
      <x:c r="B7" t="n">
        <x:v>2</x:v>
      </x:c>
      <x:c r="C7" t="str">
        <x:v>Weapon damage range; named protection only</x:v>
      </x:c>
      <x:c r="D7" t="str">
        <x:v>Always grants Skill 1 (2 EN) and Skill 2 (3 EN)</x:v>
      </x:c>
      <x:c r="E7" t="str">
        <x:v>Might, Dexterity, Focus and secondary stats</x:v>
      </x:c>
      <x:c r="F7" t="str">
        <x:v>2H occupies both weapon slots</x:v>
      </x:c>
      <x:c r="G7" t="str">
        <x:v>Damage, ailments, setup, restoration, Fortify or Ward</x:v>
      </x:c>
      <x:c r="H7" t="str">
        <x:v>Primary combat actions</x:v>
      </x:c>
    </x:row>
    <x:row r="8">
      <x:c r="A8" t="str">
        <x:v>Shield</x:v>
      </x:c>
      <x:c r="B8" t="n">
        <x:v>-1</x:v>
      </x:c>
      <x:c r="C8" t="str">
        <x:v>Major Armour/Magic Armour contribution</x:v>
      </x:c>
      <x:c r="D8" t="str">
        <x:v>May grant one 2 EN or 3 EN defensive skill</x:v>
      </x:c>
      <x:c r="E8" t="str">
        <x:v>Guard, Resolve, Vitality, Agility</x:v>
      </x:c>
      <x:c r="F8" t="str">
        <x:v>Requires free weapon slot</x:v>
      </x:c>
      <x:c r="G8" t="str">
        <x:v>High restoration, Fortify, Ward, Bastion/Aegis</x:v>
      </x:c>
      <x:c r="H8" t="str">
        <x:v>Optional major defence</x:v>
      </x:c>
    </x:row>
    <x:row r="9">
      <x:c r="A9" t="str">
        <x:v>Anklet</x:v>
      </x:c>
      <x:c r="B9" t="n">
        <x:v>2</x:v>
      </x:c>
      <x:c r="C9" t="str">
        <x:v>Normally no protection pool</x:v>
      </x:c>
      <x:c r="D9" t="str">
        <x:v>May grant one movement, buff or warding skill</x:v>
      </x:c>
      <x:c r="E9" t="str">
        <x:v>Flat attributes and utility</x:v>
      </x:c>
      <x:c r="F9" t="str">
        <x:v>Two together approximate one full slot</x:v>
      </x:c>
      <x:c r="G9" t="str">
        <x:v>Agility, offence buffs, restoration</x:v>
      </x:c>
      <x:c r="H9" t="str">
        <x:v>Build tuning</x:v>
      </x:c>
    </x:row>
    <x:row r="10">
      <x:c r="A10" t="str">
        <x:v>Necklace</x:v>
      </x:c>
      <x:c r="B10" t="n">
        <x:v>1</x:v>
      </x:c>
      <x:c r="C10" t="str">
        <x:v>Normally no protection pool</x:v>
      </x:c>
      <x:c r="D10" t="str">
        <x:v>May grant one buff, setup or defensive skill</x:v>
      </x:c>
      <x:c r="E10" t="str">
        <x:v>Flat attributes, Critical, resistance</x:v>
      </x:c>
      <x:c r="F10" t="str">
        <x:v>One equipped</x:v>
      </x:c>
      <x:c r="G10" t="str">
        <x:v>Offensive setup, Fortify, Ward, mixed defence</x:v>
      </x:c>
      <x:c r="H10" t="str">
        <x:v>Build identity and resistance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sheetData>
    <x:row r="1">
      <x:c r="A1" t="str">
        <x:v>Rarity, Attribute, Damage and Protection Budgets</x:v>
      </x:c>
      <x:c r="B1"/>
      <x:c r="C1"/>
      <x:c r="D1"/>
      <x:c r="E1"/>
      <x:c r="F1"/>
      <x:c r="G1"/>
      <x:c r="H1"/>
      <x:c r="I1"/>
      <x:c r="J1"/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t="str">
        <x:v>Rarity</x:v>
      </x:c>
      <x:c r="B4" t="str">
        <x:v>Weapon Damage Factor</x:v>
      </x:c>
      <x:c r="C4" t="str">
        <x:v>Flat Stat Budget</x:v>
      </x:c>
      <x:c r="D4" t="str">
        <x:v>Armour/Plumage</x:v>
      </x:c>
      <x:c r="E4" t="str">
        <x:v>Helmet</x:v>
      </x:c>
      <x:c r="F4" t="str">
        <x:v>Shield</x:v>
      </x:c>
      <x:c r="G4" t="str">
        <x:v>Light Multiplier</x:v>
      </x:c>
      <x:c r="H4" t="str">
        <x:v>Medium Multiplier</x:v>
      </x:c>
      <x:c r="I4" t="str">
        <x:v>Heavy Multiplier</x:v>
      </x:c>
      <x:c r="J4" t="str">
        <x:v>Typical Identity</x:v>
      </x:c>
    </x:row>
    <x:row r="5">
      <x:c r="A5" t="str">
        <x:v>Grey</x:v>
      </x:c>
      <x:c r="B5" t="n">
        <x:v>1</x:v>
      </x:c>
      <x:c r="C5" t="n">
        <x:v>1</x:v>
      </x:c>
      <x:c r="D5" t="n">
        <x:v>4</x:v>
      </x:c>
      <x:c r="E5" t="n">
        <x:v>2</x:v>
      </x:c>
      <x:c r="F5" t="n">
        <x:v>3</x:v>
      </x:c>
      <x:c r="G5" t="n">
        <x:v>0.8</x:v>
      </x:c>
      <x:c r="H5" t="n">
        <x:v>1</x:v>
      </x:c>
      <x:c r="I5" t="n">
        <x:v>1.1</x:v>
      </x:c>
      <x:c r="J5" t="str">
        <x:v>Core identity; one attribute line.</x:v>
      </x:c>
    </x:row>
    <x:row r="6">
      <x:c r="A6" t="str">
        <x:v>Green</x:v>
      </x:c>
      <x:c r="B6" t="n">
        <x:v>1.25</x:v>
      </x:c>
      <x:c r="C6" t="n">
        <x:v>2</x:v>
      </x:c>
      <x:c r="D6" t="n">
        <x:v>6</x:v>
      </x:c>
      <x:c r="E6" t="n">
        <x:v>3</x:v>
      </x:c>
      <x:c r="F6" t="n">
        <x:v>4</x:v>
      </x:c>
      <x:c r="G6" t="n">
        <x:v>0.8</x:v>
      </x:c>
      <x:c r="H6" t="n">
        <x:v>1</x:v>
      </x:c>
      <x:c r="I6" t="n">
        <x:v>1.1</x:v>
      </x:c>
      <x:c r="J6" t="str">
        <x:v>Improved values; second point.</x:v>
      </x:c>
    </x:row>
    <x:row r="7">
      <x:c r="A7" t="str">
        <x:v>Blue</x:v>
      </x:c>
      <x:c r="B7" t="n">
        <x:v>1.55</x:v>
      </x:c>
      <x:c r="C7" t="n">
        <x:v>3</x:v>
      </x:c>
      <x:c r="D7" t="n">
        <x:v>9</x:v>
      </x:c>
      <x:c r="E7" t="n">
        <x:v>4</x:v>
      </x:c>
      <x:c r="F7" t="n">
        <x:v>6</x:v>
      </x:c>
      <x:c r="G7" t="n">
        <x:v>0.8</x:v>
      </x:c>
      <x:c r="H7" t="n">
        <x:v>1</x:v>
      </x:c>
      <x:c r="I7" t="n">
        <x:v>1.1</x:v>
      </x:c>
      <x:c r="J7" t="str">
        <x:v>Set bonus active; first affix.</x:v>
      </x:c>
    </x:row>
    <x:row r="8">
      <x:c r="A8" t="str">
        <x:v>Purple</x:v>
      </x:c>
      <x:c r="B8" t="n">
        <x:v>1.9</x:v>
      </x:c>
      <x:c r="C8" t="n">
        <x:v>5</x:v>
      </x:c>
      <x:c r="D8" t="n">
        <x:v>12</x:v>
      </x:c>
      <x:c r="E8" t="n">
        <x:v>6</x:v>
      </x:c>
      <x:c r="F8" t="n">
        <x:v>8</x:v>
      </x:c>
      <x:c r="G8" t="n">
        <x:v>0.8</x:v>
      </x:c>
      <x:c r="H8" t="n">
        <x:v>1</x:v>
      </x:c>
      <x:c r="I8" t="n">
        <x:v>1.1</x:v>
      </x:c>
      <x:c r="J8" t="str">
        <x:v>Named conditional effect.</x:v>
      </x:c>
    </x:row>
    <x:row r="9">
      <x:c r="A9" t="str">
        <x:v>Gold</x:v>
      </x:c>
      <x:c r="B9" t="n">
        <x:v>2.3</x:v>
      </x:c>
      <x:c r="C9" t="n">
        <x:v>7</x:v>
      </x:c>
      <x:c r="D9" t="n">
        <x:v>16</x:v>
      </x:c>
      <x:c r="E9" t="n">
        <x:v>8</x:v>
      </x:c>
      <x:c r="F9" t="n">
        <x:v>12</x:v>
      </x:c>
      <x:c r="G9" t="n">
        <x:v>0.8</x:v>
      </x:c>
      <x:c r="H9" t="n">
        <x:v>1</x:v>
      </x:c>
      <x:c r="I9" t="n">
        <x:v>1.1</x:v>
      </x:c>
      <x:c r="J9" t="str">
        <x:v>Strong set identity and rare affix.</x:v>
      </x:c>
    </x:row>
    <x:row r="10">
      <x:c r="A10" t="str">
        <x:v>Orange</x:v>
      </x:c>
      <x:c r="B10" t="n">
        <x:v>2.75</x:v>
      </x:c>
      <x:c r="C10" t="n">
        <x:v>9</x:v>
      </x:c>
      <x:c r="D10" t="n">
        <x:v>22</x:v>
      </x:c>
      <x:c r="E10" t="n">
        <x:v>11</x:v>
      </x:c>
      <x:c r="F10" t="n">
        <x:v>16</x:v>
      </x:c>
      <x:c r="G10" t="n">
        <x:v>0.8</x:v>
      </x:c>
      <x:c r="H10" t="n">
        <x:v>1</x:v>
      </x:c>
      <x:c r="I10" t="n">
        <x:v>1.1</x:v>
      </x:c>
      <x:c r="J10" t="str">
        <x:v>Unique, build-defining effect.</x:v>
      </x:c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 t="str">
        <x:v>Buff/Debuff Tier</x:v>
      </x:c>
      <x:c r="B13" t="str">
        <x:v>Flat Change</x:v>
      </x:c>
      <x:c r="C13" t="str">
        <x:v>Offensive Rating Change</x:v>
      </x:c>
      <x:c r="D13" t="str">
        <x:v>Agility Dodge Change</x:v>
      </x:c>
      <x:c r="E13"/>
      <x:c r="F13" t="str">
        <x:v>Equipment Skill Availability</x:v>
      </x:c>
      <x:c r="G13"/>
      <x:c r="H13"/>
      <x:c r="I13"/>
      <x:c r="J13"/>
    </x:row>
    <x:row r="14">
      <x:c r="A14" t="str">
        <x:v>Minor</x:v>
      </x:c>
      <x:c r="B14" t="n">
        <x:v>4</x:v>
      </x:c>
      <x:c r="C14" t="str">
        <x:v>±10%</x:v>
      </x:c>
      <x:c r="D14" t="str">
        <x:v>±2% Dodge</x:v>
      </x:c>
      <x:c r="E14"/>
      <x:c r="F14" t="str">
        <x:v>Rarity</x:v>
      </x:c>
      <x:c r="G14" t="str">
        <x:v>Default Granted Skill</x:v>
      </x:c>
      <x:c r="H14" t="str">
        <x:v>Eligible Pool</x:v>
      </x:c>
      <x:c r="I14" t="str">
        <x:v>Cooldown Pattern</x:v>
      </x:c>
      <x:c r="J14" t="str">
        <x:v>Notes</x:v>
      </x:c>
    </x:row>
    <x:row r="15">
      <x:c r="A15" t="str">
        <x:v>Moderate</x:v>
      </x:c>
      <x:c r="B15" t="n">
        <x:v>10</x:v>
      </x:c>
      <x:c r="C15" t="str">
        <x:v>±25%</x:v>
      </x:c>
      <x:c r="D15" t="str">
        <x:v>±5% Dodge</x:v>
      </x:c>
      <x:c r="E15"/>
      <x:c r="F15" t="str">
        <x:v>Grey</x:v>
      </x:c>
      <x:c r="G15" t="str">
        <x:v>None</x:v>
      </x:c>
      <x:c r="H15" t="str">
        <x:v>No bonus active skill</x:v>
      </x:c>
      <x:c r="I15" t="str">
        <x:v>—</x:v>
      </x:c>
      <x:c r="J15" t="str">
        <x:v>Base equipment statistics and set identity only.</x:v>
      </x:c>
    </x:row>
    <x:row r="16">
      <x:c r="A16" t="str">
        <x:v>Major</x:v>
      </x:c>
      <x:c r="B16" t="n">
        <x:v>20</x:v>
      </x:c>
      <x:c r="C16" t="str">
        <x:v>±50%</x:v>
      </x:c>
      <x:c r="D16" t="str">
        <x:v>±10% Dodge</x:v>
      </x:c>
      <x:c r="E16"/>
      <x:c r="F16" t="str">
        <x:v>Green</x:v>
      </x:c>
      <x:c r="G16" t="str">
        <x:v>Pool A</x:v>
      </x:c>
      <x:c r="H16" t="str">
        <x:v>2 EN skill</x:v>
      </x:c>
      <x:c r="I16" t="str">
        <x:v>Usually none</x:v>
      </x:c>
      <x:c r="J16" t="str">
        <x:v>Common utility skill.</x:v>
      </x:c>
    </x:row>
    <x:row r="17">
      <x:c r="A17"/>
      <x:c r="B17"/>
      <x:c r="C17"/>
      <x:c r="D17"/>
      <x:c r="E17"/>
      <x:c r="F17" t="str">
        <x:v>Blue</x:v>
      </x:c>
      <x:c r="G17" t="str">
        <x:v>Pool A</x:v>
      </x:c>
      <x:c r="H17" t="str">
        <x:v>2 EN skill; variants may roll Pool B where specifically allowed</x:v>
      </x:c>
      <x:c r="I17" t="str">
        <x:v>Usually none</x:v>
      </x:c>
      <x:c r="J17" t="str">
        <x:v>Set bonus and first meaningful skill variation.</x:v>
      </x:c>
    </x:row>
    <x:row r="18">
      <x:c r="A18"/>
      <x:c r="B18"/>
      <x:c r="C18"/>
      <x:c r="D18"/>
      <x:c r="E18"/>
      <x:c r="F18" t="str">
        <x:v>Purple</x:v>
      </x:c>
      <x:c r="G18" t="str">
        <x:v>Pool B</x:v>
      </x:c>
      <x:c r="H18" t="str">
        <x:v>2 EN or 3 EN</x:v>
      </x:c>
      <x:c r="I18" t="str">
        <x:v>3 EN uses 1-turn cooldown</x:v>
      </x:c>
      <x:c r="J18" t="str">
        <x:v>Advanced family skill.</x:v>
      </x:c>
    </x:row>
    <x:row r="19">
      <x:c r="A19"/>
      <x:c r="B19"/>
      <x:c r="C19"/>
      <x:c r="D19"/>
      <x:c r="E19"/>
      <x:c r="F19" t="str">
        <x:v>Gold</x:v>
      </x:c>
      <x:c r="G19" t="str">
        <x:v>Pool B</x:v>
      </x:c>
      <x:c r="H19" t="str">
        <x:v>2 EN or 3 EN</x:v>
      </x:c>
      <x:c r="I19" t="str">
        <x:v>3 EN uses 1-turn cooldown</x:v>
      </x:c>
      <x:c r="J19" t="str">
        <x:v>Strong set identity and named effects.</x:v>
      </x:c>
    </x:row>
    <x:row r="20">
      <x:c r="A20"/>
      <x:c r="B20"/>
      <x:c r="C20"/>
      <x:c r="D20"/>
      <x:c r="E20"/>
      <x:c r="F20" t="str">
        <x:v>Orange</x:v>
      </x:c>
      <x:c r="G20" t="str">
        <x:v>Pool B</x:v>
      </x:c>
      <x:c r="H20" t="str">
        <x:v>2 EN or 3 EN plus unique item effect</x:v>
      </x:c>
      <x:c r="I20" t="str">
        <x:v>3 EN uses 1-turn cooldown</x:v>
      </x:c>
      <x:c r="J20" t="str">
        <x:v>Build-defining equipment.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sheetData>
    <x:row r="1">
      <x:c r="A1" t="str">
        <x:v>Weapon Family Profiles — Basic Starting Weapons and Standard Skill Weapons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</x:row>
    <x:row r="4">
      <x:c r="A4" t="str">
        <x:v>Family</x:v>
      </x:c>
      <x:c r="B4" t="str">
        <x:v>Hands</x:v>
      </x:c>
      <x:c r="C4" t="str">
        <x:v>Class Access</x:v>
      </x:c>
      <x:c r="D4" t="str">
        <x:v>Damage Category</x:v>
      </x:c>
      <x:c r="E4" t="str">
        <x:v>Scaling Stat</x:v>
      </x:c>
      <x:c r="F4" t="str">
        <x:v>Grey Min</x:v>
      </x:c>
      <x:c r="G4" t="str">
        <x:v>Grey Max</x:v>
      </x:c>
      <x:c r="H4" t="str">
        <x:v>Skill 1 EN</x:v>
      </x:c>
      <x:c r="I4" t="str">
        <x:v>Skill 1</x:v>
      </x:c>
      <x:c r="J4" t="str">
        <x:v>Skill 1 Power %</x:v>
      </x:c>
      <x:c r="K4" t="str">
        <x:v>Skill 1 Cooldown</x:v>
      </x:c>
      <x:c r="L4" t="str">
        <x:v>Skill 1 Effect</x:v>
      </x:c>
      <x:c r="M4" t="str">
        <x:v>Skill 2 EN</x:v>
      </x:c>
      <x:c r="N4" t="str">
        <x:v>Skill 2</x:v>
      </x:c>
      <x:c r="O4" t="str">
        <x:v>Skill 2 Power %</x:v>
      </x:c>
      <x:c r="P4" t="str">
        <x:v>Skill 2 Cooldown</x:v>
      </x:c>
      <x:c r="Q4" t="str">
        <x:v>Skill 2 Effect</x:v>
      </x:c>
      <x:c r="R4" t="str">
        <x:v>Secondary Stat</x:v>
      </x:c>
      <x:c r="S4" t="str">
        <x:v>Tertiary Stat</x:v>
      </x:c>
      <x:c r="T4" t="str">
        <x:v>Identity</x:v>
      </x:c>
      <x:c r="U4" t="str">
        <x:v>Rules Note</x:v>
      </x:c>
    </x:row>
    <x:row r="5">
      <x:c r="A5" t="str">
        <x:v>Dagger Pinion</x:v>
      </x:c>
      <x:c r="B5" t="str">
        <x:v>1H</x:v>
      </x:c>
      <x:c r="C5" t="str">
        <x:v>Rogue only</x:v>
      </x:c>
      <x:c r="D5" t="str">
        <x:v>Physical Finesse</x:v>
      </x:c>
      <x:c r="E5" t="str">
        <x:v>Dexterity</x:v>
      </x:c>
      <x:c r="F5" t="n">
        <x:v>2</x:v>
      </x:c>
      <x:c r="G5" t="n">
        <x:v>3</x:v>
      </x:c>
      <x:c r="H5" t="n">
        <x:v>2</x:v>
      </x:c>
      <x:c r="I5" t="str">
        <x:v>Quick Pinion</x:v>
      </x:c>
      <x:c r="J5" t="n">
        <x:v>110</x:v>
      </x:c>
      <x:c r="K5" t="n">
        <x:v>0</x:v>
      </x:c>
      <x:c r="L5" t="str">
        <x:v>Deal 110% Finesse weapon damage. Gain +10 Precision if the user has higher Agility than the target.</x:v>
      </x:c>
      <x:c r="M5" t="n">
        <x:v>3</x:v>
      </x:c>
      <x:c r="N5" t="str">
        <x:v>Pinion Flurry</x:v>
      </x:c>
      <x:c r="O5" t="n">
        <x:v>120</x:v>
      </x:c>
      <x:c r="P5" t="n">
        <x:v>1</x:v>
      </x:c>
      <x:c r="Q5" t="str">
        <x:v>Strike twice for 60% weapon damage per hit. If both hits damage Health, roll a 50% chance to apply Bleed.</x:v>
      </x:c>
      <x:c r="R5" t="str">
        <x:v>Agility</x:v>
      </x:c>
      <x:c r="S5" t="str">
        <x:v>Guard</x:v>
      </x:c>
      <x:c r="T5" t="str">
        <x:v>Fast, precise finesse strike.</x:v>
      </x:c>
      <x:c r="U5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6">
      <x:c r="A6" t="str">
        <x:v>Talon Blade</x:v>
      </x:c>
      <x:c r="B6" t="str">
        <x:v>1H</x:v>
      </x:c>
      <x:c r="C6" t="str">
        <x:v>Rogue, Bard, Knight</x:v>
      </x:c>
      <x:c r="D6" t="str">
        <x:v>Physical Finesse</x:v>
      </x:c>
      <x:c r="E6" t="str">
        <x:v>Dexterity</x:v>
      </x:c>
      <x:c r="F6" t="n">
        <x:v>3</x:v>
      </x:c>
      <x:c r="G6" t="n">
        <x:v>4</x:v>
      </x:c>
      <x:c r="H6" t="n">
        <x:v>2</x:v>
      </x:c>
      <x:c r="I6" t="str">
        <x:v>Talon Cut</x:v>
      </x:c>
      <x:c r="J6" t="n">
        <x:v>110</x:v>
      </x:c>
      <x:c r="K6" t="n">
        <x:v>0</x:v>
      </x:c>
      <x:c r="L6" t="str">
        <x:v>Deal 110% Finesse weapon damage.</x:v>
      </x:c>
      <x:c r="M6" t="n">
        <x:v>3</x:v>
      </x:c>
      <x:c r="N6" t="str">
        <x:v>Rending Talon</x:v>
      </x:c>
      <x:c r="O6" t="n">
        <x:v>120</x:v>
      </x:c>
      <x:c r="P6" t="n">
        <x:v>1</x:v>
      </x:c>
      <x:c r="Q6" t="str">
        <x:v>Deal 120% Finesse weapon damage. If Armour is broken and Health is damaged, roll a 50% chance to apply Bleed.</x:v>
      </x:c>
      <x:c r="R6" t="str">
        <x:v>Agility</x:v>
      </x:c>
      <x:c r="S6" t="str">
        <x:v>Vitality</x:v>
      </x:c>
      <x:c r="T6" t="str">
        <x:v>Balanced finesse attack.</x:v>
      </x:c>
      <x:c r="U6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7">
      <x:c r="A7" t="str">
        <x:v>Duel Sabre</x:v>
      </x:c>
      <x:c r="B7" t="str">
        <x:v>1H</x:v>
      </x:c>
      <x:c r="C7" t="str">
        <x:v>Rogue, Bard, Knight</x:v>
      </x:c>
      <x:c r="D7" t="str">
        <x:v>Physical Finesse</x:v>
      </x:c>
      <x:c r="E7" t="str">
        <x:v>Dexterity</x:v>
      </x:c>
      <x:c r="F7" t="n">
        <x:v>3</x:v>
      </x:c>
      <x:c r="G7" t="n">
        <x:v>5</x:v>
      </x:c>
      <x:c r="H7" t="n">
        <x:v>2</x:v>
      </x:c>
      <x:c r="I7" t="str">
        <x:v>Riposte Slash</x:v>
      </x:c>
      <x:c r="J7" t="n">
        <x:v>100</x:v>
      </x:c>
      <x:c r="K7" t="n">
        <x:v>0</x:v>
      </x:c>
      <x:c r="L7" t="str">
        <x:v>Deal 100% Finesse weapon damage. Gain +20 Skill Power if the user Dodged the opponent’s previous attack.</x:v>
      </x:c>
      <x:c r="M7" t="n">
        <x:v>3</x:v>
      </x:c>
      <x:c r="N7" t="str">
        <x:v>Duellist’s Tempo</x:v>
      </x:c>
      <x:c r="O7" t="n">
        <x:v>115</x:v>
      </x:c>
      <x:c r="P7" t="n">
        <x:v>1</x:v>
      </x:c>
      <x:c r="Q7" t="str">
        <x:v>Deal 115% Finesse weapon damage. On hit, gain Minor Agility Up for 2 turns.</x:v>
      </x:c>
      <x:c r="R7" t="str">
        <x:v>Agility</x:v>
      </x:c>
      <x:c r="S7" t="str">
        <x:v>Guard</x:v>
      </x:c>
      <x:c r="T7" t="str">
        <x:v>Wide range; improves after avoiding an attack.</x:v>
      </x:c>
      <x:c r="U7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8">
      <x:c r="A8" t="str">
        <x:v>Hand Crossbow</x:v>
      </x:c>
      <x:c r="B8" t="str">
        <x:v>1H</x:v>
      </x:c>
      <x:c r="C8" t="str">
        <x:v>Rogue and Bard</x:v>
      </x:c>
      <x:c r="D8" t="str">
        <x:v>Physical Finesse</x:v>
      </x:c>
      <x:c r="E8" t="str">
        <x:v>Dexterity</x:v>
      </x:c>
      <x:c r="F8" t="n">
        <x:v>3</x:v>
      </x:c>
      <x:c r="G8" t="n">
        <x:v>4</x:v>
      </x:c>
      <x:c r="H8" t="n">
        <x:v>2</x:v>
      </x:c>
      <x:c r="I8" t="str">
        <x:v>Snap Bolt</x:v>
      </x:c>
      <x:c r="J8" t="n">
        <x:v>110</x:v>
      </x:c>
      <x:c r="K8" t="n">
        <x:v>0</x:v>
      </x:c>
      <x:c r="L8" t="str">
        <x:v>Deal 110% Finesse weapon damage.</x:v>
      </x:c>
      <x:c r="M8" t="n">
        <x:v>3</x:v>
      </x:c>
      <x:c r="N8" t="str">
        <x:v>Barbed Bolt</x:v>
      </x:c>
      <x:c r="O8" t="n">
        <x:v>115</x:v>
      </x:c>
      <x:c r="P8" t="n">
        <x:v>1</x:v>
      </x:c>
      <x:c r="Q8" t="str">
        <x:v>Deal 115% Finesse weapon damage. If Armour is broken and Health is damaged, roll a 50% chance to apply Bleed.</x:v>
      </x:c>
      <x:c r="R8" t="str">
        <x:v>Agility</x:v>
      </x:c>
      <x:c r="S8" t="str">
        <x:v>Vitality</x:v>
      </x:c>
      <x:c r="T8" t="str">
        <x:v>One-handed ranged finesse weapon.</x:v>
      </x:c>
      <x:c r="U8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9">
      <x:c r="A9" t="str">
        <x:v>Beak Hammer</x:v>
      </x:c>
      <x:c r="B9" t="str">
        <x:v>1H</x:v>
      </x:c>
      <x:c r="C9" t="str">
        <x:v>Knight, Brute, Inquisitor</x:v>
      </x:c>
      <x:c r="D9" t="str">
        <x:v>Physical Strength</x:v>
      </x:c>
      <x:c r="E9" t="str">
        <x:v>Might</x:v>
      </x:c>
      <x:c r="F9" t="n">
        <x:v>4</x:v>
      </x:c>
      <x:c r="G9" t="n">
        <x:v>6</x:v>
      </x:c>
      <x:c r="H9" t="n">
        <x:v>2</x:v>
      </x:c>
      <x:c r="I9" t="str">
        <x:v>Crushing Peck</x:v>
      </x:c>
      <x:c r="J9" t="n">
        <x:v>100</x:v>
      </x:c>
      <x:c r="K9" t="n">
        <x:v>0</x:v>
      </x:c>
      <x:c r="L9" t="str">
        <x:v>Deal 100% Strength weapon damage. If Armour is broken and Health is damaged, apply 1 Dazed stack.</x:v>
      </x:c>
      <x:c r="M9" t="n">
        <x:v>3</x:v>
      </x:c>
      <x:c r="N9" t="str">
        <x:v>Fortifying Slam</x:v>
      </x:c>
      <x:c r="O9" t="n">
        <x:v>85</x:v>
      </x:c>
      <x:c r="P9" t="n">
        <x:v>2</x:v>
      </x:c>
      <x:c r="Q9" t="str">
        <x:v>Deal 85% Strength weapon damage and gain 6 Fortified Armour (add 6 to current Armour and temporary Maximum Armour) for 2 turns.</x:v>
      </x:c>
      <x:c r="R9" t="str">
        <x:v>Guard</x:v>
      </x:c>
      <x:c r="S9" t="str">
        <x:v>Vitality</x:v>
      </x:c>
      <x:c r="T9" t="str">
        <x:v>Heavy impact and Armour pressure.</x:v>
      </x:c>
      <x:c r="U9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10">
      <x:c r="A10" t="str">
        <x:v>Wand</x:v>
      </x:c>
      <x:c r="B10" t="str">
        <x:v>1H</x:v>
      </x:c>
      <x:c r="C10" t="str">
        <x:v>Mage, Siren, Bard, Inquisitor</x:v>
      </x:c>
      <x:c r="D10" t="str">
        <x:v>Magical</x:v>
      </x:c>
      <x:c r="E10" t="str">
        <x:v>Focus</x:v>
      </x:c>
      <x:c r="F10" t="n">
        <x:v>2</x:v>
      </x:c>
      <x:c r="G10" t="n">
        <x:v>4</x:v>
      </x:c>
      <x:c r="H10" t="n">
        <x:v>2</x:v>
      </x:c>
      <x:c r="I10" t="str">
        <x:v>Arc Bolt</x:v>
      </x:c>
      <x:c r="J10" t="n">
        <x:v>110</x:v>
      </x:c>
      <x:c r="K10" t="n">
        <x:v>0</x:v>
      </x:c>
      <x:c r="L10" t="str">
        <x:v>Deal 110% Magic weapon damage.</x:v>
      </x:c>
      <x:c r="M10" t="n">
        <x:v>3</x:v>
      </x:c>
      <x:c r="N10" t="str">
        <x:v>Arcane Ward</x:v>
      </x:c>
      <x:c r="O10" t="n">
        <x:v>0</x:v>
      </x:c>
      <x:c r="P10" t="n">
        <x:v>2</x:v>
      </x:c>
      <x:c r="Q10" t="str">
        <x:v>Gain 8 Ward Magic Armour (add 8 to current Magic Armour and temporary Maximum Magic Armour) for 2 turns. Ward heals missing Magic Armour and may exceed normal Maximum Magic Armour.</x:v>
      </x:c>
      <x:c r="R10" t="str">
        <x:v>Resolve</x:v>
      </x:c>
      <x:c r="S10" t="str">
        <x:v>Agility</x:v>
      </x:c>
      <x:c r="T10" t="str">
        <x:v>Reliable basic magical attack.</x:v>
      </x:c>
      <x:c r="U10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11">
      <x:c r="A11" t="str">
        <x:v>Hexwood Wand</x:v>
      </x:c>
      <x:c r="B11" t="str">
        <x:v>1H</x:v>
      </x:c>
      <x:c r="C11" t="str">
        <x:v>Mage and Siren</x:v>
      </x:c>
      <x:c r="D11" t="str">
        <x:v>Magical</x:v>
      </x:c>
      <x:c r="E11" t="str">
        <x:v>Focus</x:v>
      </x:c>
      <x:c r="F11" t="n">
        <x:v>2</x:v>
      </x:c>
      <x:c r="G11" t="n">
        <x:v>3</x:v>
      </x:c>
      <x:c r="H11" t="n">
        <x:v>2</x:v>
      </x:c>
      <x:c r="I11" t="str">
        <x:v>Hex Needle</x:v>
      </x:c>
      <x:c r="J11" t="n">
        <x:v>90</x:v>
      </x:c>
      <x:c r="K11" t="n">
        <x:v>0</x:v>
      </x:c>
      <x:c r="L11" t="str">
        <x:v>Deal 90% Magic weapon damage. If Magic Armour is broken and Health is damaged, roll the weapon’s magical ailment chance.</x:v>
      </x:c>
      <x:c r="M11" t="n">
        <x:v>3</x:v>
      </x:c>
      <x:c r="N11" t="str">
        <x:v>Withering Hex</x:v>
      </x:c>
      <x:c r="O11" t="n">
        <x:v>75</x:v>
      </x:c>
      <x:c r="P11" t="n">
        <x:v>1</x:v>
      </x:c>
      <x:c r="Q11" t="str">
        <x:v>Deal 75% Magic weapon damage. If Magic Armour is broken and Health is damaged, apply Minor Focus Down for 2 turns.</x:v>
      </x:c>
      <x:c r="R11" t="str">
        <x:v>Resolve</x:v>
      </x:c>
      <x:c r="S11" t="str">
        <x:v>Vitality</x:v>
      </x:c>
      <x:c r="T11" t="str">
        <x:v>Lower damage; ailment utility.</x:v>
      </x:c>
      <x:c r="U11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12">
      <x:c r="A12" t="str">
        <x:v>Focus Orb</x:v>
      </x:c>
      <x:c r="B12" t="str">
        <x:v>1H</x:v>
      </x:c>
      <x:c r="C12" t="str">
        <x:v>Mage, Siren, Bard, Inquisitor</x:v>
      </x:c>
      <x:c r="D12" t="str">
        <x:v>Magical</x:v>
      </x:c>
      <x:c r="E12" t="str">
        <x:v>Focus</x:v>
      </x:c>
      <x:c r="F12" t="n">
        <x:v>1</x:v>
      </x:c>
      <x:c r="G12" t="n">
        <x:v>3</x:v>
      </x:c>
      <x:c r="H12" t="n">
        <x:v>2</x:v>
      </x:c>
      <x:c r="I12" t="str">
        <x:v>Orb Pulse</x:v>
      </x:c>
      <x:c r="J12" t="n">
        <x:v>80</x:v>
      </x:c>
      <x:c r="K12" t="n">
        <x:v>0</x:v>
      </x:c>
      <x:c r="L12" t="str">
        <x:v>Deal 80% Magic weapon damage. If Magic Armour is broken and Health is damaged, roll a 60% chance to apply 1 stack of the Orb’s ailment.</x:v>
      </x:c>
      <x:c r="M12" t="n">
        <x:v>3</x:v>
      </x:c>
      <x:c r="N12" t="str">
        <x:v>Orb Ward</x:v>
      </x:c>
      <x:c r="O12" t="n">
        <x:v>0</x:v>
      </x:c>
      <x:c r="P12" t="n">
        <x:v>2</x:v>
      </x:c>
      <x:c r="Q12" t="str">
        <x:v>Gain 8 Ward Magic Armour (add 8 to current Magic Armour and temporary Maximum Magic Armour) for 2 turns and reduce application chance of the Orb’s matching ailment by 10 percentage points while active.</x:v>
      </x:c>
      <x:c r="R12" t="str">
        <x:v>Resolve</x:v>
      </x:c>
      <x:c r="S12" t="str">
        <x:v>Agility</x:v>
      </x:c>
      <x:c r="T12" t="str">
        <x:v>Combination catalyst and ailment carrier.</x:v>
      </x:c>
      <x:c r="U12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13">
      <x:c r="A13" t="str">
        <x:v>Bell Sceptre</x:v>
      </x:c>
      <x:c r="B13" t="str">
        <x:v>1H</x:v>
      </x:c>
      <x:c r="C13" t="str">
        <x:v>Mage, Bard, Inquisitor</x:v>
      </x:c>
      <x:c r="D13" t="str">
        <x:v>Magical</x:v>
      </x:c>
      <x:c r="E13" t="str">
        <x:v>Focus</x:v>
      </x:c>
      <x:c r="F13" t="n">
        <x:v>3</x:v>
      </x:c>
      <x:c r="G13" t="n">
        <x:v>4</x:v>
      </x:c>
      <x:c r="H13" t="n">
        <x:v>2</x:v>
      </x:c>
      <x:c r="I13" t="str">
        <x:v>Resonant Toll</x:v>
      </x:c>
      <x:c r="J13" t="n">
        <x:v>110</x:v>
      </x:c>
      <x:c r="K13" t="n">
        <x:v>0</x:v>
      </x:c>
      <x:c r="L13" t="str">
        <x:v>Deal 110% Magic weapon damage.</x:v>
      </x:c>
      <x:c r="M13" t="n">
        <x:v>3</x:v>
      </x:c>
      <x:c r="N13" t="str">
        <x:v>Harmonic Renewal</x:v>
      </x:c>
      <x:c r="O13" t="n">
        <x:v>0</x:v>
      </x:c>
      <x:c r="P13" t="n">
        <x:v>1</x:v>
      </x:c>
      <x:c r="Q13" t="str">
        <x:v>Restore 5 Armour and 5 Magic Armour, each capped at its normal maximum.</x:v>
      </x:c>
      <x:c r="R13" t="str">
        <x:v>Resolve</x:v>
      </x:c>
      <x:c r="S13" t="str">
        <x:v>Vitality</x:v>
      </x:c>
      <x:c r="T13" t="str">
        <x:v>Stable magical damage and resonance utility.</x:v>
      </x:c>
      <x:c r="U13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14">
      <x:c r="A14" t="str">
        <x:v>Bow</x:v>
      </x:c>
      <x:c r="B14" t="str">
        <x:v>2H</x:v>
      </x:c>
      <x:c r="C14" t="str">
        <x:v>Rogue and Bard</x:v>
      </x:c>
      <x:c r="D14" t="str">
        <x:v>Physical Finesse</x:v>
      </x:c>
      <x:c r="E14" t="str">
        <x:v>Dexterity</x:v>
      </x:c>
      <x:c r="F14" t="n">
        <x:v>4</x:v>
      </x:c>
      <x:c r="G14" t="n">
        <x:v>6</x:v>
      </x:c>
      <x:c r="H14" t="n">
        <x:v>2</x:v>
      </x:c>
      <x:c r="I14" t="str">
        <x:v>Pinion Shot</x:v>
      </x:c>
      <x:c r="J14" t="n">
        <x:v>115</x:v>
      </x:c>
      <x:c r="K14" t="n">
        <x:v>0</x:v>
      </x:c>
      <x:c r="L14" t="str">
        <x:v>Deal 115% Finesse weapon damage.</x:v>
      </x:c>
      <x:c r="M14" t="n">
        <x:v>3</x:v>
      </x:c>
      <x:c r="N14" t="str">
        <x:v>Crippling Shot</x:v>
      </x:c>
      <x:c r="O14" t="n">
        <x:v>95</x:v>
      </x:c>
      <x:c r="P14" t="n">
        <x:v>1</x:v>
      </x:c>
      <x:c r="Q14" t="str">
        <x:v>Deal 95% Finesse weapon damage. If Armour is broken and Health is damaged, apply 2 Crippled stacks.</x:v>
      </x:c>
      <x:c r="R14" t="str">
        <x:v>Agility</x:v>
      </x:c>
      <x:c r="S14" t="str">
        <x:v>Vitality</x:v>
      </x:c>
      <x:c r="T14" t="str">
        <x:v>Standard ranged finesse weapon.</x:v>
      </x:c>
      <x:c r="U14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15">
      <x:c r="A15" t="str">
        <x:v>Lance</x:v>
      </x:c>
      <x:c r="B15" t="str">
        <x:v>2H</x:v>
      </x:c>
      <x:c r="C15" t="str">
        <x:v>Knight and Brute</x:v>
      </x:c>
      <x:c r="D15" t="str">
        <x:v>Physical Strength</x:v>
      </x:c>
      <x:c r="E15" t="str">
        <x:v>Might</x:v>
      </x:c>
      <x:c r="F15" t="n">
        <x:v>5</x:v>
      </x:c>
      <x:c r="G15" t="n">
        <x:v>7</x:v>
      </x:c>
      <x:c r="H15" t="n">
        <x:v>2</x:v>
      </x:c>
      <x:c r="I15" t="str">
        <x:v>Skyward Thrust</x:v>
      </x:c>
      <x:c r="J15" t="n">
        <x:v>120</x:v>
      </x:c>
      <x:c r="K15" t="n">
        <x:v>0</x:v>
      </x:c>
      <x:c r="L15" t="str">
        <x:v>Deal 120% Strength weapon damage.</x:v>
      </x:c>
      <x:c r="M15" t="n">
        <x:v>3</x:v>
      </x:c>
      <x:c r="N15" t="str">
        <x:v>Piercing Charge</x:v>
      </x:c>
      <x:c r="O15" t="n">
        <x:v>135</x:v>
      </x:c>
      <x:c r="P15" t="n">
        <x:v>1</x:v>
      </x:c>
      <x:c r="Q15" t="str">
        <x:v>Deal 135% Strength weapon damage and ignore 4 Guard for this attack.</x:v>
      </x:c>
      <x:c r="R15" t="str">
        <x:v>Guard</x:v>
      </x:c>
      <x:c r="S15" t="str">
        <x:v>Vitality</x:v>
      </x:c>
      <x:c r="T15" t="str">
        <x:v>Physical penetration identity.</x:v>
      </x:c>
      <x:c r="U15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16">
      <x:c r="A16" t="str">
        <x:v>Staff</x:v>
      </x:c>
      <x:c r="B16" t="str">
        <x:v>2H</x:v>
      </x:c>
      <x:c r="C16" t="str">
        <x:v>Mage, Siren, Bard</x:v>
      </x:c>
      <x:c r="D16" t="str">
        <x:v>Magical</x:v>
      </x:c>
      <x:c r="E16" t="str">
        <x:v>Focus</x:v>
      </x:c>
      <x:c r="F16" t="n">
        <x:v>4</x:v>
      </x:c>
      <x:c r="G16" t="n">
        <x:v>6</x:v>
      </x:c>
      <x:c r="H16" t="n">
        <x:v>2</x:v>
      </x:c>
      <x:c r="I16" t="str">
        <x:v>Runic Sweep</x:v>
      </x:c>
      <x:c r="J16" t="n">
        <x:v>110</x:v>
      </x:c>
      <x:c r="K16" t="n">
        <x:v>0</x:v>
      </x:c>
      <x:c r="L16" t="str">
        <x:v>Deal 110% Magic weapon damage.</x:v>
      </x:c>
      <x:c r="M16" t="n">
        <x:v>3</x:v>
      </x:c>
      <x:c r="N16" t="str">
        <x:v>Grand Ward</x:v>
      </x:c>
      <x:c r="O16" t="n">
        <x:v>0</x:v>
      </x:c>
      <x:c r="P16" t="n">
        <x:v>2</x:v>
      </x:c>
      <x:c r="Q16" t="str">
        <x:v>Gain 10 Ward Magic Armour (add 10 to current Magic Armour and temporary Maximum Magic Armour) for 2 turns.</x:v>
      </x:c>
      <x:c r="R16" t="str">
        <x:v>Resolve</x:v>
      </x:c>
      <x:c r="S16" t="str">
        <x:v>Vitality</x:v>
      </x:c>
      <x:c r="T16" t="str">
        <x:v>Strong two-handed magic.</x:v>
      </x:c>
      <x:c r="U16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17">
      <x:c r="A17" t="str">
        <x:v>Greatblade</x:v>
      </x:c>
      <x:c r="B17" t="str">
        <x:v>2H</x:v>
      </x:c>
      <x:c r="C17" t="str">
        <x:v>Knight and Brute</x:v>
      </x:c>
      <x:c r="D17" t="str">
        <x:v>Physical Strength</x:v>
      </x:c>
      <x:c r="E17" t="str">
        <x:v>Might</x:v>
      </x:c>
      <x:c r="F17" t="n">
        <x:v>6</x:v>
      </x:c>
      <x:c r="G17" t="n">
        <x:v>8</x:v>
      </x:c>
      <x:c r="H17" t="n">
        <x:v>2</x:v>
      </x:c>
      <x:c r="I17" t="str">
        <x:v>Greatwing Slash</x:v>
      </x:c>
      <x:c r="J17" t="n">
        <x:v>120</x:v>
      </x:c>
      <x:c r="K17" t="n">
        <x:v>0</x:v>
      </x:c>
      <x:c r="L17" t="str">
        <x:v>Deal 120% Strength weapon damage.</x:v>
      </x:c>
      <x:c r="M17" t="n">
        <x:v>3</x:v>
      </x:c>
      <x:c r="N17" t="str">
        <x:v>Sundering Wing</x:v>
      </x:c>
      <x:c r="O17" t="n">
        <x:v>125</x:v>
      </x:c>
      <x:c r="P17" t="n">
        <x:v>1</x:v>
      </x:c>
      <x:c r="Q17" t="str">
        <x:v>Deal 125% Strength weapon damage. If Armour is broken and Health is damaged, apply 2 Fracture stacks.</x:v>
      </x:c>
      <x:c r="R17" t="str">
        <x:v>Guard</x:v>
      </x:c>
      <x:c r="S17" t="str">
        <x:v>Vitality</x:v>
      </x:c>
      <x:c r="T17" t="str">
        <x:v>Highest direct Strength profile.</x:v>
      </x:c>
      <x:c r="U17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18">
      <x:c r="A18" t="str">
        <x:v>Greatbow</x:v>
      </x:c>
      <x:c r="B18" t="str">
        <x:v>2H</x:v>
      </x:c>
      <x:c r="C18" t="str">
        <x:v>Brute and Knight</x:v>
      </x:c>
      <x:c r="D18" t="str">
        <x:v>Physical Finesse</x:v>
      </x:c>
      <x:c r="E18" t="str">
        <x:v>Dexterity</x:v>
      </x:c>
      <x:c r="F18" t="n">
        <x:v>5</x:v>
      </x:c>
      <x:c r="G18" t="n">
        <x:v>8</x:v>
      </x:c>
      <x:c r="H18" t="n">
        <x:v>2</x:v>
      </x:c>
      <x:c r="I18" t="str">
        <x:v>Piercing Flight</x:v>
      </x:c>
      <x:c r="J18" t="n">
        <x:v>120</x:v>
      </x:c>
      <x:c r="K18" t="n">
        <x:v>0</x:v>
      </x:c>
      <x:c r="L18" t="str">
        <x:v>Deal 120% Finesse weapon damage.</x:v>
      </x:c>
      <x:c r="M18" t="n">
        <x:v>3</x:v>
      </x:c>
      <x:c r="N18" t="str">
        <x:v>Raptor’s Draw</x:v>
      </x:c>
      <x:c r="O18" t="n">
        <x:v>140</x:v>
      </x:c>
      <x:c r="P18" t="n">
        <x:v>1</x:v>
      </x:c>
      <x:c r="Q18" t="str">
        <x:v>Deal 140% Finesse weapon damage with +10 Precision.</x:v>
      </x:c>
      <x:c r="R18" t="str">
        <x:v>Agility</x:v>
      </x:c>
      <x:c r="S18" t="str">
        <x:v>Vitality</x:v>
      </x:c>
      <x:c r="T18" t="str">
        <x:v>High ranged finesse damage.</x:v>
      </x:c>
      <x:c r="U18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19">
      <x:c r="A19" t="str">
        <x:v>War Scythe</x:v>
      </x:c>
      <x:c r="B19" t="str">
        <x:v>2H</x:v>
      </x:c>
      <x:c r="C19" t="str">
        <x:v>Inquisitor and Brute</x:v>
      </x:c>
      <x:c r="D19" t="str">
        <x:v>Physical Strength</x:v>
      </x:c>
      <x:c r="E19" t="str">
        <x:v>Might</x:v>
      </x:c>
      <x:c r="F19" t="n">
        <x:v>5</x:v>
      </x:c>
      <x:c r="G19" t="n">
        <x:v>7</x:v>
      </x:c>
      <x:c r="H19" t="n">
        <x:v>2</x:v>
      </x:c>
      <x:c r="I19" t="str">
        <x:v>Reaping Arc</x:v>
      </x:c>
      <x:c r="J19" t="n">
        <x:v>100</x:v>
      </x:c>
      <x:c r="K19" t="n">
        <x:v>0</x:v>
      </x:c>
      <x:c r="L19" t="str">
        <x:v>Deal 100% Strength weapon damage and heal Health equal to 20% of Health damage dealt.</x:v>
      </x:c>
      <x:c r="M19" t="n">
        <x:v>3</x:v>
      </x:c>
      <x:c r="N19" t="str">
        <x:v>Death’s Harvest</x:v>
      </x:c>
      <x:c r="O19" t="n">
        <x:v>125</x:v>
      </x:c>
      <x:c r="P19" t="n">
        <x:v>1</x:v>
      </x:c>
      <x:c r="Q19" t="str">
        <x:v>Deal 125% Strength weapon damage. Gain +20 Skill Power if the target is below 30% Health.</x:v>
      </x:c>
      <x:c r="R19" t="str">
        <x:v>Vitality</x:v>
      </x:c>
      <x:c r="S19" t="str">
        <x:v>Guard</x:v>
      </x:c>
      <x:c r="T19" t="str">
        <x:v>Execution and recovery identity.</x:v>
      </x:c>
      <x:c r="U19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20">
      <x:c r="A20" t="str">
        <x:v>Runic Grimoire</x:v>
      </x:c>
      <x:c r="B20" t="str">
        <x:v>2H</x:v>
      </x:c>
      <x:c r="C20" t="str">
        <x:v>Mage and Siren</x:v>
      </x:c>
      <x:c r="D20" t="str">
        <x:v>Magical</x:v>
      </x:c>
      <x:c r="E20" t="str">
        <x:v>Focus</x:v>
      </x:c>
      <x:c r="F20" t="n">
        <x:v>3</x:v>
      </x:c>
      <x:c r="G20" t="n">
        <x:v>5</x:v>
      </x:c>
      <x:c r="H20" t="n">
        <x:v>2</x:v>
      </x:c>
      <x:c r="I20" t="str">
        <x:v>Inscribed Burst</x:v>
      </x:c>
      <x:c r="J20" t="n">
        <x:v>100</x:v>
      </x:c>
      <x:c r="K20" t="n">
        <x:v>0</x:v>
      </x:c>
      <x:c r="L20" t="str">
        <x:v>Deal 100% Magic weapon damage and resolve the Grimoire’s selected rune rider.</x:v>
      </x:c>
      <x:c r="M20" t="n">
        <x:v>3</x:v>
      </x:c>
      <x:c r="N20" t="str">
        <x:v>Runic Bastion</x:v>
      </x:c>
      <x:c r="O20" t="n">
        <x:v>0</x:v>
      </x:c>
      <x:c r="P20" t="n">
        <x:v>3</x:v>
      </x:c>
      <x:c r="Q20" t="str">
        <x:v>Gain 5 Fortified Armour (add 5 to current Armour and temporary Maximum Armour) and 7 Ward Magic Armour (add 7 to current Magic Armour and temporary Maximum Magic Armour) for 2 turns.</x:v>
      </x:c>
      <x:c r="R20" t="str">
        <x:v>Resolve</x:v>
      </x:c>
      <x:c r="S20" t="str">
        <x:v>Vitality</x:v>
      </x:c>
      <x:c r="T20" t="str">
        <x:v>Spell utility and named runes.</x:v>
      </x:c>
      <x:c r="U20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21">
      <x:c r="A21" t="str">
        <x:v>Bard Song</x:v>
      </x:c>
      <x:c r="B21" t="str">
        <x:v>2H</x:v>
      </x:c>
      <x:c r="C21" t="str">
        <x:v>Bard only</x:v>
      </x:c>
      <x:c r="D21" t="str">
        <x:v>Magical</x:v>
      </x:c>
      <x:c r="E21" t="str">
        <x:v>Focus</x:v>
      </x:c>
      <x:c r="F21" t="n">
        <x:v>2</x:v>
      </x:c>
      <x:c r="G21" t="n">
        <x:v>4</x:v>
      </x:c>
      <x:c r="H21" t="n">
        <x:v>2</x:v>
      </x:c>
      <x:c r="I21" t="str">
        <x:v>Rallying Chorus</x:v>
      </x:c>
      <x:c r="J21" t="n">
        <x:v>70</x:v>
      </x:c>
      <x:c r="K21" t="n">
        <x:v>0</x:v>
      </x:c>
      <x:c r="L21" t="str">
        <x:v>Deal 70% Magic weapon damage, then choose Might, Dexterity, or Focus and gain Minor Up for 2 turns.</x:v>
      </x:c>
      <x:c r="M21" t="n">
        <x:v>3</x:v>
      </x:c>
      <x:c r="N21" t="str">
        <x:v>Resonant Refrain</x:v>
      </x:c>
      <x:c r="O21" t="n">
        <x:v>90</x:v>
      </x:c>
      <x:c r="P21" t="n">
        <x:v>1</x:v>
      </x:c>
      <x:c r="Q21" t="str">
        <x:v>Deal 90% Magic weapon damage, restore 4 Magic Armour, and gain Minor Resolve Up for 2 turns.</x:v>
      </x:c>
      <x:c r="R21" t="str">
        <x:v>Dexterity</x:v>
      </x:c>
      <x:c r="S21" t="str">
        <x:v>Resolve</x:v>
      </x:c>
      <x:c r="T21" t="str">
        <x:v>Support-oriented magic damage.</x:v>
      </x:c>
      <x:c r="U21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22">
      <x:c r="A22" t="str">
        <x:v>Lament Song</x:v>
      </x:c>
      <x:c r="B22" t="str">
        <x:v>2H</x:v>
      </x:c>
      <x:c r="C22" t="str">
        <x:v>Bard and Siren</x:v>
      </x:c>
      <x:c r="D22" t="str">
        <x:v>Magical</x:v>
      </x:c>
      <x:c r="E22" t="str">
        <x:v>Focus</x:v>
      </x:c>
      <x:c r="F22" t="n">
        <x:v>2</x:v>
      </x:c>
      <x:c r="G22" t="n">
        <x:v>4</x:v>
      </x:c>
      <x:c r="H22" t="n">
        <x:v>2</x:v>
      </x:c>
      <x:c r="I22" t="str">
        <x:v>Mourning Note</x:v>
      </x:c>
      <x:c r="J22" t="n">
        <x:v>85</x:v>
      </x:c>
      <x:c r="K22" t="n">
        <x:v>0</x:v>
      </x:c>
      <x:c r="L22" t="str">
        <x:v>Deal 85% Magic weapon damage. If Magic Armour is broken and Health is damaged, apply Minor Resolve Down for 2 turns.</x:v>
      </x:c>
      <x:c r="M22" t="n">
        <x:v>3</x:v>
      </x:c>
      <x:c r="N22" t="str">
        <x:v>Dirge of Fracture</x:v>
      </x:c>
      <x:c r="O22" t="n">
        <x:v>100</x:v>
      </x:c>
      <x:c r="P22" t="n">
        <x:v>1</x:v>
      </x:c>
      <x:c r="Q22" t="str">
        <x:v>Deal 100% Magic weapon damage. If Magic Armour is broken and Health is damaged, apply Moderate Resolve Down for 1 turn.</x:v>
      </x:c>
      <x:c r="R22" t="str">
        <x:v>Resolve</x:v>
      </x:c>
      <x:c r="S22" t="str">
        <x:v>Agility</x:v>
      </x:c>
      <x:c r="T22" t="str">
        <x:v>Debuff-oriented magic damage.</x:v>
      </x:c>
      <x:c r="U22" t="str">
        <x:v>The equipped weapon provides a 1 EN Basic Attack at 100% weapon damage. Standard weapons also grant a 2 EN Skill 1 and 3 EN Skill 2; normal Skill 2 cooldown is 1 turn, Fortify/Ward uses 2 turns, and dual Bastion/Aegis uses 3 turns.</x:v>
      </x:c>
    </x:row>
    <x:row r="23">
      <x:c r="A23" s="41" t="str">
        <x:v>Tail Wand</x:v>
      </x:c>
      <x:c r="B23" s="41" t="str">
        <x:v>1H</x:v>
      </x:c>
      <x:c r="C23" s="41" t="str">
        <x:v>Mage and Siren</x:v>
      </x:c>
      <x:c r="D23" s="41" t="str">
        <x:v>Magical</x:v>
      </x:c>
      <x:c r="E23" s="41" t="str">
        <x:v>Focus</x:v>
      </x:c>
      <x:c r="F23" s="41" t="n">
        <x:v>1</x:v>
      </x:c>
      <x:c r="G23" s="41" t="n">
        <x:v>2</x:v>
      </x:c>
      <x:c r="H23" s="41" t="n">
        <x:v>1</x:v>
      </x:c>
      <x:c r="I23" s="41" t="str">
        <x:v>Basic Attack</x:v>
      </x:c>
      <x:c r="J23" s="41" t="n">
        <x:v>100</x:v>
      </x:c>
      <x:c r="K23" s="41" t="n">
        <x:v>0</x:v>
      </x:c>
      <x:c r="L23" s="41" t="str">
        <x:v>Deal 100% Magic weapon damage using Focus. This is the equipped basic attack.</x:v>
      </x:c>
      <x:c r="M23" s="41"/>
      <x:c r="N23" s="41"/>
      <x:c r="O23" s="41"/>
      <x:c r="P23" s="41"/>
      <x:c r="Q23" s="41" t="str">
        <x:v>No additional skill.</x:v>
      </x:c>
      <x:c r="R23" s="41" t="str">
        <x:v>Resolve</x:v>
      </x:c>
      <x:c r="S23" s="41" t="str">
        <x:v>Agility</x:v>
      </x:c>
      <x:c r="T23" s="41" t="str">
        <x:v>Starter magical implement.</x:v>
      </x:c>
      <x:c r="U23" s="41" t="str">
        <x:v>Starting weapon. Grants no extra weapon skills. Its Basic Attack replaces the universal basic attack and costs 1 EN, using 100% of the weapon's damage range plus the listed scaling stat.</x:v>
      </x:c>
    </x:row>
    <x:row r="24">
      <x:c r="A24" s="41" t="str">
        <x:v>Beak Stab</x:v>
      </x:c>
      <x:c r="B24" s="41" t="str">
        <x:v>Natural</x:v>
      </x:c>
      <x:c r="C24" s="41" t="str">
        <x:v>Knight and Brute</x:v>
      </x:c>
      <x:c r="D24" s="41" t="str">
        <x:v>Physical Strength</x:v>
      </x:c>
      <x:c r="E24" s="41" t="str">
        <x:v>Might</x:v>
      </x:c>
      <x:c r="F24" s="41" t="n">
        <x:v>2</x:v>
      </x:c>
      <x:c r="G24" s="41" t="n">
        <x:v>3</x:v>
      </x:c>
      <x:c r="H24" s="41" t="n">
        <x:v>1</x:v>
      </x:c>
      <x:c r="I24" s="41" t="str">
        <x:v>Basic Attack</x:v>
      </x:c>
      <x:c r="J24" s="41" t="n">
        <x:v>100</x:v>
      </x:c>
      <x:c r="K24" s="41" t="n">
        <x:v>0</x:v>
      </x:c>
      <x:c r="L24" s="41" t="str">
        <x:v>Deal 100% Strength weapon damage using Might. This is the equipped basic attack.</x:v>
      </x:c>
      <x:c r="M24" s="41"/>
      <x:c r="N24" s="41"/>
      <x:c r="O24" s="41"/>
      <x:c r="P24" s="41"/>
      <x:c r="Q24" s="41" t="str">
        <x:v>No additional skill.</x:v>
      </x:c>
      <x:c r="R24" s="41" t="str">
        <x:v>Guard</x:v>
      </x:c>
      <x:c r="S24" s="41" t="str">
        <x:v>Vitality</x:v>
      </x:c>
      <x:c r="T24" s="41" t="str">
        <x:v>Starter heavy physical strike.</x:v>
      </x:c>
      <x:c r="U24" s="41" t="str">
        <x:v>Starting weapon. Grants no extra weapon skills. Its Basic Attack replaces the universal basic attack and costs 1 EN, using 100% of the weapon's damage range plus the listed scaling stat.</x:v>
      </x:c>
    </x:row>
    <x:row r="25">
      <x:c r="A25" s="41" t="str">
        <x:v>Broken Song</x:v>
      </x:c>
      <x:c r="B25" s="41" t="str">
        <x:v>Natural</x:v>
      </x:c>
      <x:c r="C25" s="41" t="str">
        <x:v>Bard only</x:v>
      </x:c>
      <x:c r="D25" s="41" t="str">
        <x:v>Magical</x:v>
      </x:c>
      <x:c r="E25" s="41" t="str">
        <x:v>Focus</x:v>
      </x:c>
      <x:c r="F25" s="41" t="n">
        <x:v>1</x:v>
      </x:c>
      <x:c r="G25" s="41" t="n">
        <x:v>2</x:v>
      </x:c>
      <x:c r="H25" s="41" t="n">
        <x:v>1</x:v>
      </x:c>
      <x:c r="I25" s="41" t="str">
        <x:v>Basic Attack</x:v>
      </x:c>
      <x:c r="J25" s="41" t="n">
        <x:v>100</x:v>
      </x:c>
      <x:c r="K25" s="41" t="n">
        <x:v>0</x:v>
      </x:c>
      <x:c r="L25" s="41" t="str">
        <x:v>Deal 100% Magic weapon damage using Focus. This is the equipped basic attack.</x:v>
      </x:c>
      <x:c r="M25" s="41"/>
      <x:c r="N25" s="41"/>
      <x:c r="O25" s="41"/>
      <x:c r="P25" s="41"/>
      <x:c r="Q25" s="41" t="str">
        <x:v>No additional skill.</x:v>
      </x:c>
      <x:c r="R25" s="41" t="str">
        <x:v>Dexterity</x:v>
      </x:c>
      <x:c r="S25" s="41" t="str">
        <x:v>Resolve</x:v>
      </x:c>
      <x:c r="T25" s="41" t="str">
        <x:v>Starter resonant attack.</x:v>
      </x:c>
      <x:c r="U25" s="41" t="str">
        <x:v>Starting weapon. Grants no extra weapon skills. Its Basic Attack replaces the universal basic attack and costs 1 EN, using 100% of the weapon's damage range plus the listed scaling stat.</x:v>
      </x:c>
    </x:row>
    <x:row r="26">
      <x:c r="A26" s="41" t="str">
        <x:v>Talon Scratch</x:v>
      </x:c>
      <x:c r="B26" s="41" t="str">
        <x:v>Natural</x:v>
      </x:c>
      <x:c r="C26" s="41" t="str">
        <x:v>Rogue only</x:v>
      </x:c>
      <x:c r="D26" s="41" t="str">
        <x:v>Physical Finesse</x:v>
      </x:c>
      <x:c r="E26" s="41" t="str">
        <x:v>Dexterity</x:v>
      </x:c>
      <x:c r="F26" s="41" t="n">
        <x:v>1</x:v>
      </x:c>
      <x:c r="G26" s="41" t="n">
        <x:v>2</x:v>
      </x:c>
      <x:c r="H26" s="41" t="n">
        <x:v>1</x:v>
      </x:c>
      <x:c r="I26" s="41" t="str">
        <x:v>Basic Attack</x:v>
      </x:c>
      <x:c r="J26" s="41" t="n">
        <x:v>100</x:v>
      </x:c>
      <x:c r="K26" s="41" t="n">
        <x:v>0</x:v>
      </x:c>
      <x:c r="L26" s="41" t="str">
        <x:v>Deal 100% Finesse weapon damage using Dexterity. This is the equipped basic attack.</x:v>
      </x:c>
      <x:c r="M26" s="41"/>
      <x:c r="N26" s="41"/>
      <x:c r="O26" s="41"/>
      <x:c r="P26" s="41"/>
      <x:c r="Q26" s="41" t="str">
        <x:v>No additional skill.</x:v>
      </x:c>
      <x:c r="R26" s="41" t="str">
        <x:v>Agility</x:v>
      </x:c>
      <x:c r="S26" s="41" t="str">
        <x:v>Vitality</x:v>
      </x:c>
      <x:c r="T26" s="41" t="str">
        <x:v>Starter finesse attack.</x:v>
      </x:c>
      <x:c r="U26" s="41" t="str">
        <x:v>Starting weapon. Grants no extra weapon skills. Its Basic Attack replaces the universal basic attack and costs 1 EN, using 100% of the weapon's damage range plus the listed scaling stat.</x:v>
      </x:c>
    </x:row>
    <x:row r="27">
      <x:c r="A27" s="41" t="str">
        <x:v>Plume Syphon</x:v>
      </x:c>
      <x:c r="B27" s="41" t="str">
        <x:v>Natural</x:v>
      </x:c>
      <x:c r="C27" s="41" t="str">
        <x:v>Inquisitor only</x:v>
      </x:c>
      <x:c r="D27" s="41" t="str">
        <x:v>Magical</x:v>
      </x:c>
      <x:c r="E27" s="41" t="str">
        <x:v>Focus</x:v>
      </x:c>
      <x:c r="F27" s="41" t="n">
        <x:v>1</x:v>
      </x:c>
      <x:c r="G27" s="41" t="n">
        <x:v>2</x:v>
      </x:c>
      <x:c r="H27" s="41" t="n">
        <x:v>1</x:v>
      </x:c>
      <x:c r="I27" s="41" t="str">
        <x:v>Basic Attack</x:v>
      </x:c>
      <x:c r="J27" s="41" t="n">
        <x:v>100</x:v>
      </x:c>
      <x:c r="K27" s="41" t="n">
        <x:v>0</x:v>
      </x:c>
      <x:c r="L27" s="41" t="str">
        <x:v>Deal 100% Magic weapon damage using Focus. This is the equipped basic attack.</x:v>
      </x:c>
      <x:c r="M27" s="41"/>
      <x:c r="N27" s="41"/>
      <x:c r="O27" s="41"/>
      <x:c r="P27" s="41"/>
      <x:c r="Q27" s="41" t="str">
        <x:v>No additional skill.</x:v>
      </x:c>
      <x:c r="R27" s="41" t="str">
        <x:v>Vitality</x:v>
      </x:c>
      <x:c r="S27" s="41" t="str">
        <x:v>Resolve</x:v>
      </x:c>
      <x:c r="T27" s="41" t="str">
        <x:v>Starter siphoning attack.</x:v>
      </x:c>
      <x:c r="U27" s="41" t="str">
        <x:v>Starting weapon. Grants no extra weapon skills. Its Basic Attack replaces the universal basic attack and costs 1 EN, using 100% of the weapon's damage range plus the listed scaling stat.</x:v>
      </x:c>
    </x:row>
  </x:sheetData>
  <x:mergeCells>
    <x:mergeCell ref="A1:U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sheetData>
    <x:row r="1">
      <x:c r="A1" t="str">
        <x:v>Weapons Catalogue — 5 Basic Starting Weapons + 18 Standard Families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</x:row>
    <x:row r="4">
      <x:c r="A4" t="str">
        <x:v>Item ID</x:v>
      </x:c>
      <x:c r="B4" t="str">
        <x:v>Item Name</x:v>
      </x:c>
      <x:c r="C4" t="str">
        <x:v>Rarity</x:v>
      </x:c>
      <x:c r="D4" t="str">
        <x:v>Family</x:v>
      </x:c>
      <x:c r="E4" t="str">
        <x:v>Hands</x:v>
      </x:c>
      <x:c r="F4" t="str">
        <x:v>Class Access</x:v>
      </x:c>
      <x:c r="G4" t="str">
        <x:v>Damage Category</x:v>
      </x:c>
      <x:c r="H4" t="str">
        <x:v>Scaling Stat</x:v>
      </x:c>
      <x:c r="I4" t="str">
        <x:v>Damage Min</x:v>
      </x:c>
      <x:c r="J4" t="str">
        <x:v>Damage Max</x:v>
      </x:c>
      <x:c r="K4" t="str">
        <x:v>Skill 1 EN</x:v>
      </x:c>
      <x:c r="L4" t="str">
        <x:v>Skill 1</x:v>
      </x:c>
      <x:c r="M4" t="str">
        <x:v>Skill 1 Power %</x:v>
      </x:c>
      <x:c r="N4" t="str">
        <x:v>Skill 1 Cooldown</x:v>
      </x:c>
      <x:c r="O4" t="str">
        <x:v>Skill 1 Effect</x:v>
      </x:c>
      <x:c r="P4" t="str">
        <x:v>Skill 2 EN</x:v>
      </x:c>
      <x:c r="Q4" t="str">
        <x:v>Skill 2</x:v>
      </x:c>
      <x:c r="R4" t="str">
        <x:v>Skill 2 Power %</x:v>
      </x:c>
      <x:c r="S4" t="str">
        <x:v>Skill 2 Cooldown</x:v>
      </x:c>
      <x:c r="T4" t="str">
        <x:v>Skill 2 Effect</x:v>
      </x:c>
      <x:c r="U4" t="str">
        <x:v>Vitality</x:v>
      </x:c>
      <x:c r="V4" t="str">
        <x:v>Might</x:v>
      </x:c>
      <x:c r="W4" t="str">
        <x:v>Dexterity</x:v>
      </x:c>
      <x:c r="X4" t="str">
        <x:v>Guard</x:v>
      </x:c>
      <x:c r="Y4" t="str">
        <x:v>Focus</x:v>
      </x:c>
      <x:c r="Z4" t="str">
        <x:v>Resolve</x:v>
      </x:c>
      <x:c r="AA4" t="str">
        <x:v>Agility</x:v>
      </x:c>
      <x:c r="AB4" t="str">
        <x:v>Critical %</x:v>
      </x:c>
      <x:c r="AC4" t="str">
        <x:v>Physical Pen.</x:v>
      </x:c>
      <x:c r="AD4" t="str">
        <x:v>Magic Pen.</x:v>
      </x:c>
      <x:c r="AE4" t="str">
        <x:v>Identity</x:v>
      </x:c>
      <x:c r="AF4" t="str">
        <x:v>Notes</x:v>
      </x:c>
    </x:row>
    <x:row r="5">
      <x:c r="A5" t="str">
        <x:v>WPN-001</x:v>
      </x:c>
      <x:c r="B5" t="str">
        <x:v>Dagger Pinion</x:v>
      </x:c>
      <x:c r="C5" t="str">
        <x:v>Grey</x:v>
      </x:c>
      <x:c r="D5" t="str">
        <x:v>Dagger Pinion</x:v>
      </x:c>
      <x:c r="E5" t="str">
        <x:v>1H</x:v>
      </x:c>
      <x:c r="F5" t="str">
        <x:v>Rogue only</x:v>
      </x:c>
      <x:c r="G5" t="str">
        <x:v>Physical Finesse</x:v>
      </x:c>
      <x:c r="H5" t="str">
        <x:v>Dexterity</x:v>
      </x:c>
      <x:c r="I5" t="n">
        <x:v>2</x:v>
      </x:c>
      <x:c r="J5" t="n">
        <x:v>3</x:v>
      </x:c>
      <x:c r="K5" t="n">
        <x:v>2</x:v>
      </x:c>
      <x:c r="L5" t="str">
        <x:v>Quick Pinion</x:v>
      </x:c>
      <x:c r="M5" t="n">
        <x:v>110</x:v>
      </x:c>
      <x:c r="N5" t="n">
        <x:v>0</x:v>
      </x:c>
      <x:c r="O5" t="str">
        <x:v>Deal 110% Finesse weapon damage. Gain +10 Precision if the user has higher Agility than the target.</x:v>
      </x:c>
      <x:c r="P5" t="n">
        <x:v>3</x:v>
      </x:c>
      <x:c r="Q5" t="str">
        <x:v>Pinion Flurry</x:v>
      </x:c>
      <x:c r="R5" t="n">
        <x:v>120</x:v>
      </x:c>
      <x:c r="S5" t="n">
        <x:v>1</x:v>
      </x:c>
      <x:c r="T5" t="str">
        <x:v>Strike twice for 60% weapon damage per hit. If both hits damage Health, roll a 50% chance to apply Bleed.</x:v>
      </x:c>
      <x:c r="U5" t="n">
        <x:v>0</x:v>
      </x:c>
      <x:c r="V5" t="n">
        <x:v>0</x:v>
      </x:c>
      <x:c r="W5" t="n">
        <x:v>1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str">
        <x:v>Fast, precise finesse strike.</x:v>
      </x:c>
      <x:c r="AF5" t="str">
        <x:v>Every weapon grants both listed skills. No weapon-granted skill costs 4 EN. Restoration uses a 1-turn cooldown; Fortify/Ward use 2 turns; dual Bastion/Aegis uses 3 turns.</x:v>
      </x:c>
    </x:row>
    <x:row r="6">
      <x:c r="A6" t="str">
        <x:v>WPN-002</x:v>
      </x:c>
      <x:c r="B6" t="str">
        <x:v>Sturdy Dagger Pinion</x:v>
      </x:c>
      <x:c r="C6" t="str">
        <x:v>Green</x:v>
      </x:c>
      <x:c r="D6" t="str">
        <x:v>Dagger Pinion</x:v>
      </x:c>
      <x:c r="E6" t="str">
        <x:v>1H</x:v>
      </x:c>
      <x:c r="F6" t="str">
        <x:v>Rogue only</x:v>
      </x:c>
      <x:c r="G6" t="str">
        <x:v>Physical Finesse</x:v>
      </x:c>
      <x:c r="H6" t="str">
        <x:v>Dexterity</x:v>
      </x:c>
      <x:c r="I6" t="n">
        <x:v>3</x:v>
      </x:c>
      <x:c r="J6" t="n">
        <x:v>4</x:v>
      </x:c>
      <x:c r="K6" t="n">
        <x:v>2</x:v>
      </x:c>
      <x:c r="L6" t="str">
        <x:v>Quick Pinion</x:v>
      </x:c>
      <x:c r="M6" t="n">
        <x:v>110</x:v>
      </x:c>
      <x:c r="N6" t="n">
        <x:v>0</x:v>
      </x:c>
      <x:c r="O6" t="str">
        <x:v>Deal 110% Finesse weapon damage. Gain +10 Precision if the user has higher Agility than the target.</x:v>
      </x:c>
      <x:c r="P6" t="n">
        <x:v>3</x:v>
      </x:c>
      <x:c r="Q6" t="str">
        <x:v>Pinion Flurry</x:v>
      </x:c>
      <x:c r="R6" t="n">
        <x:v>120</x:v>
      </x:c>
      <x:c r="S6" t="n">
        <x:v>1</x:v>
      </x:c>
      <x:c r="T6" t="str">
        <x:v>Strike twice for 60% weapon damage per hit. If both hits damage Health, roll a 50% chance to apply Bleed.</x:v>
      </x:c>
      <x:c r="U6" t="n">
        <x:v>0</x:v>
      </x:c>
      <x:c r="V6" t="n">
        <x:v>0</x:v>
      </x:c>
      <x:c r="W6" t="n">
        <x:v>1</x:v>
      </x:c>
      <x:c r="X6" t="n">
        <x:v>0</x:v>
      </x:c>
      <x:c r="Y6" t="n">
        <x:v>0</x:v>
      </x:c>
      <x:c r="Z6" t="n">
        <x:v>0</x:v>
      </x:c>
      <x:c r="AA6" t="n">
        <x:v>1</x:v>
      </x:c>
      <x:c r="AB6" t="n">
        <x:v>0</x:v>
      </x:c>
      <x:c r="AC6" t="n">
        <x:v>0</x:v>
      </x:c>
      <x:c r="AD6" t="n">
        <x:v>0</x:v>
      </x:c>
      <x:c r="AE6" t="str">
        <x:v>Fast, precise finesse strike.</x:v>
      </x:c>
      <x:c r="AF6" t="str">
        <x:v>Every weapon grants both listed skills. No weapon-granted skill costs 4 EN. Restoration uses a 1-turn cooldown; Fortify/Ward use 2 turns; dual Bastion/Aegis uses 3 turns.</x:v>
      </x:c>
    </x:row>
    <x:row r="7">
      <x:c r="A7" t="str">
        <x:v>WPN-003</x:v>
      </x:c>
      <x:c r="B7" t="str">
        <x:v>Tempered Dagger Pinion</x:v>
      </x:c>
      <x:c r="C7" t="str">
        <x:v>Blue</x:v>
      </x:c>
      <x:c r="D7" t="str">
        <x:v>Dagger Pinion</x:v>
      </x:c>
      <x:c r="E7" t="str">
        <x:v>1H</x:v>
      </x:c>
      <x:c r="F7" t="str">
        <x:v>Rogue only</x:v>
      </x:c>
      <x:c r="G7" t="str">
        <x:v>Physical Finesse</x:v>
      </x:c>
      <x:c r="H7" t="str">
        <x:v>Dexterity</x:v>
      </x:c>
      <x:c r="I7" t="n">
        <x:v>3</x:v>
      </x:c>
      <x:c r="J7" t="n">
        <x:v>5</x:v>
      </x:c>
      <x:c r="K7" t="n">
        <x:v>2</x:v>
      </x:c>
      <x:c r="L7" t="str">
        <x:v>Quick Pinion</x:v>
      </x:c>
      <x:c r="M7" t="n">
        <x:v>110</x:v>
      </x:c>
      <x:c r="N7" t="n">
        <x:v>0</x:v>
      </x:c>
      <x:c r="O7" t="str">
        <x:v>Deal 110% Finesse weapon damage. Gain +10 Precision if the user has higher Agility than the target.</x:v>
      </x:c>
      <x:c r="P7" t="n">
        <x:v>3</x:v>
      </x:c>
      <x:c r="Q7" t="str">
        <x:v>Pinion Flurry</x:v>
      </x:c>
      <x:c r="R7" t="n">
        <x:v>120</x:v>
      </x:c>
      <x:c r="S7" t="n">
        <x:v>1</x:v>
      </x:c>
      <x:c r="T7" t="str">
        <x:v>Strike twice for 60% weapon damage per hit. If both hits damage Health, roll a 50% chance to apply Bleed.</x:v>
      </x:c>
      <x:c r="U7" t="n">
        <x:v>0</x:v>
      </x:c>
      <x:c r="V7" t="n">
        <x:v>0</x:v>
      </x:c>
      <x:c r="W7" t="n">
        <x:v>2</x:v>
      </x:c>
      <x:c r="X7" t="n">
        <x:v>0</x:v>
      </x:c>
      <x:c r="Y7" t="n">
        <x:v>0</x:v>
      </x:c>
      <x:c r="Z7" t="n">
        <x:v>0</x:v>
      </x:c>
      <x:c r="AA7" t="n">
        <x:v>1</x:v>
      </x:c>
      <x:c r="AB7" t="n">
        <x:v>1</x:v>
      </x:c>
      <x:c r="AC7" t="n">
        <x:v>0</x:v>
      </x:c>
      <x:c r="AD7" t="n">
        <x:v>0</x:v>
      </x:c>
      <x:c r="AE7" t="str">
        <x:v>Fast, precise finesse strike.</x:v>
      </x:c>
      <x:c r="AF7" t="str">
        <x:v>Every weapon grants both listed skills. No weapon-granted skill costs 4 EN. Restoration uses a 1-turn cooldown; Fortify/Ward use 2 turns; dual Bastion/Aegis uses 3 turns.</x:v>
      </x:c>
    </x:row>
    <x:row r="8">
      <x:c r="A8" t="str">
        <x:v>WPN-004</x:v>
      </x:c>
      <x:c r="B8" t="str">
        <x:v>Masterwork Dagger Pinion</x:v>
      </x:c>
      <x:c r="C8" t="str">
        <x:v>Purple</x:v>
      </x:c>
      <x:c r="D8" t="str">
        <x:v>Dagger Pinion</x:v>
      </x:c>
      <x:c r="E8" t="str">
        <x:v>1H</x:v>
      </x:c>
      <x:c r="F8" t="str">
        <x:v>Rogue only</x:v>
      </x:c>
      <x:c r="G8" t="str">
        <x:v>Physical Finesse</x:v>
      </x:c>
      <x:c r="H8" t="str">
        <x:v>Dexterity</x:v>
      </x:c>
      <x:c r="I8" t="n">
        <x:v>4</x:v>
      </x:c>
      <x:c r="J8" t="n">
        <x:v>6</x:v>
      </x:c>
      <x:c r="K8" t="n">
        <x:v>2</x:v>
      </x:c>
      <x:c r="L8" t="str">
        <x:v>Quick Pinion</x:v>
      </x:c>
      <x:c r="M8" t="n">
        <x:v>110</x:v>
      </x:c>
      <x:c r="N8" t="n">
        <x:v>0</x:v>
      </x:c>
      <x:c r="O8" t="str">
        <x:v>Deal 110% Finesse weapon damage. Gain +10 Precision if the user has higher Agility than the target.</x:v>
      </x:c>
      <x:c r="P8" t="n">
        <x:v>3</x:v>
      </x:c>
      <x:c r="Q8" t="str">
        <x:v>Pinion Flurry</x:v>
      </x:c>
      <x:c r="R8" t="n">
        <x:v>120</x:v>
      </x:c>
      <x:c r="S8" t="n">
        <x:v>1</x:v>
      </x:c>
      <x:c r="T8" t="str">
        <x:v>Strike twice for 60% weapon damage per hit. If both hits damage Health, roll a 50% chance to apply Bleed.</x:v>
      </x:c>
      <x:c r="U8" t="n">
        <x:v>0</x:v>
      </x:c>
      <x:c r="V8" t="n">
        <x:v>0</x:v>
      </x:c>
      <x:c r="W8" t="n">
        <x:v>3</x:v>
      </x:c>
      <x:c r="X8" t="n">
        <x:v>1</x:v>
      </x:c>
      <x:c r="Y8" t="n">
        <x:v>0</x:v>
      </x:c>
      <x:c r="Z8" t="n">
        <x:v>0</x:v>
      </x:c>
      <x:c r="AA8" t="n">
        <x:v>1</x:v>
      </x:c>
      <x:c r="AB8" t="n">
        <x:v>2</x:v>
      </x:c>
      <x:c r="AC8" t="n">
        <x:v>0</x:v>
      </x:c>
      <x:c r="AD8" t="n">
        <x:v>0</x:v>
      </x:c>
      <x:c r="AE8" t="str">
        <x:v>Fast, precise finesse strike.</x:v>
      </x:c>
      <x:c r="AF8" t="str">
        <x:v>Every weapon grants both listed skills. No weapon-granted skill costs 4 EN. Restoration uses a 1-turn cooldown; Fortify/Ward use 2 turns; dual Bastion/Aegis uses 3 turns.</x:v>
      </x:c>
    </x:row>
    <x:row r="9">
      <x:c r="A9" t="str">
        <x:v>WPN-005</x:v>
      </x:c>
      <x:c r="B9" t="str">
        <x:v>Regal Dagger Pinion</x:v>
      </x:c>
      <x:c r="C9" t="str">
        <x:v>Gold</x:v>
      </x:c>
      <x:c r="D9" t="str">
        <x:v>Dagger Pinion</x:v>
      </x:c>
      <x:c r="E9" t="str">
        <x:v>1H</x:v>
      </x:c>
      <x:c r="F9" t="str">
        <x:v>Rogue only</x:v>
      </x:c>
      <x:c r="G9" t="str">
        <x:v>Physical Finesse</x:v>
      </x:c>
      <x:c r="H9" t="str">
        <x:v>Dexterity</x:v>
      </x:c>
      <x:c r="I9" t="n">
        <x:v>5</x:v>
      </x:c>
      <x:c r="J9" t="n">
        <x:v>7</x:v>
      </x:c>
      <x:c r="K9" t="n">
        <x:v>2</x:v>
      </x:c>
      <x:c r="L9" t="str">
        <x:v>Quick Pinion</x:v>
      </x:c>
      <x:c r="M9" t="n">
        <x:v>110</x:v>
      </x:c>
      <x:c r="N9" t="n">
        <x:v>0</x:v>
      </x:c>
      <x:c r="O9" t="str">
        <x:v>Deal 110% Finesse weapon damage. Gain +10 Precision if the user has higher Agility than the target.</x:v>
      </x:c>
      <x:c r="P9" t="n">
        <x:v>3</x:v>
      </x:c>
      <x:c r="Q9" t="str">
        <x:v>Pinion Flurry</x:v>
      </x:c>
      <x:c r="R9" t="n">
        <x:v>120</x:v>
      </x:c>
      <x:c r="S9" t="n">
        <x:v>1</x:v>
      </x:c>
      <x:c r="T9" t="str">
        <x:v>Strike twice for 60% weapon damage per hit. If both hits damage Health, roll a 50% chance to apply Bleed.</x:v>
      </x:c>
      <x:c r="U9" t="n">
        <x:v>0</x:v>
      </x:c>
      <x:c r="V9" t="n">
        <x:v>0</x:v>
      </x:c>
      <x:c r="W9" t="n">
        <x:v>4</x:v>
      </x:c>
      <x:c r="X9" t="n">
        <x:v>1</x:v>
      </x:c>
      <x:c r="Y9" t="n">
        <x:v>0</x:v>
      </x:c>
      <x:c r="Z9" t="n">
        <x:v>0</x:v>
      </x:c>
      <x:c r="AA9" t="n">
        <x:v>2</x:v>
      </x:c>
      <x:c r="AB9" t="n">
        <x:v>3</x:v>
      </x:c>
      <x:c r="AC9" t="n">
        <x:v>0</x:v>
      </x:c>
      <x:c r="AD9" t="n">
        <x:v>0</x:v>
      </x:c>
      <x:c r="AE9" t="str">
        <x:v>Fast, precise finesse strike.</x:v>
      </x:c>
      <x:c r="AF9" t="str">
        <x:v>Every weapon grants both listed skills. No weapon-granted skill costs 4 EN. Restoration uses a 1-turn cooldown; Fortify/Ward use 2 turns; dual Bastion/Aegis uses 3 turns.</x:v>
      </x:c>
    </x:row>
    <x:row r="10">
      <x:c r="A10" t="str">
        <x:v>WPN-006</x:v>
      </x:c>
      <x:c r="B10" t="str">
        <x:v>Mythic Dagger Pinion</x:v>
      </x:c>
      <x:c r="C10" t="str">
        <x:v>Orange</x:v>
      </x:c>
      <x:c r="D10" t="str">
        <x:v>Dagger Pinion</x:v>
      </x:c>
      <x:c r="E10" t="str">
        <x:v>1H</x:v>
      </x:c>
      <x:c r="F10" t="str">
        <x:v>Rogue only</x:v>
      </x:c>
      <x:c r="G10" t="str">
        <x:v>Physical Finesse</x:v>
      </x:c>
      <x:c r="H10" t="str">
        <x:v>Dexterity</x:v>
      </x:c>
      <x:c r="I10" t="n">
        <x:v>6</x:v>
      </x:c>
      <x:c r="J10" t="n">
        <x:v>8</x:v>
      </x:c>
      <x:c r="K10" t="n">
        <x:v>2</x:v>
      </x:c>
      <x:c r="L10" t="str">
        <x:v>Quick Pinion</x:v>
      </x:c>
      <x:c r="M10" t="n">
        <x:v>110</x:v>
      </x:c>
      <x:c r="N10" t="n">
        <x:v>0</x:v>
      </x:c>
      <x:c r="O10" t="str">
        <x:v>Deal 110% Finesse weapon damage. Gain +10 Precision if the user has higher Agility than the target.</x:v>
      </x:c>
      <x:c r="P10" t="n">
        <x:v>3</x:v>
      </x:c>
      <x:c r="Q10" t="str">
        <x:v>Pinion Flurry</x:v>
      </x:c>
      <x:c r="R10" t="n">
        <x:v>120</x:v>
      </x:c>
      <x:c r="S10" t="n">
        <x:v>1</x:v>
      </x:c>
      <x:c r="T10" t="str">
        <x:v>Strike twice for 60% weapon damage per hit. If both hits damage Health, roll a 50% chance to apply Bleed.</x:v>
      </x:c>
      <x:c r="U10" t="n">
        <x:v>0</x:v>
      </x:c>
      <x:c r="V10" t="n">
        <x:v>0</x:v>
      </x:c>
      <x:c r="W10" t="n">
        <x:v>5</x:v>
      </x:c>
      <x:c r="X10" t="n">
        <x:v>2</x:v>
      </x:c>
      <x:c r="Y10" t="n">
        <x:v>0</x:v>
      </x:c>
      <x:c r="Z10" t="n">
        <x:v>0</x:v>
      </x:c>
      <x:c r="AA10" t="n">
        <x:v>2</x:v>
      </x:c>
      <x:c r="AB10" t="n">
        <x:v>4</x:v>
      </x:c>
      <x:c r="AC10" t="n">
        <x:v>0</x:v>
      </x:c>
      <x:c r="AD10" t="n">
        <x:v>0</x:v>
      </x:c>
      <x:c r="AE10" t="str">
        <x:v>Fast, precise finesse strike.</x:v>
      </x:c>
      <x:c r="AF10" t="str">
        <x:v>Every weapon grants both listed skills. No weapon-granted skill costs 4 EN. Restoration uses a 1-turn cooldown; Fortify/Ward use 2 turns; dual Bastion/Aegis uses 3 turns.</x:v>
      </x:c>
    </x:row>
    <x:row r="11">
      <x:c r="A11" t="str">
        <x:v>WPN-007</x:v>
      </x:c>
      <x:c r="B11" t="str">
        <x:v>Talon Blade</x:v>
      </x:c>
      <x:c r="C11" t="str">
        <x:v>Grey</x:v>
      </x:c>
      <x:c r="D11" t="str">
        <x:v>Talon Blade</x:v>
      </x:c>
      <x:c r="E11" t="str">
        <x:v>1H</x:v>
      </x:c>
      <x:c r="F11" t="str">
        <x:v>Rogue, Bard, Knight</x:v>
      </x:c>
      <x:c r="G11" t="str">
        <x:v>Physical Finesse</x:v>
      </x:c>
      <x:c r="H11" t="str">
        <x:v>Dexterity</x:v>
      </x:c>
      <x:c r="I11" t="n">
        <x:v>3</x:v>
      </x:c>
      <x:c r="J11" t="n">
        <x:v>4</x:v>
      </x:c>
      <x:c r="K11" t="n">
        <x:v>2</x:v>
      </x:c>
      <x:c r="L11" t="str">
        <x:v>Talon Cut</x:v>
      </x:c>
      <x:c r="M11" t="n">
        <x:v>110</x:v>
      </x:c>
      <x:c r="N11" t="n">
        <x:v>0</x:v>
      </x:c>
      <x:c r="O11" t="str">
        <x:v>Deal 110% Finesse weapon damage.</x:v>
      </x:c>
      <x:c r="P11" t="n">
        <x:v>3</x:v>
      </x:c>
      <x:c r="Q11" t="str">
        <x:v>Rending Talon</x:v>
      </x:c>
      <x:c r="R11" t="n">
        <x:v>120</x:v>
      </x:c>
      <x:c r="S11" t="n">
        <x:v>1</x:v>
      </x:c>
      <x:c r="T11" t="str">
        <x:v>Deal 120% Finesse weapon damage. If Armour is broken and Health is damaged, roll a 50% chance to apply Bleed.</x:v>
      </x:c>
      <x:c r="U11" t="n">
        <x:v>0</x:v>
      </x:c>
      <x:c r="V11" t="n">
        <x:v>0</x:v>
      </x:c>
      <x:c r="W11" t="n">
        <x:v>1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str">
        <x:v>Balanced finesse attack.</x:v>
      </x:c>
      <x:c r="AF11" t="str">
        <x:v>Every weapon grants both listed skills. No weapon-granted skill costs 4 EN. Restoration uses a 1-turn cooldown; Fortify/Ward use 2 turns; dual Bastion/Aegis uses 3 turns.</x:v>
      </x:c>
    </x:row>
    <x:row r="12">
      <x:c r="A12" t="str">
        <x:v>WPN-008</x:v>
      </x:c>
      <x:c r="B12" t="str">
        <x:v>Sturdy Talon Blade</x:v>
      </x:c>
      <x:c r="C12" t="str">
        <x:v>Green</x:v>
      </x:c>
      <x:c r="D12" t="str">
        <x:v>Talon Blade</x:v>
      </x:c>
      <x:c r="E12" t="str">
        <x:v>1H</x:v>
      </x:c>
      <x:c r="F12" t="str">
        <x:v>Rogue, Bard, Knight</x:v>
      </x:c>
      <x:c r="G12" t="str">
        <x:v>Physical Finesse</x:v>
      </x:c>
      <x:c r="H12" t="str">
        <x:v>Dexterity</x:v>
      </x:c>
      <x:c r="I12" t="n">
        <x:v>4</x:v>
      </x:c>
      <x:c r="J12" t="n">
        <x:v>5</x:v>
      </x:c>
      <x:c r="K12" t="n">
        <x:v>2</x:v>
      </x:c>
      <x:c r="L12" t="str">
        <x:v>Talon Cut</x:v>
      </x:c>
      <x:c r="M12" t="n">
        <x:v>110</x:v>
      </x:c>
      <x:c r="N12" t="n">
        <x:v>0</x:v>
      </x:c>
      <x:c r="O12" t="str">
        <x:v>Deal 110% Finesse weapon damage.</x:v>
      </x:c>
      <x:c r="P12" t="n">
        <x:v>3</x:v>
      </x:c>
      <x:c r="Q12" t="str">
        <x:v>Rending Talon</x:v>
      </x:c>
      <x:c r="R12" t="n">
        <x:v>120</x:v>
      </x:c>
      <x:c r="S12" t="n">
        <x:v>1</x:v>
      </x:c>
      <x:c r="T12" t="str">
        <x:v>Deal 120% Finesse weapon damage. If Armour is broken and Health is damaged, roll a 50% chance to apply Bleed.</x:v>
      </x:c>
      <x:c r="U12" t="n">
        <x:v>0</x:v>
      </x:c>
      <x:c r="V12" t="n">
        <x:v>0</x:v>
      </x:c>
      <x:c r="W12" t="n">
        <x:v>1</x:v>
      </x:c>
      <x:c r="X12" t="n">
        <x:v>0</x:v>
      </x:c>
      <x:c r="Y12" t="n">
        <x:v>0</x:v>
      </x:c>
      <x:c r="Z12" t="n">
        <x:v>0</x:v>
      </x:c>
      <x:c r="AA12" t="n">
        <x:v>1</x:v>
      </x:c>
      <x:c r="AB12" t="n">
        <x:v>0</x:v>
      </x:c>
      <x:c r="AC12" t="n">
        <x:v>0</x:v>
      </x:c>
      <x:c r="AD12" t="n">
        <x:v>0</x:v>
      </x:c>
      <x:c r="AE12" t="str">
        <x:v>Balanced finesse attack.</x:v>
      </x:c>
      <x:c r="AF12" t="str">
        <x:v>Every weapon grants both listed skills. No weapon-granted skill costs 4 EN. Restoration uses a 1-turn cooldown; Fortify/Ward use 2 turns; dual Bastion/Aegis uses 3 turns.</x:v>
      </x:c>
    </x:row>
    <x:row r="13">
      <x:c r="A13" t="str">
        <x:v>WPN-009</x:v>
      </x:c>
      <x:c r="B13" t="str">
        <x:v>Tempered Talon Blade</x:v>
      </x:c>
      <x:c r="C13" t="str">
        <x:v>Blue</x:v>
      </x:c>
      <x:c r="D13" t="str">
        <x:v>Talon Blade</x:v>
      </x:c>
      <x:c r="E13" t="str">
        <x:v>1H</x:v>
      </x:c>
      <x:c r="F13" t="str">
        <x:v>Rogue, Bard, Knight</x:v>
      </x:c>
      <x:c r="G13" t="str">
        <x:v>Physical Finesse</x:v>
      </x:c>
      <x:c r="H13" t="str">
        <x:v>Dexterity</x:v>
      </x:c>
      <x:c r="I13" t="n">
        <x:v>5</x:v>
      </x:c>
      <x:c r="J13" t="n">
        <x:v>6</x:v>
      </x:c>
      <x:c r="K13" t="n">
        <x:v>2</x:v>
      </x:c>
      <x:c r="L13" t="str">
        <x:v>Talon Cut</x:v>
      </x:c>
      <x:c r="M13" t="n">
        <x:v>110</x:v>
      </x:c>
      <x:c r="N13" t="n">
        <x:v>0</x:v>
      </x:c>
      <x:c r="O13" t="str">
        <x:v>Deal 110% Finesse weapon damage.</x:v>
      </x:c>
      <x:c r="P13" t="n">
        <x:v>3</x:v>
      </x:c>
      <x:c r="Q13" t="str">
        <x:v>Rending Talon</x:v>
      </x:c>
      <x:c r="R13" t="n">
        <x:v>120</x:v>
      </x:c>
      <x:c r="S13" t="n">
        <x:v>1</x:v>
      </x:c>
      <x:c r="T13" t="str">
        <x:v>Deal 120% Finesse weapon damage. If Armour is broken and Health is damaged, roll a 50% chance to apply Bleed.</x:v>
      </x:c>
      <x:c r="U13" t="n">
        <x:v>0</x:v>
      </x:c>
      <x:c r="V13" t="n">
        <x:v>0</x:v>
      </x:c>
      <x:c r="W13" t="n">
        <x:v>2</x:v>
      </x:c>
      <x:c r="X13" t="n">
        <x:v>0</x:v>
      </x:c>
      <x:c r="Y13" t="n">
        <x:v>0</x:v>
      </x:c>
      <x:c r="Z13" t="n">
        <x:v>0</x:v>
      </x:c>
      <x:c r="AA13" t="n">
        <x:v>1</x:v>
      </x:c>
      <x:c r="AB13" t="n">
        <x:v>1</x:v>
      </x:c>
      <x:c r="AC13" t="n">
        <x:v>0</x:v>
      </x:c>
      <x:c r="AD13" t="n">
        <x:v>0</x:v>
      </x:c>
      <x:c r="AE13" t="str">
        <x:v>Balanced finesse attack.</x:v>
      </x:c>
      <x:c r="AF13" t="str">
        <x:v>Every weapon grants both listed skills. No weapon-granted skill costs 4 EN. Restoration uses a 1-turn cooldown; Fortify/Ward use 2 turns; dual Bastion/Aegis uses 3 turns.</x:v>
      </x:c>
    </x:row>
    <x:row r="14">
      <x:c r="A14" t="str">
        <x:v>WPN-010</x:v>
      </x:c>
      <x:c r="B14" t="str">
        <x:v>Masterwork Talon Blade</x:v>
      </x:c>
      <x:c r="C14" t="str">
        <x:v>Purple</x:v>
      </x:c>
      <x:c r="D14" t="str">
        <x:v>Talon Blade</x:v>
      </x:c>
      <x:c r="E14" t="str">
        <x:v>1H</x:v>
      </x:c>
      <x:c r="F14" t="str">
        <x:v>Rogue, Bard, Knight</x:v>
      </x:c>
      <x:c r="G14" t="str">
        <x:v>Physical Finesse</x:v>
      </x:c>
      <x:c r="H14" t="str">
        <x:v>Dexterity</x:v>
      </x:c>
      <x:c r="I14" t="n">
        <x:v>6</x:v>
      </x:c>
      <x:c r="J14" t="n">
        <x:v>8</x:v>
      </x:c>
      <x:c r="K14" t="n">
        <x:v>2</x:v>
      </x:c>
      <x:c r="L14" t="str">
        <x:v>Talon Cut</x:v>
      </x:c>
      <x:c r="M14" t="n">
        <x:v>110</x:v>
      </x:c>
      <x:c r="N14" t="n">
        <x:v>0</x:v>
      </x:c>
      <x:c r="O14" t="str">
        <x:v>Deal 110% Finesse weapon damage.</x:v>
      </x:c>
      <x:c r="P14" t="n">
        <x:v>3</x:v>
      </x:c>
      <x:c r="Q14" t="str">
        <x:v>Rending Talon</x:v>
      </x:c>
      <x:c r="R14" t="n">
        <x:v>120</x:v>
      </x:c>
      <x:c r="S14" t="n">
        <x:v>1</x:v>
      </x:c>
      <x:c r="T14" t="str">
        <x:v>Deal 120% Finesse weapon damage. If Armour is broken and Health is damaged, roll a 50% chance to apply Bleed.</x:v>
      </x:c>
      <x:c r="U14" t="n">
        <x:v>1</x:v>
      </x:c>
      <x:c r="V14" t="n">
        <x:v>0</x:v>
      </x:c>
      <x:c r="W14" t="n">
        <x:v>3</x:v>
      </x:c>
      <x:c r="X14" t="n">
        <x:v>0</x:v>
      </x:c>
      <x:c r="Y14" t="n">
        <x:v>0</x:v>
      </x:c>
      <x:c r="Z14" t="n">
        <x:v>0</x:v>
      </x:c>
      <x:c r="AA14" t="n">
        <x:v>1</x:v>
      </x:c>
      <x:c r="AB14" t="n">
        <x:v>2</x:v>
      </x:c>
      <x:c r="AC14" t="n">
        <x:v>0</x:v>
      </x:c>
      <x:c r="AD14" t="n">
        <x:v>0</x:v>
      </x:c>
      <x:c r="AE14" t="str">
        <x:v>Balanced finesse attack.</x:v>
      </x:c>
      <x:c r="AF14" t="str">
        <x:v>Every weapon grants both listed skills. No weapon-granted skill costs 4 EN. Restoration uses a 1-turn cooldown; Fortify/Ward use 2 turns; dual Bastion/Aegis uses 3 turns.</x:v>
      </x:c>
    </x:row>
    <x:row r="15">
      <x:c r="A15" t="str">
        <x:v>WPN-011</x:v>
      </x:c>
      <x:c r="B15" t="str">
        <x:v>Regal Talon Blade</x:v>
      </x:c>
      <x:c r="C15" t="str">
        <x:v>Gold</x:v>
      </x:c>
      <x:c r="D15" t="str">
        <x:v>Talon Blade</x:v>
      </x:c>
      <x:c r="E15" t="str">
        <x:v>1H</x:v>
      </x:c>
      <x:c r="F15" t="str">
        <x:v>Rogue, Bard, Knight</x:v>
      </x:c>
      <x:c r="G15" t="str">
        <x:v>Physical Finesse</x:v>
      </x:c>
      <x:c r="H15" t="str">
        <x:v>Dexterity</x:v>
      </x:c>
      <x:c r="I15" t="n">
        <x:v>7</x:v>
      </x:c>
      <x:c r="J15" t="n">
        <x:v>9</x:v>
      </x:c>
      <x:c r="K15" t="n">
        <x:v>2</x:v>
      </x:c>
      <x:c r="L15" t="str">
        <x:v>Talon Cut</x:v>
      </x:c>
      <x:c r="M15" t="n">
        <x:v>110</x:v>
      </x:c>
      <x:c r="N15" t="n">
        <x:v>0</x:v>
      </x:c>
      <x:c r="O15" t="str">
        <x:v>Deal 110% Finesse weapon damage.</x:v>
      </x:c>
      <x:c r="P15" t="n">
        <x:v>3</x:v>
      </x:c>
      <x:c r="Q15" t="str">
        <x:v>Rending Talon</x:v>
      </x:c>
      <x:c r="R15" t="n">
        <x:v>120</x:v>
      </x:c>
      <x:c r="S15" t="n">
        <x:v>1</x:v>
      </x:c>
      <x:c r="T15" t="str">
        <x:v>Deal 120% Finesse weapon damage. If Armour is broken and Health is damaged, roll a 50% chance to apply Bleed.</x:v>
      </x:c>
      <x:c r="U15" t="n">
        <x:v>1</x:v>
      </x:c>
      <x:c r="V15" t="n">
        <x:v>0</x:v>
      </x:c>
      <x:c r="W15" t="n">
        <x:v>4</x:v>
      </x:c>
      <x:c r="X15" t="n">
        <x:v>0</x:v>
      </x:c>
      <x:c r="Y15" t="n">
        <x:v>0</x:v>
      </x:c>
      <x:c r="Z15" t="n">
        <x:v>0</x:v>
      </x:c>
      <x:c r="AA15" t="n">
        <x:v>2</x:v>
      </x:c>
      <x:c r="AB15" t="n">
        <x:v>3</x:v>
      </x:c>
      <x:c r="AC15" t="n">
        <x:v>0</x:v>
      </x:c>
      <x:c r="AD15" t="n">
        <x:v>0</x:v>
      </x:c>
      <x:c r="AE15" t="str">
        <x:v>Balanced finesse attack.</x:v>
      </x:c>
      <x:c r="AF15" t="str">
        <x:v>Every weapon grants both listed skills. No weapon-granted skill costs 4 EN. Restoration uses a 1-turn cooldown; Fortify/Ward use 2 turns; dual Bastion/Aegis uses 3 turns.</x:v>
      </x:c>
    </x:row>
    <x:row r="16">
      <x:c r="A16" t="str">
        <x:v>WPN-012</x:v>
      </x:c>
      <x:c r="B16" t="str">
        <x:v>Mythic Talon Blade</x:v>
      </x:c>
      <x:c r="C16" t="str">
        <x:v>Orange</x:v>
      </x:c>
      <x:c r="D16" t="str">
        <x:v>Talon Blade</x:v>
      </x:c>
      <x:c r="E16" t="str">
        <x:v>1H</x:v>
      </x:c>
      <x:c r="F16" t="str">
        <x:v>Rogue, Bard, Knight</x:v>
      </x:c>
      <x:c r="G16" t="str">
        <x:v>Physical Finesse</x:v>
      </x:c>
      <x:c r="H16" t="str">
        <x:v>Dexterity</x:v>
      </x:c>
      <x:c r="I16" t="n">
        <x:v>8</x:v>
      </x:c>
      <x:c r="J16" t="n">
        <x:v>11</x:v>
      </x:c>
      <x:c r="K16" t="n">
        <x:v>2</x:v>
      </x:c>
      <x:c r="L16" t="str">
        <x:v>Talon Cut</x:v>
      </x:c>
      <x:c r="M16" t="n">
        <x:v>110</x:v>
      </x:c>
      <x:c r="N16" t="n">
        <x:v>0</x:v>
      </x:c>
      <x:c r="O16" t="str">
        <x:v>Deal 110% Finesse weapon damage.</x:v>
      </x:c>
      <x:c r="P16" t="n">
        <x:v>3</x:v>
      </x:c>
      <x:c r="Q16" t="str">
        <x:v>Rending Talon</x:v>
      </x:c>
      <x:c r="R16" t="n">
        <x:v>120</x:v>
      </x:c>
      <x:c r="S16" t="n">
        <x:v>1</x:v>
      </x:c>
      <x:c r="T16" t="str">
        <x:v>Deal 120% Finesse weapon damage. If Armour is broken and Health is damaged, roll a 50% chance to apply Bleed.</x:v>
      </x:c>
      <x:c r="U16" t="n">
        <x:v>2</x:v>
      </x:c>
      <x:c r="V16" t="n">
        <x:v>0</x:v>
      </x:c>
      <x:c r="W16" t="n">
        <x:v>5</x:v>
      </x:c>
      <x:c r="X16" t="n">
        <x:v>0</x:v>
      </x:c>
      <x:c r="Y16" t="n">
        <x:v>0</x:v>
      </x:c>
      <x:c r="Z16" t="n">
        <x:v>0</x:v>
      </x:c>
      <x:c r="AA16" t="n">
        <x:v>2</x:v>
      </x:c>
      <x:c r="AB16" t="n">
        <x:v>4</x:v>
      </x:c>
      <x:c r="AC16" t="n">
        <x:v>0</x:v>
      </x:c>
      <x:c r="AD16" t="n">
        <x:v>0</x:v>
      </x:c>
      <x:c r="AE16" t="str">
        <x:v>Balanced finesse attack.</x:v>
      </x:c>
      <x:c r="AF16" t="str">
        <x:v>Every weapon grants both listed skills. No weapon-granted skill costs 4 EN. Restoration uses a 1-turn cooldown; Fortify/Ward use 2 turns; dual Bastion/Aegis uses 3 turns.</x:v>
      </x:c>
    </x:row>
    <x:row r="17">
      <x:c r="A17" t="str">
        <x:v>WPN-013</x:v>
      </x:c>
      <x:c r="B17" t="str">
        <x:v>Duel Sabre</x:v>
      </x:c>
      <x:c r="C17" t="str">
        <x:v>Grey</x:v>
      </x:c>
      <x:c r="D17" t="str">
        <x:v>Duel Sabre</x:v>
      </x:c>
      <x:c r="E17" t="str">
        <x:v>1H</x:v>
      </x:c>
      <x:c r="F17" t="str">
        <x:v>Rogue, Bard, Knight</x:v>
      </x:c>
      <x:c r="G17" t="str">
        <x:v>Physical Finesse</x:v>
      </x:c>
      <x:c r="H17" t="str">
        <x:v>Dexterity</x:v>
      </x:c>
      <x:c r="I17" t="n">
        <x:v>3</x:v>
      </x:c>
      <x:c r="J17" t="n">
        <x:v>5</x:v>
      </x:c>
      <x:c r="K17" t="n">
        <x:v>2</x:v>
      </x:c>
      <x:c r="L17" t="str">
        <x:v>Riposte Slash</x:v>
      </x:c>
      <x:c r="M17" t="n">
        <x:v>100</x:v>
      </x:c>
      <x:c r="N17" t="n">
        <x:v>0</x:v>
      </x:c>
      <x:c r="O17" t="str">
        <x:v>Deal 100% Finesse weapon damage. Gain +20 Skill Power if the user Dodged the opponent’s previous attack.</x:v>
      </x:c>
      <x:c r="P17" t="n">
        <x:v>3</x:v>
      </x:c>
      <x:c r="Q17" t="str">
        <x:v>Duellist’s Tempo</x:v>
      </x:c>
      <x:c r="R17" t="n">
        <x:v>115</x:v>
      </x:c>
      <x:c r="S17" t="n">
        <x:v>1</x:v>
      </x:c>
      <x:c r="T17" t="str">
        <x:v>Deal 115% Finesse weapon damage. On hit, gain Minor Agility Up for 2 turns.</x:v>
      </x:c>
      <x:c r="U17" t="n">
        <x:v>0</x:v>
      </x:c>
      <x:c r="V17" t="n">
        <x:v>0</x:v>
      </x:c>
      <x:c r="W17" t="n">
        <x:v>1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str">
        <x:v>Wide range; improves after avoiding an attack.</x:v>
      </x:c>
      <x:c r="AF17" t="str">
        <x:v>Every weapon grants both listed skills. No weapon-granted skill costs 4 EN. Restoration uses a 1-turn cooldown; Fortify/Ward use 2 turns; dual Bastion/Aegis uses 3 turns.</x:v>
      </x:c>
    </x:row>
    <x:row r="18">
      <x:c r="A18" t="str">
        <x:v>WPN-014</x:v>
      </x:c>
      <x:c r="B18" t="str">
        <x:v>Sturdy Duel Sabre</x:v>
      </x:c>
      <x:c r="C18" t="str">
        <x:v>Green</x:v>
      </x:c>
      <x:c r="D18" t="str">
        <x:v>Duel Sabre</x:v>
      </x:c>
      <x:c r="E18" t="str">
        <x:v>1H</x:v>
      </x:c>
      <x:c r="F18" t="str">
        <x:v>Rogue, Bard, Knight</x:v>
      </x:c>
      <x:c r="G18" t="str">
        <x:v>Physical Finesse</x:v>
      </x:c>
      <x:c r="H18" t="str">
        <x:v>Dexterity</x:v>
      </x:c>
      <x:c r="I18" t="n">
        <x:v>4</x:v>
      </x:c>
      <x:c r="J18" t="n">
        <x:v>6</x:v>
      </x:c>
      <x:c r="K18" t="n">
        <x:v>2</x:v>
      </x:c>
      <x:c r="L18" t="str">
        <x:v>Riposte Slash</x:v>
      </x:c>
      <x:c r="M18" t="n">
        <x:v>100</x:v>
      </x:c>
      <x:c r="N18" t="n">
        <x:v>0</x:v>
      </x:c>
      <x:c r="O18" t="str">
        <x:v>Deal 100% Finesse weapon damage. Gain +20 Skill Power if the user Dodged the opponent’s previous attack.</x:v>
      </x:c>
      <x:c r="P18" t="n">
        <x:v>3</x:v>
      </x:c>
      <x:c r="Q18" t="str">
        <x:v>Duellist’s Tempo</x:v>
      </x:c>
      <x:c r="R18" t="n">
        <x:v>115</x:v>
      </x:c>
      <x:c r="S18" t="n">
        <x:v>1</x:v>
      </x:c>
      <x:c r="T18" t="str">
        <x:v>Deal 115% Finesse weapon damage. On hit, gain Minor Agility Up for 2 turns.</x:v>
      </x:c>
      <x:c r="U18" t="n">
        <x:v>0</x:v>
      </x:c>
      <x:c r="V18" t="n">
        <x:v>0</x:v>
      </x:c>
      <x:c r="W18" t="n">
        <x:v>1</x:v>
      </x:c>
      <x:c r="X18" t="n">
        <x:v>0</x:v>
      </x:c>
      <x:c r="Y18" t="n">
        <x:v>0</x:v>
      </x:c>
      <x:c r="Z18" t="n">
        <x:v>0</x:v>
      </x:c>
      <x:c r="AA18" t="n">
        <x:v>1</x:v>
      </x:c>
      <x:c r="AB18" t="n">
        <x:v>0</x:v>
      </x:c>
      <x:c r="AC18" t="n">
        <x:v>0</x:v>
      </x:c>
      <x:c r="AD18" t="n">
        <x:v>0</x:v>
      </x:c>
      <x:c r="AE18" t="str">
        <x:v>Wide range; improves after avoiding an attack.</x:v>
      </x:c>
      <x:c r="AF18" t="str">
        <x:v>Every weapon grants both listed skills. No weapon-granted skill costs 4 EN. Restoration uses a 1-turn cooldown; Fortify/Ward use 2 turns; dual Bastion/Aegis uses 3 turns.</x:v>
      </x:c>
    </x:row>
    <x:row r="19">
      <x:c r="A19" t="str">
        <x:v>WPN-015</x:v>
      </x:c>
      <x:c r="B19" t="str">
        <x:v>Tempered Duel Sabre</x:v>
      </x:c>
      <x:c r="C19" t="str">
        <x:v>Blue</x:v>
      </x:c>
      <x:c r="D19" t="str">
        <x:v>Duel Sabre</x:v>
      </x:c>
      <x:c r="E19" t="str">
        <x:v>1H</x:v>
      </x:c>
      <x:c r="F19" t="str">
        <x:v>Rogue, Bard, Knight</x:v>
      </x:c>
      <x:c r="G19" t="str">
        <x:v>Physical Finesse</x:v>
      </x:c>
      <x:c r="H19" t="str">
        <x:v>Dexterity</x:v>
      </x:c>
      <x:c r="I19" t="n">
        <x:v>5</x:v>
      </x:c>
      <x:c r="J19" t="n">
        <x:v>8</x:v>
      </x:c>
      <x:c r="K19" t="n">
        <x:v>2</x:v>
      </x:c>
      <x:c r="L19" t="str">
        <x:v>Riposte Slash</x:v>
      </x:c>
      <x:c r="M19" t="n">
        <x:v>100</x:v>
      </x:c>
      <x:c r="N19" t="n">
        <x:v>0</x:v>
      </x:c>
      <x:c r="O19" t="str">
        <x:v>Deal 100% Finesse weapon damage. Gain +20 Skill Power if the user Dodged the opponent’s previous attack.</x:v>
      </x:c>
      <x:c r="P19" t="n">
        <x:v>3</x:v>
      </x:c>
      <x:c r="Q19" t="str">
        <x:v>Duellist’s Tempo</x:v>
      </x:c>
      <x:c r="R19" t="n">
        <x:v>115</x:v>
      </x:c>
      <x:c r="S19" t="n">
        <x:v>1</x:v>
      </x:c>
      <x:c r="T19" t="str">
        <x:v>Deal 115% Finesse weapon damage. On hit, gain Minor Agility Up for 2 turns.</x:v>
      </x:c>
      <x:c r="U19" t="n">
        <x:v>0</x:v>
      </x:c>
      <x:c r="V19" t="n">
        <x:v>0</x:v>
      </x:c>
      <x:c r="W19" t="n">
        <x:v>2</x:v>
      </x:c>
      <x:c r="X19" t="n">
        <x:v>0</x:v>
      </x:c>
      <x:c r="Y19" t="n">
        <x:v>0</x:v>
      </x:c>
      <x:c r="Z19" t="n">
        <x:v>0</x:v>
      </x:c>
      <x:c r="AA19" t="n">
        <x:v>1</x:v>
      </x:c>
      <x:c r="AB19" t="n">
        <x:v>1</x:v>
      </x:c>
      <x:c r="AC19" t="n">
        <x:v>0</x:v>
      </x:c>
      <x:c r="AD19" t="n">
        <x:v>0</x:v>
      </x:c>
      <x:c r="AE19" t="str">
        <x:v>Wide range; improves after avoiding an attack.</x:v>
      </x:c>
      <x:c r="AF19" t="str">
        <x:v>Every weapon grants both listed skills. No weapon-granted skill costs 4 EN. Restoration uses a 1-turn cooldown; Fortify/Ward use 2 turns; dual Bastion/Aegis uses 3 turns.</x:v>
      </x:c>
    </x:row>
    <x:row r="20">
      <x:c r="A20" t="str">
        <x:v>WPN-016</x:v>
      </x:c>
      <x:c r="B20" t="str">
        <x:v>Masterwork Duel Sabre</x:v>
      </x:c>
      <x:c r="C20" t="str">
        <x:v>Purple</x:v>
      </x:c>
      <x:c r="D20" t="str">
        <x:v>Duel Sabre</x:v>
      </x:c>
      <x:c r="E20" t="str">
        <x:v>1H</x:v>
      </x:c>
      <x:c r="F20" t="str">
        <x:v>Rogue, Bard, Knight</x:v>
      </x:c>
      <x:c r="G20" t="str">
        <x:v>Physical Finesse</x:v>
      </x:c>
      <x:c r="H20" t="str">
        <x:v>Dexterity</x:v>
      </x:c>
      <x:c r="I20" t="n">
        <x:v>6</x:v>
      </x:c>
      <x:c r="J20" t="n">
        <x:v>10</x:v>
      </x:c>
      <x:c r="K20" t="n">
        <x:v>2</x:v>
      </x:c>
      <x:c r="L20" t="str">
        <x:v>Riposte Slash</x:v>
      </x:c>
      <x:c r="M20" t="n">
        <x:v>100</x:v>
      </x:c>
      <x:c r="N20" t="n">
        <x:v>0</x:v>
      </x:c>
      <x:c r="O20" t="str">
        <x:v>Deal 100% Finesse weapon damage. Gain +20 Skill Power if the user Dodged the opponent’s previous attack.</x:v>
      </x:c>
      <x:c r="P20" t="n">
        <x:v>3</x:v>
      </x:c>
      <x:c r="Q20" t="str">
        <x:v>Duellist’s Tempo</x:v>
      </x:c>
      <x:c r="R20" t="n">
        <x:v>115</x:v>
      </x:c>
      <x:c r="S20" t="n">
        <x:v>1</x:v>
      </x:c>
      <x:c r="T20" t="str">
        <x:v>Deal 115% Finesse weapon damage. On hit, gain Minor Agility Up for 2 turns.</x:v>
      </x:c>
      <x:c r="U20" t="n">
        <x:v>0</x:v>
      </x:c>
      <x:c r="V20" t="n">
        <x:v>0</x:v>
      </x:c>
      <x:c r="W20" t="n">
        <x:v>3</x:v>
      </x:c>
      <x:c r="X20" t="n">
        <x:v>1</x:v>
      </x:c>
      <x:c r="Y20" t="n">
        <x:v>0</x:v>
      </x:c>
      <x:c r="Z20" t="n">
        <x:v>0</x:v>
      </x:c>
      <x:c r="AA20" t="n">
        <x:v>1</x:v>
      </x:c>
      <x:c r="AB20" t="n">
        <x:v>2</x:v>
      </x:c>
      <x:c r="AC20" t="n">
        <x:v>0</x:v>
      </x:c>
      <x:c r="AD20" t="n">
        <x:v>0</x:v>
      </x:c>
      <x:c r="AE20" t="str">
        <x:v>Wide range; improves after avoiding an attack.</x:v>
      </x:c>
      <x:c r="AF20" t="str">
        <x:v>Every weapon grants both listed skills. No weapon-granted skill costs 4 EN. Restoration uses a 1-turn cooldown; Fortify/Ward use 2 turns; dual Bastion/Aegis uses 3 turns.</x:v>
      </x:c>
    </x:row>
    <x:row r="21">
      <x:c r="A21" t="str">
        <x:v>WPN-017</x:v>
      </x:c>
      <x:c r="B21" t="str">
        <x:v>Regal Duel Sabre</x:v>
      </x:c>
      <x:c r="C21" t="str">
        <x:v>Gold</x:v>
      </x:c>
      <x:c r="D21" t="str">
        <x:v>Duel Sabre</x:v>
      </x:c>
      <x:c r="E21" t="str">
        <x:v>1H</x:v>
      </x:c>
      <x:c r="F21" t="str">
        <x:v>Rogue, Bard, Knight</x:v>
      </x:c>
      <x:c r="G21" t="str">
        <x:v>Physical Finesse</x:v>
      </x:c>
      <x:c r="H21" t="str">
        <x:v>Dexterity</x:v>
      </x:c>
      <x:c r="I21" t="n">
        <x:v>7</x:v>
      </x:c>
      <x:c r="J21" t="n">
        <x:v>12</x:v>
      </x:c>
      <x:c r="K21" t="n">
        <x:v>2</x:v>
      </x:c>
      <x:c r="L21" t="str">
        <x:v>Riposte Slash</x:v>
      </x:c>
      <x:c r="M21" t="n">
        <x:v>100</x:v>
      </x:c>
      <x:c r="N21" t="n">
        <x:v>0</x:v>
      </x:c>
      <x:c r="O21" t="str">
        <x:v>Deal 100% Finesse weapon damage. Gain +20 Skill Power if the user Dodged the opponent’s previous attack.</x:v>
      </x:c>
      <x:c r="P21" t="n">
        <x:v>3</x:v>
      </x:c>
      <x:c r="Q21" t="str">
        <x:v>Duellist’s Tempo</x:v>
      </x:c>
      <x:c r="R21" t="n">
        <x:v>115</x:v>
      </x:c>
      <x:c r="S21" t="n">
        <x:v>1</x:v>
      </x:c>
      <x:c r="T21" t="str">
        <x:v>Deal 115% Finesse weapon damage. On hit, gain Minor Agility Up for 2 turns.</x:v>
      </x:c>
      <x:c r="U21" t="n">
        <x:v>0</x:v>
      </x:c>
      <x:c r="V21" t="n">
        <x:v>0</x:v>
      </x:c>
      <x:c r="W21" t="n">
        <x:v>4</x:v>
      </x:c>
      <x:c r="X21" t="n">
        <x:v>1</x:v>
      </x:c>
      <x:c r="Y21" t="n">
        <x:v>0</x:v>
      </x:c>
      <x:c r="Z21" t="n">
        <x:v>0</x:v>
      </x:c>
      <x:c r="AA21" t="n">
        <x:v>2</x:v>
      </x:c>
      <x:c r="AB21" t="n">
        <x:v>3</x:v>
      </x:c>
      <x:c r="AC21" t="n">
        <x:v>0</x:v>
      </x:c>
      <x:c r="AD21" t="n">
        <x:v>0</x:v>
      </x:c>
      <x:c r="AE21" t="str">
        <x:v>Wide range; improves after avoiding an attack.</x:v>
      </x:c>
      <x:c r="AF21" t="str">
        <x:v>Every weapon grants both listed skills. No weapon-granted skill costs 4 EN. Restoration uses a 1-turn cooldown; Fortify/Ward use 2 turns; dual Bastion/Aegis uses 3 turns.</x:v>
      </x:c>
    </x:row>
    <x:row r="22">
      <x:c r="A22" t="str">
        <x:v>WPN-018</x:v>
      </x:c>
      <x:c r="B22" t="str">
        <x:v>Mythic Duel Sabre</x:v>
      </x:c>
      <x:c r="C22" t="str">
        <x:v>Orange</x:v>
      </x:c>
      <x:c r="D22" t="str">
        <x:v>Duel Sabre</x:v>
      </x:c>
      <x:c r="E22" t="str">
        <x:v>1H</x:v>
      </x:c>
      <x:c r="F22" t="str">
        <x:v>Rogue, Bard, Knight</x:v>
      </x:c>
      <x:c r="G22" t="str">
        <x:v>Physical Finesse</x:v>
      </x:c>
      <x:c r="H22" t="str">
        <x:v>Dexterity</x:v>
      </x:c>
      <x:c r="I22" t="n">
        <x:v>8</x:v>
      </x:c>
      <x:c r="J22" t="n">
        <x:v>14</x:v>
      </x:c>
      <x:c r="K22" t="n">
        <x:v>2</x:v>
      </x:c>
      <x:c r="L22" t="str">
        <x:v>Riposte Slash</x:v>
      </x:c>
      <x:c r="M22" t="n">
        <x:v>100</x:v>
      </x:c>
      <x:c r="N22" t="n">
        <x:v>0</x:v>
      </x:c>
      <x:c r="O22" t="str">
        <x:v>Deal 100% Finesse weapon damage. Gain +20 Skill Power if the user Dodged the opponent’s previous attack.</x:v>
      </x:c>
      <x:c r="P22" t="n">
        <x:v>3</x:v>
      </x:c>
      <x:c r="Q22" t="str">
        <x:v>Duellist’s Tempo</x:v>
      </x:c>
      <x:c r="R22" t="n">
        <x:v>115</x:v>
      </x:c>
      <x:c r="S22" t="n">
        <x:v>1</x:v>
      </x:c>
      <x:c r="T22" t="str">
        <x:v>Deal 115% Finesse weapon damage. On hit, gain Minor Agility Up for 2 turns.</x:v>
      </x:c>
      <x:c r="U22" t="n">
        <x:v>0</x:v>
      </x:c>
      <x:c r="V22" t="n">
        <x:v>0</x:v>
      </x:c>
      <x:c r="W22" t="n">
        <x:v>5</x:v>
      </x:c>
      <x:c r="X22" t="n">
        <x:v>2</x:v>
      </x:c>
      <x:c r="Y22" t="n">
        <x:v>0</x:v>
      </x:c>
      <x:c r="Z22" t="n">
        <x:v>0</x:v>
      </x:c>
      <x:c r="AA22" t="n">
        <x:v>2</x:v>
      </x:c>
      <x:c r="AB22" t="n">
        <x:v>4</x:v>
      </x:c>
      <x:c r="AC22" t="n">
        <x:v>0</x:v>
      </x:c>
      <x:c r="AD22" t="n">
        <x:v>0</x:v>
      </x:c>
      <x:c r="AE22" t="str">
        <x:v>Wide range; improves after avoiding an attack.</x:v>
      </x:c>
      <x:c r="AF22" t="str">
        <x:v>Every weapon grants both listed skills. No weapon-granted skill costs 4 EN. Restoration uses a 1-turn cooldown; Fortify/Ward use 2 turns; dual Bastion/Aegis uses 3 turns.</x:v>
      </x:c>
    </x:row>
    <x:row r="23">
      <x:c r="A23" t="str">
        <x:v>WPN-019</x:v>
      </x:c>
      <x:c r="B23" t="str">
        <x:v>Hand Crossbow</x:v>
      </x:c>
      <x:c r="C23" t="str">
        <x:v>Grey</x:v>
      </x:c>
      <x:c r="D23" t="str">
        <x:v>Hand Crossbow</x:v>
      </x:c>
      <x:c r="E23" t="str">
        <x:v>1H</x:v>
      </x:c>
      <x:c r="F23" t="str">
        <x:v>Rogue and Bard</x:v>
      </x:c>
      <x:c r="G23" t="str">
        <x:v>Physical Finesse</x:v>
      </x:c>
      <x:c r="H23" t="str">
        <x:v>Dexterity</x:v>
      </x:c>
      <x:c r="I23" t="n">
        <x:v>3</x:v>
      </x:c>
      <x:c r="J23" t="n">
        <x:v>4</x:v>
      </x:c>
      <x:c r="K23" t="n">
        <x:v>2</x:v>
      </x:c>
      <x:c r="L23" t="str">
        <x:v>Snap Bolt</x:v>
      </x:c>
      <x:c r="M23" t="n">
        <x:v>110</x:v>
      </x:c>
      <x:c r="N23" t="n">
        <x:v>0</x:v>
      </x:c>
      <x:c r="O23" t="str">
        <x:v>Deal 110% Finesse weapon damage.</x:v>
      </x:c>
      <x:c r="P23" t="n">
        <x:v>3</x:v>
      </x:c>
      <x:c r="Q23" t="str">
        <x:v>Barbed Bolt</x:v>
      </x:c>
      <x:c r="R23" t="n">
        <x:v>115</x:v>
      </x:c>
      <x:c r="S23" t="n">
        <x:v>1</x:v>
      </x:c>
      <x:c r="T23" t="str">
        <x:v>Deal 115% Finesse weapon damage. If Armour is broken and Health is damaged, roll a 50% chance to apply Bleed.</x:v>
      </x:c>
      <x:c r="U23" t="n">
        <x:v>0</x:v>
      </x:c>
      <x:c r="V23" t="n">
        <x:v>0</x:v>
      </x:c>
      <x:c r="W23" t="n">
        <x:v>1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str">
        <x:v>One-handed ranged finesse weapon.</x:v>
      </x:c>
      <x:c r="AF23" t="str">
        <x:v>Every weapon grants both listed skills. No weapon-granted skill costs 4 EN. Restoration uses a 1-turn cooldown; Fortify/Ward use 2 turns; dual Bastion/Aegis uses 3 turns.</x:v>
      </x:c>
    </x:row>
    <x:row r="24">
      <x:c r="A24" t="str">
        <x:v>WPN-020</x:v>
      </x:c>
      <x:c r="B24" t="str">
        <x:v>Sturdy Hand Crossbow</x:v>
      </x:c>
      <x:c r="C24" t="str">
        <x:v>Green</x:v>
      </x:c>
      <x:c r="D24" t="str">
        <x:v>Hand Crossbow</x:v>
      </x:c>
      <x:c r="E24" t="str">
        <x:v>1H</x:v>
      </x:c>
      <x:c r="F24" t="str">
        <x:v>Rogue and Bard</x:v>
      </x:c>
      <x:c r="G24" t="str">
        <x:v>Physical Finesse</x:v>
      </x:c>
      <x:c r="H24" t="str">
        <x:v>Dexterity</x:v>
      </x:c>
      <x:c r="I24" t="n">
        <x:v>4</x:v>
      </x:c>
      <x:c r="J24" t="n">
        <x:v>5</x:v>
      </x:c>
      <x:c r="K24" t="n">
        <x:v>2</x:v>
      </x:c>
      <x:c r="L24" t="str">
        <x:v>Snap Bolt</x:v>
      </x:c>
      <x:c r="M24" t="n">
        <x:v>110</x:v>
      </x:c>
      <x:c r="N24" t="n">
        <x:v>0</x:v>
      </x:c>
      <x:c r="O24" t="str">
        <x:v>Deal 110% Finesse weapon damage.</x:v>
      </x:c>
      <x:c r="P24" t="n">
        <x:v>3</x:v>
      </x:c>
      <x:c r="Q24" t="str">
        <x:v>Barbed Bolt</x:v>
      </x:c>
      <x:c r="R24" t="n">
        <x:v>115</x:v>
      </x:c>
      <x:c r="S24" t="n">
        <x:v>1</x:v>
      </x:c>
      <x:c r="T24" t="str">
        <x:v>Deal 115% Finesse weapon damage. If Armour is broken and Health is damaged, roll a 50% chance to apply Bleed.</x:v>
      </x:c>
      <x:c r="U24" t="n">
        <x:v>0</x:v>
      </x:c>
      <x:c r="V24" t="n">
        <x:v>0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1</x:v>
      </x:c>
      <x:c r="AB24" t="n">
        <x:v>0</x:v>
      </x:c>
      <x:c r="AC24" t="n">
        <x:v>0</x:v>
      </x:c>
      <x:c r="AD24" t="n">
        <x:v>0</x:v>
      </x:c>
      <x:c r="AE24" t="str">
        <x:v>One-handed ranged finesse weapon.</x:v>
      </x:c>
      <x:c r="AF24" t="str">
        <x:v>Every weapon grants both listed skills. No weapon-granted skill costs 4 EN. Restoration uses a 1-turn cooldown; Fortify/Ward use 2 turns; dual Bastion/Aegis uses 3 turns.</x:v>
      </x:c>
    </x:row>
    <x:row r="25">
      <x:c r="A25" t="str">
        <x:v>WPN-021</x:v>
      </x:c>
      <x:c r="B25" t="str">
        <x:v>Tempered Hand Crossbow</x:v>
      </x:c>
      <x:c r="C25" t="str">
        <x:v>Blue</x:v>
      </x:c>
      <x:c r="D25" t="str">
        <x:v>Hand Crossbow</x:v>
      </x:c>
      <x:c r="E25" t="str">
        <x:v>1H</x:v>
      </x:c>
      <x:c r="F25" t="str">
        <x:v>Rogue and Bard</x:v>
      </x:c>
      <x:c r="G25" t="str">
        <x:v>Physical Finesse</x:v>
      </x:c>
      <x:c r="H25" t="str">
        <x:v>Dexterity</x:v>
      </x:c>
      <x:c r="I25" t="n">
        <x:v>5</x:v>
      </x:c>
      <x:c r="J25" t="n">
        <x:v>6</x:v>
      </x:c>
      <x:c r="K25" t="n">
        <x:v>2</x:v>
      </x:c>
      <x:c r="L25" t="str">
        <x:v>Snap Bolt</x:v>
      </x:c>
      <x:c r="M25" t="n">
        <x:v>110</x:v>
      </x:c>
      <x:c r="N25" t="n">
        <x:v>0</x:v>
      </x:c>
      <x:c r="O25" t="str">
        <x:v>Deal 110% Finesse weapon damage.</x:v>
      </x:c>
      <x:c r="P25" t="n">
        <x:v>3</x:v>
      </x:c>
      <x:c r="Q25" t="str">
        <x:v>Barbed Bolt</x:v>
      </x:c>
      <x:c r="R25" t="n">
        <x:v>115</x:v>
      </x:c>
      <x:c r="S25" t="n">
        <x:v>1</x:v>
      </x:c>
      <x:c r="T25" t="str">
        <x:v>Deal 115% Finesse weapon damage. If Armour is broken and Health is damaged, roll a 50% chance to apply Bleed.</x:v>
      </x:c>
      <x:c r="U25" t="n">
        <x:v>0</x:v>
      </x:c>
      <x:c r="V25" t="n">
        <x:v>0</x:v>
      </x:c>
      <x:c r="W25" t="n">
        <x:v>2</x:v>
      </x:c>
      <x:c r="X25" t="n">
        <x:v>0</x:v>
      </x:c>
      <x:c r="Y25" t="n">
        <x:v>0</x:v>
      </x:c>
      <x:c r="Z25" t="n">
        <x:v>0</x:v>
      </x:c>
      <x:c r="AA25" t="n">
        <x:v>1</x:v>
      </x:c>
      <x:c r="AB25" t="n">
        <x:v>1</x:v>
      </x:c>
      <x:c r="AC25" t="n">
        <x:v>0</x:v>
      </x:c>
      <x:c r="AD25" t="n">
        <x:v>0</x:v>
      </x:c>
      <x:c r="AE25" t="str">
        <x:v>One-handed ranged finesse weapon.</x:v>
      </x:c>
      <x:c r="AF25" t="str">
        <x:v>Every weapon grants both listed skills. No weapon-granted skill costs 4 EN. Restoration uses a 1-turn cooldown; Fortify/Ward use 2 turns; dual Bastion/Aegis uses 3 turns.</x:v>
      </x:c>
    </x:row>
    <x:row r="26">
      <x:c r="A26" t="str">
        <x:v>WPN-022</x:v>
      </x:c>
      <x:c r="B26" t="str">
        <x:v>Masterwork Hand Crossbow</x:v>
      </x:c>
      <x:c r="C26" t="str">
        <x:v>Purple</x:v>
      </x:c>
      <x:c r="D26" t="str">
        <x:v>Hand Crossbow</x:v>
      </x:c>
      <x:c r="E26" t="str">
        <x:v>1H</x:v>
      </x:c>
      <x:c r="F26" t="str">
        <x:v>Rogue and Bard</x:v>
      </x:c>
      <x:c r="G26" t="str">
        <x:v>Physical Finesse</x:v>
      </x:c>
      <x:c r="H26" t="str">
        <x:v>Dexterity</x:v>
      </x:c>
      <x:c r="I26" t="n">
        <x:v>6</x:v>
      </x:c>
      <x:c r="J26" t="n">
        <x:v>8</x:v>
      </x:c>
      <x:c r="K26" t="n">
        <x:v>2</x:v>
      </x:c>
      <x:c r="L26" t="str">
        <x:v>Snap Bolt</x:v>
      </x:c>
      <x:c r="M26" t="n">
        <x:v>110</x:v>
      </x:c>
      <x:c r="N26" t="n">
        <x:v>0</x:v>
      </x:c>
      <x:c r="O26" t="str">
        <x:v>Deal 110% Finesse weapon damage.</x:v>
      </x:c>
      <x:c r="P26" t="n">
        <x:v>3</x:v>
      </x:c>
      <x:c r="Q26" t="str">
        <x:v>Barbed Bolt</x:v>
      </x:c>
      <x:c r="R26" t="n">
        <x:v>115</x:v>
      </x:c>
      <x:c r="S26" t="n">
        <x:v>1</x:v>
      </x:c>
      <x:c r="T26" t="str">
        <x:v>Deal 115% Finesse weapon damage. If Armour is broken and Health is damaged, roll a 50% chance to apply Bleed.</x:v>
      </x:c>
      <x:c r="U26" t="n">
        <x:v>1</x:v>
      </x:c>
      <x:c r="V26" t="n">
        <x:v>0</x:v>
      </x:c>
      <x:c r="W26" t="n">
        <x:v>3</x:v>
      </x:c>
      <x:c r="X26" t="n">
        <x:v>0</x:v>
      </x:c>
      <x:c r="Y26" t="n">
        <x:v>0</x:v>
      </x:c>
      <x:c r="Z26" t="n">
        <x:v>0</x:v>
      </x:c>
      <x:c r="AA26" t="n">
        <x:v>1</x:v>
      </x:c>
      <x:c r="AB26" t="n">
        <x:v>2</x:v>
      </x:c>
      <x:c r="AC26" t="n">
        <x:v>0</x:v>
      </x:c>
      <x:c r="AD26" t="n">
        <x:v>0</x:v>
      </x:c>
      <x:c r="AE26" t="str">
        <x:v>One-handed ranged finesse weapon.</x:v>
      </x:c>
      <x:c r="AF26" t="str">
        <x:v>Every weapon grants both listed skills. No weapon-granted skill costs 4 EN. Restoration uses a 1-turn cooldown; Fortify/Ward use 2 turns; dual Bastion/Aegis uses 3 turns.</x:v>
      </x:c>
    </x:row>
    <x:row r="27">
      <x:c r="A27" t="str">
        <x:v>WPN-023</x:v>
      </x:c>
      <x:c r="B27" t="str">
        <x:v>Regal Hand Crossbow</x:v>
      </x:c>
      <x:c r="C27" t="str">
        <x:v>Gold</x:v>
      </x:c>
      <x:c r="D27" t="str">
        <x:v>Hand Crossbow</x:v>
      </x:c>
      <x:c r="E27" t="str">
        <x:v>1H</x:v>
      </x:c>
      <x:c r="F27" t="str">
        <x:v>Rogue and Bard</x:v>
      </x:c>
      <x:c r="G27" t="str">
        <x:v>Physical Finesse</x:v>
      </x:c>
      <x:c r="H27" t="str">
        <x:v>Dexterity</x:v>
      </x:c>
      <x:c r="I27" t="n">
        <x:v>7</x:v>
      </x:c>
      <x:c r="J27" t="n">
        <x:v>9</x:v>
      </x:c>
      <x:c r="K27" t="n">
        <x:v>2</x:v>
      </x:c>
      <x:c r="L27" t="str">
        <x:v>Snap Bolt</x:v>
      </x:c>
      <x:c r="M27" t="n">
        <x:v>110</x:v>
      </x:c>
      <x:c r="N27" t="n">
        <x:v>0</x:v>
      </x:c>
      <x:c r="O27" t="str">
        <x:v>Deal 110% Finesse weapon damage.</x:v>
      </x:c>
      <x:c r="P27" t="n">
        <x:v>3</x:v>
      </x:c>
      <x:c r="Q27" t="str">
        <x:v>Barbed Bolt</x:v>
      </x:c>
      <x:c r="R27" t="n">
        <x:v>115</x:v>
      </x:c>
      <x:c r="S27" t="n">
        <x:v>1</x:v>
      </x:c>
      <x:c r="T27" t="str">
        <x:v>Deal 115% Finesse weapon damage. If Armour is broken and Health is damaged, roll a 50% chance to apply Bleed.</x:v>
      </x:c>
      <x:c r="U27" t="n">
        <x:v>1</x:v>
      </x:c>
      <x:c r="V27" t="n">
        <x:v>0</x:v>
      </x:c>
      <x:c r="W27" t="n">
        <x:v>4</x:v>
      </x:c>
      <x:c r="X27" t="n">
        <x:v>0</x:v>
      </x:c>
      <x:c r="Y27" t="n">
        <x:v>0</x:v>
      </x:c>
      <x:c r="Z27" t="n">
        <x:v>0</x:v>
      </x:c>
      <x:c r="AA27" t="n">
        <x:v>2</x:v>
      </x:c>
      <x:c r="AB27" t="n">
        <x:v>3</x:v>
      </x:c>
      <x:c r="AC27" t="n">
        <x:v>0</x:v>
      </x:c>
      <x:c r="AD27" t="n">
        <x:v>0</x:v>
      </x:c>
      <x:c r="AE27" t="str">
        <x:v>One-handed ranged finesse weapon.</x:v>
      </x:c>
      <x:c r="AF27" t="str">
        <x:v>Every weapon grants both listed skills. No weapon-granted skill costs 4 EN. Restoration uses a 1-turn cooldown; Fortify/Ward use 2 turns; dual Bastion/Aegis uses 3 turns.</x:v>
      </x:c>
    </x:row>
    <x:row r="28">
      <x:c r="A28" t="str">
        <x:v>WPN-024</x:v>
      </x:c>
      <x:c r="B28" t="str">
        <x:v>Mythic Hand Crossbow</x:v>
      </x:c>
      <x:c r="C28" t="str">
        <x:v>Orange</x:v>
      </x:c>
      <x:c r="D28" t="str">
        <x:v>Hand Crossbow</x:v>
      </x:c>
      <x:c r="E28" t="str">
        <x:v>1H</x:v>
      </x:c>
      <x:c r="F28" t="str">
        <x:v>Rogue and Bard</x:v>
      </x:c>
      <x:c r="G28" t="str">
        <x:v>Physical Finesse</x:v>
      </x:c>
      <x:c r="H28" t="str">
        <x:v>Dexterity</x:v>
      </x:c>
      <x:c r="I28" t="n">
        <x:v>8</x:v>
      </x:c>
      <x:c r="J28" t="n">
        <x:v>11</x:v>
      </x:c>
      <x:c r="K28" t="n">
        <x:v>2</x:v>
      </x:c>
      <x:c r="L28" t="str">
        <x:v>Snap Bolt</x:v>
      </x:c>
      <x:c r="M28" t="n">
        <x:v>110</x:v>
      </x:c>
      <x:c r="N28" t="n">
        <x:v>0</x:v>
      </x:c>
      <x:c r="O28" t="str">
        <x:v>Deal 110% Finesse weapon damage.</x:v>
      </x:c>
      <x:c r="P28" t="n">
        <x:v>3</x:v>
      </x:c>
      <x:c r="Q28" t="str">
        <x:v>Barbed Bolt</x:v>
      </x:c>
      <x:c r="R28" t="n">
        <x:v>115</x:v>
      </x:c>
      <x:c r="S28" t="n">
        <x:v>1</x:v>
      </x:c>
      <x:c r="T28" t="str">
        <x:v>Deal 115% Finesse weapon damage. If Armour is broken and Health is damaged, roll a 50% chance to apply Bleed.</x:v>
      </x:c>
      <x:c r="U28" t="n">
        <x:v>2</x:v>
      </x:c>
      <x:c r="V28" t="n">
        <x:v>0</x:v>
      </x:c>
      <x:c r="W28" t="n">
        <x:v>5</x:v>
      </x:c>
      <x:c r="X28" t="n">
        <x:v>0</x:v>
      </x:c>
      <x:c r="Y28" t="n">
        <x:v>0</x:v>
      </x:c>
      <x:c r="Z28" t="n">
        <x:v>0</x:v>
      </x:c>
      <x:c r="AA28" t="n">
        <x:v>2</x:v>
      </x:c>
      <x:c r="AB28" t="n">
        <x:v>4</x:v>
      </x:c>
      <x:c r="AC28" t="n">
        <x:v>0</x:v>
      </x:c>
      <x:c r="AD28" t="n">
        <x:v>0</x:v>
      </x:c>
      <x:c r="AE28" t="str">
        <x:v>One-handed ranged finesse weapon.</x:v>
      </x:c>
      <x:c r="AF28" t="str">
        <x:v>Every weapon grants both listed skills. No weapon-granted skill costs 4 EN. Restoration uses a 1-turn cooldown; Fortify/Ward use 2 turns; dual Bastion/Aegis uses 3 turns.</x:v>
      </x:c>
    </x:row>
    <x:row r="29">
      <x:c r="A29" t="str">
        <x:v>WPN-025</x:v>
      </x:c>
      <x:c r="B29" t="str">
        <x:v>Beak Hammer</x:v>
      </x:c>
      <x:c r="C29" t="str">
        <x:v>Grey</x:v>
      </x:c>
      <x:c r="D29" t="str">
        <x:v>Beak Hammer</x:v>
      </x:c>
      <x:c r="E29" t="str">
        <x:v>1H</x:v>
      </x:c>
      <x:c r="F29" t="str">
        <x:v>Knight, Brute, Inquisitor</x:v>
      </x:c>
      <x:c r="G29" t="str">
        <x:v>Physical Strength</x:v>
      </x:c>
      <x:c r="H29" t="str">
        <x:v>Might</x:v>
      </x:c>
      <x:c r="I29" t="n">
        <x:v>4</x:v>
      </x:c>
      <x:c r="J29" t="n">
        <x:v>6</x:v>
      </x:c>
      <x:c r="K29" t="n">
        <x:v>2</x:v>
      </x:c>
      <x:c r="L29" t="str">
        <x:v>Crushing Peck</x:v>
      </x:c>
      <x:c r="M29" t="n">
        <x:v>100</x:v>
      </x:c>
      <x:c r="N29" t="n">
        <x:v>0</x:v>
      </x:c>
      <x:c r="O29" t="str">
        <x:v>Deal 100% Strength weapon damage. If Armour is broken and Health is damaged, apply 1 Dazed stack.</x:v>
      </x:c>
      <x:c r="P29" t="n">
        <x:v>3</x:v>
      </x:c>
      <x:c r="Q29" t="str">
        <x:v>Fortifying Slam</x:v>
      </x:c>
      <x:c r="R29" t="n">
        <x:v>85</x:v>
      </x:c>
      <x:c r="S29" t="n">
        <x:v>2</x:v>
      </x:c>
      <x:c r="T29" t="str">
        <x:v>Deal 85% Strength weapon damage and gain 6 Fortified Armour (add 6 to current Armour and temporary Maximum Armour) for 2 turns.</x:v>
      </x:c>
      <x:c r="U29" t="n">
        <x:v>0</x:v>
      </x:c>
      <x:c r="V29" t="n">
        <x:v>1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str">
        <x:v>Heavy impact and Armour pressure.</x:v>
      </x:c>
      <x:c r="AF29" t="str">
        <x:v>Every weapon grants both listed skills. No weapon-granted skill costs 4 EN. Restoration uses a 1-turn cooldown; Fortify/Ward use 2 turns; dual Bastion/Aegis uses 3 turns.</x:v>
      </x:c>
    </x:row>
    <x:row r="30">
      <x:c r="A30" t="str">
        <x:v>WPN-026</x:v>
      </x:c>
      <x:c r="B30" t="str">
        <x:v>Sturdy Beak Hammer</x:v>
      </x:c>
      <x:c r="C30" t="str">
        <x:v>Green</x:v>
      </x:c>
      <x:c r="D30" t="str">
        <x:v>Beak Hammer</x:v>
      </x:c>
      <x:c r="E30" t="str">
        <x:v>1H</x:v>
      </x:c>
      <x:c r="F30" t="str">
        <x:v>Knight, Brute, Inquisitor</x:v>
      </x:c>
      <x:c r="G30" t="str">
        <x:v>Physical Strength</x:v>
      </x:c>
      <x:c r="H30" t="str">
        <x:v>Might</x:v>
      </x:c>
      <x:c r="I30" t="n">
        <x:v>5</x:v>
      </x:c>
      <x:c r="J30" t="n">
        <x:v>8</x:v>
      </x:c>
      <x:c r="K30" t="n">
        <x:v>2</x:v>
      </x:c>
      <x:c r="L30" t="str">
        <x:v>Crushing Peck</x:v>
      </x:c>
      <x:c r="M30" t="n">
        <x:v>100</x:v>
      </x:c>
      <x:c r="N30" t="n">
        <x:v>0</x:v>
      </x:c>
      <x:c r="O30" t="str">
        <x:v>Deal 100% Strength weapon damage. If Armour is broken and Health is damaged, apply 1 Dazed stack.</x:v>
      </x:c>
      <x:c r="P30" t="n">
        <x:v>3</x:v>
      </x:c>
      <x:c r="Q30" t="str">
        <x:v>Fortifying Slam</x:v>
      </x:c>
      <x:c r="R30" t="n">
        <x:v>85</x:v>
      </x:c>
      <x:c r="S30" t="n">
        <x:v>2</x:v>
      </x:c>
      <x:c r="T30" t="str">
        <x:v>Deal 85% Strength weapon damage and gain 6 Fortified Armour (add 6 to current Armour and temporary Maximum Armour) for 2 turns.</x:v>
      </x:c>
      <x:c r="U30" t="n">
        <x:v>0</x:v>
      </x:c>
      <x:c r="V30" t="n">
        <x:v>1</x:v>
      </x:c>
      <x:c r="W30" t="n">
        <x:v>0</x:v>
      </x:c>
      <x:c r="X30" t="n">
        <x:v>1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str">
        <x:v>Heavy impact and Armour pressure.</x:v>
      </x:c>
      <x:c r="AF30" t="str">
        <x:v>Every weapon grants both listed skills. No weapon-granted skill costs 4 EN. Restoration uses a 1-turn cooldown; Fortify/Ward use 2 turns; dual Bastion/Aegis uses 3 turns.</x:v>
      </x:c>
    </x:row>
    <x:row r="31">
      <x:c r="A31" t="str">
        <x:v>WPN-027</x:v>
      </x:c>
      <x:c r="B31" t="str">
        <x:v>Tempered Beak Hammer</x:v>
      </x:c>
      <x:c r="C31" t="str">
        <x:v>Blue</x:v>
      </x:c>
      <x:c r="D31" t="str">
        <x:v>Beak Hammer</x:v>
      </x:c>
      <x:c r="E31" t="str">
        <x:v>1H</x:v>
      </x:c>
      <x:c r="F31" t="str">
        <x:v>Knight, Brute, Inquisitor</x:v>
      </x:c>
      <x:c r="G31" t="str">
        <x:v>Physical Strength</x:v>
      </x:c>
      <x:c r="H31" t="str">
        <x:v>Might</x:v>
      </x:c>
      <x:c r="I31" t="n">
        <x:v>6</x:v>
      </x:c>
      <x:c r="J31" t="n">
        <x:v>9</x:v>
      </x:c>
      <x:c r="K31" t="n">
        <x:v>2</x:v>
      </x:c>
      <x:c r="L31" t="str">
        <x:v>Crushing Peck</x:v>
      </x:c>
      <x:c r="M31" t="n">
        <x:v>100</x:v>
      </x:c>
      <x:c r="N31" t="n">
        <x:v>0</x:v>
      </x:c>
      <x:c r="O31" t="str">
        <x:v>Deal 100% Strength weapon damage. If Armour is broken and Health is damaged, apply 1 Dazed stack.</x:v>
      </x:c>
      <x:c r="P31" t="n">
        <x:v>3</x:v>
      </x:c>
      <x:c r="Q31" t="str">
        <x:v>Fortifying Slam</x:v>
      </x:c>
      <x:c r="R31" t="n">
        <x:v>85</x:v>
      </x:c>
      <x:c r="S31" t="n">
        <x:v>2</x:v>
      </x:c>
      <x:c r="T31" t="str">
        <x:v>Deal 85% Strength weapon damage and gain 6 Fortified Armour (add 6 to current Armour and temporary Maximum Armour) for 2 turns.</x:v>
      </x:c>
      <x:c r="U31" t="n">
        <x:v>0</x:v>
      </x:c>
      <x:c r="V31" t="n">
        <x:v>2</x:v>
      </x:c>
      <x:c r="W31" t="n">
        <x:v>0</x:v>
      </x:c>
      <x:c r="X31" t="n">
        <x:v>1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str">
        <x:v>Heavy impact and Armour pressure.</x:v>
      </x:c>
      <x:c r="AF31" t="str">
        <x:v>Every weapon grants both listed skills. No weapon-granted skill costs 4 EN. Restoration uses a 1-turn cooldown; Fortify/Ward use 2 turns; dual Bastion/Aegis uses 3 turns.</x:v>
      </x:c>
    </x:row>
    <x:row r="32">
      <x:c r="A32" t="str">
        <x:v>WPN-028</x:v>
      </x:c>
      <x:c r="B32" t="str">
        <x:v>Masterwork Beak Hammer</x:v>
      </x:c>
      <x:c r="C32" t="str">
        <x:v>Purple</x:v>
      </x:c>
      <x:c r="D32" t="str">
        <x:v>Beak Hammer</x:v>
      </x:c>
      <x:c r="E32" t="str">
        <x:v>1H</x:v>
      </x:c>
      <x:c r="F32" t="str">
        <x:v>Knight, Brute, Inquisitor</x:v>
      </x:c>
      <x:c r="G32" t="str">
        <x:v>Physical Strength</x:v>
      </x:c>
      <x:c r="H32" t="str">
        <x:v>Might</x:v>
      </x:c>
      <x:c r="I32" t="n">
        <x:v>8</x:v>
      </x:c>
      <x:c r="J32" t="n">
        <x:v>11</x:v>
      </x:c>
      <x:c r="K32" t="n">
        <x:v>2</x:v>
      </x:c>
      <x:c r="L32" t="str">
        <x:v>Crushing Peck</x:v>
      </x:c>
      <x:c r="M32" t="n">
        <x:v>100</x:v>
      </x:c>
      <x:c r="N32" t="n">
        <x:v>0</x:v>
      </x:c>
      <x:c r="O32" t="str">
        <x:v>Deal 100% Strength weapon damage. If Armour is broken and Health is damaged, apply 1 Dazed stack.</x:v>
      </x:c>
      <x:c r="P32" t="n">
        <x:v>3</x:v>
      </x:c>
      <x:c r="Q32" t="str">
        <x:v>Fortifying Slam</x:v>
      </x:c>
      <x:c r="R32" t="n">
        <x:v>85</x:v>
      </x:c>
      <x:c r="S32" t="n">
        <x:v>2</x:v>
      </x:c>
      <x:c r="T32" t="str">
        <x:v>Deal 85% Strength weapon damage and gain 6 Fortified Armour (add 6 to current Armour and temporary Maximum Armour) for 2 turns.</x:v>
      </x:c>
      <x:c r="U32" t="n">
        <x:v>1</x:v>
      </x:c>
      <x:c r="V32" t="n">
        <x:v>3</x:v>
      </x:c>
      <x:c r="W32" t="n">
        <x:v>0</x:v>
      </x:c>
      <x:c r="X32" t="n">
        <x:v>1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1</x:v>
      </x:c>
      <x:c r="AD32" t="n">
        <x:v>0</x:v>
      </x:c>
      <x:c r="AE32" t="str">
        <x:v>Heavy impact and Armour pressure.</x:v>
      </x:c>
      <x:c r="AF32" t="str">
        <x:v>Every weapon grants both listed skills. No weapon-granted skill costs 4 EN. Restoration uses a 1-turn cooldown; Fortify/Ward use 2 turns; dual Bastion/Aegis uses 3 turns.</x:v>
      </x:c>
    </x:row>
    <x:row r="33">
      <x:c r="A33" t="str">
        <x:v>WPN-029</x:v>
      </x:c>
      <x:c r="B33" t="str">
        <x:v>Regal Beak Hammer</x:v>
      </x:c>
      <x:c r="C33" t="str">
        <x:v>Gold</x:v>
      </x:c>
      <x:c r="D33" t="str">
        <x:v>Beak Hammer</x:v>
      </x:c>
      <x:c r="E33" t="str">
        <x:v>1H</x:v>
      </x:c>
      <x:c r="F33" t="str">
        <x:v>Knight, Brute, Inquisitor</x:v>
      </x:c>
      <x:c r="G33" t="str">
        <x:v>Physical Strength</x:v>
      </x:c>
      <x:c r="H33" t="str">
        <x:v>Might</x:v>
      </x:c>
      <x:c r="I33" t="n">
        <x:v>9</x:v>
      </x:c>
      <x:c r="J33" t="n">
        <x:v>14</x:v>
      </x:c>
      <x:c r="K33" t="n">
        <x:v>2</x:v>
      </x:c>
      <x:c r="L33" t="str">
        <x:v>Crushing Peck</x:v>
      </x:c>
      <x:c r="M33" t="n">
        <x:v>100</x:v>
      </x:c>
      <x:c r="N33" t="n">
        <x:v>0</x:v>
      </x:c>
      <x:c r="O33" t="str">
        <x:v>Deal 100% Strength weapon damage. If Armour is broken and Health is damaged, apply 1 Dazed stack.</x:v>
      </x:c>
      <x:c r="P33" t="n">
        <x:v>3</x:v>
      </x:c>
      <x:c r="Q33" t="str">
        <x:v>Fortifying Slam</x:v>
      </x:c>
      <x:c r="R33" t="n">
        <x:v>85</x:v>
      </x:c>
      <x:c r="S33" t="n">
        <x:v>2</x:v>
      </x:c>
      <x:c r="T33" t="str">
        <x:v>Deal 85% Strength weapon damage and gain 6 Fortified Armour (add 6 to current Armour and temporary Maximum Armour) for 2 turns.</x:v>
      </x:c>
      <x:c r="U33" t="n">
        <x:v>1</x:v>
      </x:c>
      <x:c r="V33" t="n">
        <x:v>4</x:v>
      </x:c>
      <x:c r="W33" t="n">
        <x:v>0</x:v>
      </x:c>
      <x:c r="X33" t="n">
        <x:v>2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2</x:v>
      </x:c>
      <x:c r="AD33" t="n">
        <x:v>0</x:v>
      </x:c>
      <x:c r="AE33" t="str">
        <x:v>Heavy impact and Armour pressure.</x:v>
      </x:c>
      <x:c r="AF33" t="str">
        <x:v>Every weapon grants both listed skills. No weapon-granted skill costs 4 EN. Restoration uses a 1-turn cooldown; Fortify/Ward use 2 turns; dual Bastion/Aegis uses 3 turns.</x:v>
      </x:c>
    </x:row>
    <x:row r="34">
      <x:c r="A34" t="str">
        <x:v>WPN-030</x:v>
      </x:c>
      <x:c r="B34" t="str">
        <x:v>Mythic Beak Hammer</x:v>
      </x:c>
      <x:c r="C34" t="str">
        <x:v>Orange</x:v>
      </x:c>
      <x:c r="D34" t="str">
        <x:v>Beak Hammer</x:v>
      </x:c>
      <x:c r="E34" t="str">
        <x:v>1H</x:v>
      </x:c>
      <x:c r="F34" t="str">
        <x:v>Knight, Brute, Inquisitor</x:v>
      </x:c>
      <x:c r="G34" t="str">
        <x:v>Physical Strength</x:v>
      </x:c>
      <x:c r="H34" t="str">
        <x:v>Might</x:v>
      </x:c>
      <x:c r="I34" t="n">
        <x:v>11</x:v>
      </x:c>
      <x:c r="J34" t="n">
        <x:v>17</x:v>
      </x:c>
      <x:c r="K34" t="n">
        <x:v>2</x:v>
      </x:c>
      <x:c r="L34" t="str">
        <x:v>Crushing Peck</x:v>
      </x:c>
      <x:c r="M34" t="n">
        <x:v>100</x:v>
      </x:c>
      <x:c r="N34" t="n">
        <x:v>0</x:v>
      </x:c>
      <x:c r="O34" t="str">
        <x:v>Deal 100% Strength weapon damage. If Armour is broken and Health is damaged, apply 1 Dazed stack.</x:v>
      </x:c>
      <x:c r="P34" t="n">
        <x:v>3</x:v>
      </x:c>
      <x:c r="Q34" t="str">
        <x:v>Fortifying Slam</x:v>
      </x:c>
      <x:c r="R34" t="n">
        <x:v>85</x:v>
      </x:c>
      <x:c r="S34" t="n">
        <x:v>2</x:v>
      </x:c>
      <x:c r="T34" t="str">
        <x:v>Deal 85% Strength weapon damage and gain 6 Fortified Armour (add 6 to current Armour and temporary Maximum Armour) for 2 turns.</x:v>
      </x:c>
      <x:c r="U34" t="n">
        <x:v>2</x:v>
      </x:c>
      <x:c r="V34" t="n">
        <x:v>5</x:v>
      </x:c>
      <x:c r="W34" t="n">
        <x:v>0</x:v>
      </x:c>
      <x:c r="X34" t="n">
        <x:v>2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3</x:v>
      </x:c>
      <x:c r="AD34" t="n">
        <x:v>0</x:v>
      </x:c>
      <x:c r="AE34" t="str">
        <x:v>Heavy impact and Armour pressure.</x:v>
      </x:c>
      <x:c r="AF34" t="str">
        <x:v>Every weapon grants both listed skills. No weapon-granted skill costs 4 EN. Restoration uses a 1-turn cooldown; Fortify/Ward use 2 turns; dual Bastion/Aegis uses 3 turns.</x:v>
      </x:c>
    </x:row>
    <x:row r="35">
      <x:c r="A35" t="str">
        <x:v>WPN-031</x:v>
      </x:c>
      <x:c r="B35" t="str">
        <x:v>Wand</x:v>
      </x:c>
      <x:c r="C35" t="str">
        <x:v>Grey</x:v>
      </x:c>
      <x:c r="D35" t="str">
        <x:v>Wand</x:v>
      </x:c>
      <x:c r="E35" t="str">
        <x:v>1H</x:v>
      </x:c>
      <x:c r="F35" t="str">
        <x:v>Mage, Siren, Bard, Inquisitor</x:v>
      </x:c>
      <x:c r="G35" t="str">
        <x:v>Magical</x:v>
      </x:c>
      <x:c r="H35" t="str">
        <x:v>Focus</x:v>
      </x:c>
      <x:c r="I35" t="n">
        <x:v>2</x:v>
      </x:c>
      <x:c r="J35" t="n">
        <x:v>4</x:v>
      </x:c>
      <x:c r="K35" t="n">
        <x:v>2</x:v>
      </x:c>
      <x:c r="L35" t="str">
        <x:v>Arc Bolt</x:v>
      </x:c>
      <x:c r="M35" t="n">
        <x:v>110</x:v>
      </x:c>
      <x:c r="N35" t="n">
        <x:v>0</x:v>
      </x:c>
      <x:c r="O35" t="str">
        <x:v>Deal 110% Magic weapon damage.</x:v>
      </x:c>
      <x:c r="P35" t="n">
        <x:v>3</x:v>
      </x:c>
      <x:c r="Q35" t="str">
        <x:v>Arcane Ward</x:v>
      </x:c>
      <x:c r="R35" t="n">
        <x:v>0</x:v>
      </x:c>
      <x:c r="S35" t="n">
        <x:v>2</x:v>
      </x:c>
      <x:c r="T35" t="str">
        <x:v>Gain 8 Ward Magic Armour (add 8 to current Magic Armour and temporary Maximum Magic Armour) for 2 turns. Ward heals missing Magic Armour and may exceed normal Maximum Magic Armour.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1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str">
        <x:v>Reliable basic magical attack.</x:v>
      </x:c>
      <x:c r="AF35" t="str">
        <x:v>Every weapon grants both listed skills. No weapon-granted skill costs 4 EN. Restoration uses a 1-turn cooldown; Fortify/Ward use 2 turns; dual Bastion/Aegis uses 3 turns.</x:v>
      </x:c>
    </x:row>
    <x:row r="36">
      <x:c r="A36" t="str">
        <x:v>WPN-032</x:v>
      </x:c>
      <x:c r="B36" t="str">
        <x:v>Sturdy Wand</x:v>
      </x:c>
      <x:c r="C36" t="str">
        <x:v>Green</x:v>
      </x:c>
      <x:c r="D36" t="str">
        <x:v>Wand</x:v>
      </x:c>
      <x:c r="E36" t="str">
        <x:v>1H</x:v>
      </x:c>
      <x:c r="F36" t="str">
        <x:v>Mage, Siren, Bard, Inquisitor</x:v>
      </x:c>
      <x:c r="G36" t="str">
        <x:v>Magical</x:v>
      </x:c>
      <x:c r="H36" t="str">
        <x:v>Focus</x:v>
      </x:c>
      <x:c r="I36" t="n">
        <x:v>3</x:v>
      </x:c>
      <x:c r="J36" t="n">
        <x:v>5</x:v>
      </x:c>
      <x:c r="K36" t="n">
        <x:v>2</x:v>
      </x:c>
      <x:c r="L36" t="str">
        <x:v>Arc Bolt</x:v>
      </x:c>
      <x:c r="M36" t="n">
        <x:v>110</x:v>
      </x:c>
      <x:c r="N36" t="n">
        <x:v>0</x:v>
      </x:c>
      <x:c r="O36" t="str">
        <x:v>Deal 110% Magic weapon damage.</x:v>
      </x:c>
      <x:c r="P36" t="n">
        <x:v>3</x:v>
      </x:c>
      <x:c r="Q36" t="str">
        <x:v>Arcane Ward</x:v>
      </x:c>
      <x:c r="R36" t="n">
        <x:v>0</x:v>
      </x:c>
      <x:c r="S36" t="n">
        <x:v>2</x:v>
      </x:c>
      <x:c r="T36" t="str">
        <x:v>Gain 8 Ward Magic Armour (add 8 to current Magic Armour and temporary Maximum Magic Armour) for 2 turns. Ward heals missing Magic Armour and may exceed normal Maximum Magic Armour.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1</x:v>
      </x:c>
      <x:c r="Z36" t="n">
        <x:v>1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str">
        <x:v>Reliable basic magical attack.</x:v>
      </x:c>
      <x:c r="AF36" t="str">
        <x:v>Every weapon grants both listed skills. No weapon-granted skill costs 4 EN. Restoration uses a 1-turn cooldown; Fortify/Ward use 2 turns; dual Bastion/Aegis uses 3 turns.</x:v>
      </x:c>
    </x:row>
    <x:row r="37">
      <x:c r="A37" t="str">
        <x:v>WPN-033</x:v>
      </x:c>
      <x:c r="B37" t="str">
        <x:v>Tempered Wand</x:v>
      </x:c>
      <x:c r="C37" t="str">
        <x:v>Blue</x:v>
      </x:c>
      <x:c r="D37" t="str">
        <x:v>Wand</x:v>
      </x:c>
      <x:c r="E37" t="str">
        <x:v>1H</x:v>
      </x:c>
      <x:c r="F37" t="str">
        <x:v>Mage, Siren, Bard, Inquisitor</x:v>
      </x:c>
      <x:c r="G37" t="str">
        <x:v>Magical</x:v>
      </x:c>
      <x:c r="H37" t="str">
        <x:v>Focus</x:v>
      </x:c>
      <x:c r="I37" t="n">
        <x:v>3</x:v>
      </x:c>
      <x:c r="J37" t="n">
        <x:v>6</x:v>
      </x:c>
      <x:c r="K37" t="n">
        <x:v>2</x:v>
      </x:c>
      <x:c r="L37" t="str">
        <x:v>Arc Bolt</x:v>
      </x:c>
      <x:c r="M37" t="n">
        <x:v>110</x:v>
      </x:c>
      <x:c r="N37" t="n">
        <x:v>0</x:v>
      </x:c>
      <x:c r="O37" t="str">
        <x:v>Deal 110% Magic weapon damage.</x:v>
      </x:c>
      <x:c r="P37" t="n">
        <x:v>3</x:v>
      </x:c>
      <x:c r="Q37" t="str">
        <x:v>Arcane Ward</x:v>
      </x:c>
      <x:c r="R37" t="n">
        <x:v>0</x:v>
      </x:c>
      <x:c r="S37" t="n">
        <x:v>2</x:v>
      </x:c>
      <x:c r="T37" t="str">
        <x:v>Gain 8 Ward Magic Armour (add 8 to current Magic Armour and temporary Maximum Magic Armour) for 2 turns. Ward heals missing Magic Armour and may exceed normal Maximum Magic Armour.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2</x:v>
      </x:c>
      <x:c r="Z37" t="n">
        <x:v>1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str">
        <x:v>Reliable basic magical attack.</x:v>
      </x:c>
      <x:c r="AF37" t="str">
        <x:v>Every weapon grants both listed skills. No weapon-granted skill costs 4 EN. Restoration uses a 1-turn cooldown; Fortify/Ward use 2 turns; dual Bastion/Aegis uses 3 turns.</x:v>
      </x:c>
    </x:row>
    <x:row r="38">
      <x:c r="A38" t="str">
        <x:v>WPN-034</x:v>
      </x:c>
      <x:c r="B38" t="str">
        <x:v>Masterwork Wand</x:v>
      </x:c>
      <x:c r="C38" t="str">
        <x:v>Purple</x:v>
      </x:c>
      <x:c r="D38" t="str">
        <x:v>Wand</x:v>
      </x:c>
      <x:c r="E38" t="str">
        <x:v>1H</x:v>
      </x:c>
      <x:c r="F38" t="str">
        <x:v>Mage, Siren, Bard, Inquisitor</x:v>
      </x:c>
      <x:c r="G38" t="str">
        <x:v>Magical</x:v>
      </x:c>
      <x:c r="H38" t="str">
        <x:v>Focus</x:v>
      </x:c>
      <x:c r="I38" t="n">
        <x:v>4</x:v>
      </x:c>
      <x:c r="J38" t="n">
        <x:v>8</x:v>
      </x:c>
      <x:c r="K38" t="n">
        <x:v>2</x:v>
      </x:c>
      <x:c r="L38" t="str">
        <x:v>Arc Bolt</x:v>
      </x:c>
      <x:c r="M38" t="n">
        <x:v>110</x:v>
      </x:c>
      <x:c r="N38" t="n">
        <x:v>0</x:v>
      </x:c>
      <x:c r="O38" t="str">
        <x:v>Deal 110% Magic weapon damage.</x:v>
      </x:c>
      <x:c r="P38" t="n">
        <x:v>3</x:v>
      </x:c>
      <x:c r="Q38" t="str">
        <x:v>Arcane Ward</x:v>
      </x:c>
      <x:c r="R38" t="n">
        <x:v>0</x:v>
      </x:c>
      <x:c r="S38" t="n">
        <x:v>2</x:v>
      </x:c>
      <x:c r="T38" t="str">
        <x:v>Gain 8 Ward Magic Armour (add 8 to current Magic Armour and temporary Maximum Magic Armour) for 2 turns. Ward heals missing Magic Armour and may exceed normal Maximum Magic Armour.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3</x:v>
      </x:c>
      <x:c r="Z38" t="n">
        <x:v>1</x:v>
      </x:c>
      <x:c r="AA38" t="n">
        <x:v>1</x:v>
      </x:c>
      <x:c r="AB38" t="n">
        <x:v>0</x:v>
      </x:c>
      <x:c r="AC38" t="n">
        <x:v>0</x:v>
      </x:c>
      <x:c r="AD38" t="n">
        <x:v>1</x:v>
      </x:c>
      <x:c r="AE38" t="str">
        <x:v>Reliable basic magical attack.</x:v>
      </x:c>
      <x:c r="AF38" t="str">
        <x:v>Every weapon grants both listed skills. No weapon-granted skill costs 4 EN. Restoration uses a 1-turn cooldown; Fortify/Ward use 2 turns; dual Bastion/Aegis uses 3 turns.</x:v>
      </x:c>
    </x:row>
    <x:row r="39">
      <x:c r="A39" t="str">
        <x:v>WPN-035</x:v>
      </x:c>
      <x:c r="B39" t="str">
        <x:v>Regal Wand</x:v>
      </x:c>
      <x:c r="C39" t="str">
        <x:v>Gold</x:v>
      </x:c>
      <x:c r="D39" t="str">
        <x:v>Wand</x:v>
      </x:c>
      <x:c r="E39" t="str">
        <x:v>1H</x:v>
      </x:c>
      <x:c r="F39" t="str">
        <x:v>Mage, Siren, Bard, Inquisitor</x:v>
      </x:c>
      <x:c r="G39" t="str">
        <x:v>Magical</x:v>
      </x:c>
      <x:c r="H39" t="str">
        <x:v>Focus</x:v>
      </x:c>
      <x:c r="I39" t="n">
        <x:v>5</x:v>
      </x:c>
      <x:c r="J39" t="n">
        <x:v>9</x:v>
      </x:c>
      <x:c r="K39" t="n">
        <x:v>2</x:v>
      </x:c>
      <x:c r="L39" t="str">
        <x:v>Arc Bolt</x:v>
      </x:c>
      <x:c r="M39" t="n">
        <x:v>110</x:v>
      </x:c>
      <x:c r="N39" t="n">
        <x:v>0</x:v>
      </x:c>
      <x:c r="O39" t="str">
        <x:v>Deal 110% Magic weapon damage.</x:v>
      </x:c>
      <x:c r="P39" t="n">
        <x:v>3</x:v>
      </x:c>
      <x:c r="Q39" t="str">
        <x:v>Arcane Ward</x:v>
      </x:c>
      <x:c r="R39" t="n">
        <x:v>0</x:v>
      </x:c>
      <x:c r="S39" t="n">
        <x:v>2</x:v>
      </x:c>
      <x:c r="T39" t="str">
        <x:v>Gain 8 Ward Magic Armour (add 8 to current Magic Armour and temporary Maximum Magic Armour) for 2 turns. Ward heals missing Magic Armour and may exceed normal Maximum Magic Armour.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4</x:v>
      </x:c>
      <x:c r="Z39" t="n">
        <x:v>2</x:v>
      </x:c>
      <x:c r="AA39" t="n">
        <x:v>1</x:v>
      </x:c>
      <x:c r="AB39" t="n">
        <x:v>0</x:v>
      </x:c>
      <x:c r="AC39" t="n">
        <x:v>0</x:v>
      </x:c>
      <x:c r="AD39" t="n">
        <x:v>2</x:v>
      </x:c>
      <x:c r="AE39" t="str">
        <x:v>Reliable basic magical attack.</x:v>
      </x:c>
      <x:c r="AF39" t="str">
        <x:v>Every weapon grants both listed skills. No weapon-granted skill costs 4 EN. Restoration uses a 1-turn cooldown; Fortify/Ward use 2 turns; dual Bastion/Aegis uses 3 turns.</x:v>
      </x:c>
    </x:row>
    <x:row r="40">
      <x:c r="A40" t="str">
        <x:v>WPN-036</x:v>
      </x:c>
      <x:c r="B40" t="str">
        <x:v>Mythic Wand</x:v>
      </x:c>
      <x:c r="C40" t="str">
        <x:v>Orange</x:v>
      </x:c>
      <x:c r="D40" t="str">
        <x:v>Wand</x:v>
      </x:c>
      <x:c r="E40" t="str">
        <x:v>1H</x:v>
      </x:c>
      <x:c r="F40" t="str">
        <x:v>Mage, Siren, Bard, Inquisitor</x:v>
      </x:c>
      <x:c r="G40" t="str">
        <x:v>Magical</x:v>
      </x:c>
      <x:c r="H40" t="str">
        <x:v>Focus</x:v>
      </x:c>
      <x:c r="I40" t="n">
        <x:v>6</x:v>
      </x:c>
      <x:c r="J40" t="n">
        <x:v>11</x:v>
      </x:c>
      <x:c r="K40" t="n">
        <x:v>2</x:v>
      </x:c>
      <x:c r="L40" t="str">
        <x:v>Arc Bolt</x:v>
      </x:c>
      <x:c r="M40" t="n">
        <x:v>110</x:v>
      </x:c>
      <x:c r="N40" t="n">
        <x:v>0</x:v>
      </x:c>
      <x:c r="O40" t="str">
        <x:v>Deal 110% Magic weapon damage.</x:v>
      </x:c>
      <x:c r="P40" t="n">
        <x:v>3</x:v>
      </x:c>
      <x:c r="Q40" t="str">
        <x:v>Arcane Ward</x:v>
      </x:c>
      <x:c r="R40" t="n">
        <x:v>0</x:v>
      </x:c>
      <x:c r="S40" t="n">
        <x:v>2</x:v>
      </x:c>
      <x:c r="T40" t="str">
        <x:v>Gain 8 Ward Magic Armour (add 8 to current Magic Armour and temporary Maximum Magic Armour) for 2 turns. Ward heals missing Magic Armour and may exceed normal Maximum Magic Armour.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5</x:v>
      </x:c>
      <x:c r="Z40" t="n">
        <x:v>2</x:v>
      </x:c>
      <x:c r="AA40" t="n">
        <x:v>2</x:v>
      </x:c>
      <x:c r="AB40" t="n">
        <x:v>0</x:v>
      </x:c>
      <x:c r="AC40" t="n">
        <x:v>0</x:v>
      </x:c>
      <x:c r="AD40" t="n">
        <x:v>3</x:v>
      </x:c>
      <x:c r="AE40" t="str">
        <x:v>Reliable basic magical attack.</x:v>
      </x:c>
      <x:c r="AF40" t="str">
        <x:v>Every weapon grants both listed skills. No weapon-granted skill costs 4 EN. Restoration uses a 1-turn cooldown; Fortify/Ward use 2 turns; dual Bastion/Aegis uses 3 turns.</x:v>
      </x:c>
    </x:row>
    <x:row r="41">
      <x:c r="A41" t="str">
        <x:v>WPN-037</x:v>
      </x:c>
      <x:c r="B41" t="str">
        <x:v>Hexwood Wand</x:v>
      </x:c>
      <x:c r="C41" t="str">
        <x:v>Grey</x:v>
      </x:c>
      <x:c r="D41" t="str">
        <x:v>Hexwood Wand</x:v>
      </x:c>
      <x:c r="E41" t="str">
        <x:v>1H</x:v>
      </x:c>
      <x:c r="F41" t="str">
        <x:v>Mage and Siren</x:v>
      </x:c>
      <x:c r="G41" t="str">
        <x:v>Magical</x:v>
      </x:c>
      <x:c r="H41" t="str">
        <x:v>Focus</x:v>
      </x:c>
      <x:c r="I41" t="n">
        <x:v>2</x:v>
      </x:c>
      <x:c r="J41" t="n">
        <x:v>3</x:v>
      </x:c>
      <x:c r="K41" t="n">
        <x:v>2</x:v>
      </x:c>
      <x:c r="L41" t="str">
        <x:v>Hex Needle</x:v>
      </x:c>
      <x:c r="M41" t="n">
        <x:v>90</x:v>
      </x:c>
      <x:c r="N41" t="n">
        <x:v>0</x:v>
      </x:c>
      <x:c r="O41" t="str">
        <x:v>Deal 90% Magic weapon damage. If Magic Armour is broken and Health is damaged, roll the weapon’s magical ailment chance.</x:v>
      </x:c>
      <x:c r="P41" t="n">
        <x:v>3</x:v>
      </x:c>
      <x:c r="Q41" t="str">
        <x:v>Withering Hex</x:v>
      </x:c>
      <x:c r="R41" t="n">
        <x:v>75</x:v>
      </x:c>
      <x:c r="S41" t="n">
        <x:v>1</x:v>
      </x:c>
      <x:c r="T41" t="str">
        <x:v>Deal 75% Magic weapon damage. If Magic Armour is broken and Health is damaged, apply Minor Focus Down for 2 turns.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1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str">
        <x:v>Lower damage; ailment utility.</x:v>
      </x:c>
      <x:c r="AF41" t="str">
        <x:v>Every weapon grants both listed skills. No weapon-granted skill costs 4 EN. Restoration uses a 1-turn cooldown; Fortify/Ward use 2 turns; dual Bastion/Aegis uses 3 turns.</x:v>
      </x:c>
    </x:row>
    <x:row r="42">
      <x:c r="A42" t="str">
        <x:v>WPN-038</x:v>
      </x:c>
      <x:c r="B42" t="str">
        <x:v>Sturdy Hexwood Wand</x:v>
      </x:c>
      <x:c r="C42" t="str">
        <x:v>Green</x:v>
      </x:c>
      <x:c r="D42" t="str">
        <x:v>Hexwood Wand</x:v>
      </x:c>
      <x:c r="E42" t="str">
        <x:v>1H</x:v>
      </x:c>
      <x:c r="F42" t="str">
        <x:v>Mage and Siren</x:v>
      </x:c>
      <x:c r="G42" t="str">
        <x:v>Magical</x:v>
      </x:c>
      <x:c r="H42" t="str">
        <x:v>Focus</x:v>
      </x:c>
      <x:c r="I42" t="n">
        <x:v>3</x:v>
      </x:c>
      <x:c r="J42" t="n">
        <x:v>4</x:v>
      </x:c>
      <x:c r="K42" t="n">
        <x:v>2</x:v>
      </x:c>
      <x:c r="L42" t="str">
        <x:v>Hex Needle</x:v>
      </x:c>
      <x:c r="M42" t="n">
        <x:v>90</x:v>
      </x:c>
      <x:c r="N42" t="n">
        <x:v>0</x:v>
      </x:c>
      <x:c r="O42" t="str">
        <x:v>Deal 90% Magic weapon damage. If Magic Armour is broken and Health is damaged, roll the weapon’s magical ailment chance.</x:v>
      </x:c>
      <x:c r="P42" t="n">
        <x:v>3</x:v>
      </x:c>
      <x:c r="Q42" t="str">
        <x:v>Withering Hex</x:v>
      </x:c>
      <x:c r="R42" t="n">
        <x:v>75</x:v>
      </x:c>
      <x:c r="S42" t="n">
        <x:v>1</x:v>
      </x:c>
      <x:c r="T42" t="str">
        <x:v>Deal 75% Magic weapon damage. If Magic Armour is broken and Health is damaged, apply Minor Focus Down for 2 turns.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1</x:v>
      </x:c>
      <x:c r="Z42" t="n">
        <x:v>1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str">
        <x:v>Lower damage; ailment utility.</x:v>
      </x:c>
      <x:c r="AF42" t="str">
        <x:v>Every weapon grants both listed skills. No weapon-granted skill costs 4 EN. Restoration uses a 1-turn cooldown; Fortify/Ward use 2 turns; dual Bastion/Aegis uses 3 turns.</x:v>
      </x:c>
    </x:row>
    <x:row r="43">
      <x:c r="A43" t="str">
        <x:v>WPN-039</x:v>
      </x:c>
      <x:c r="B43" t="str">
        <x:v>Tempered Hexwood Wand</x:v>
      </x:c>
      <x:c r="C43" t="str">
        <x:v>Blue</x:v>
      </x:c>
      <x:c r="D43" t="str">
        <x:v>Hexwood Wand</x:v>
      </x:c>
      <x:c r="E43" t="str">
        <x:v>1H</x:v>
      </x:c>
      <x:c r="F43" t="str">
        <x:v>Mage and Siren</x:v>
      </x:c>
      <x:c r="G43" t="str">
        <x:v>Magical</x:v>
      </x:c>
      <x:c r="H43" t="str">
        <x:v>Focus</x:v>
      </x:c>
      <x:c r="I43" t="n">
        <x:v>3</x:v>
      </x:c>
      <x:c r="J43" t="n">
        <x:v>5</x:v>
      </x:c>
      <x:c r="K43" t="n">
        <x:v>2</x:v>
      </x:c>
      <x:c r="L43" t="str">
        <x:v>Hex Needle</x:v>
      </x:c>
      <x:c r="M43" t="n">
        <x:v>90</x:v>
      </x:c>
      <x:c r="N43" t="n">
        <x:v>0</x:v>
      </x:c>
      <x:c r="O43" t="str">
        <x:v>Deal 90% Magic weapon damage. If Magic Armour is broken and Health is damaged, roll the weapon’s magical ailment chance.</x:v>
      </x:c>
      <x:c r="P43" t="n">
        <x:v>3</x:v>
      </x:c>
      <x:c r="Q43" t="str">
        <x:v>Withering Hex</x:v>
      </x:c>
      <x:c r="R43" t="n">
        <x:v>75</x:v>
      </x:c>
      <x:c r="S43" t="n">
        <x:v>1</x:v>
      </x:c>
      <x:c r="T43" t="str">
        <x:v>Deal 75% Magic weapon damage. If Magic Armour is broken and Health is damaged, apply Minor Focus Down for 2 turns.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2</x:v>
      </x:c>
      <x:c r="Z43" t="n">
        <x:v>1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str">
        <x:v>Lower damage; ailment utility.</x:v>
      </x:c>
      <x:c r="AF43" t="str">
        <x:v>Every weapon grants both listed skills. No weapon-granted skill costs 4 EN. Restoration uses a 1-turn cooldown; Fortify/Ward use 2 turns; dual Bastion/Aegis uses 3 turns.</x:v>
      </x:c>
    </x:row>
    <x:row r="44">
      <x:c r="A44" t="str">
        <x:v>WPN-040</x:v>
      </x:c>
      <x:c r="B44" t="str">
        <x:v>Masterwork Hexwood Wand</x:v>
      </x:c>
      <x:c r="C44" t="str">
        <x:v>Purple</x:v>
      </x:c>
      <x:c r="D44" t="str">
        <x:v>Hexwood Wand</x:v>
      </x:c>
      <x:c r="E44" t="str">
        <x:v>1H</x:v>
      </x:c>
      <x:c r="F44" t="str">
        <x:v>Mage and Siren</x:v>
      </x:c>
      <x:c r="G44" t="str">
        <x:v>Magical</x:v>
      </x:c>
      <x:c r="H44" t="str">
        <x:v>Focus</x:v>
      </x:c>
      <x:c r="I44" t="n">
        <x:v>4</x:v>
      </x:c>
      <x:c r="J44" t="n">
        <x:v>6</x:v>
      </x:c>
      <x:c r="K44" t="n">
        <x:v>2</x:v>
      </x:c>
      <x:c r="L44" t="str">
        <x:v>Hex Needle</x:v>
      </x:c>
      <x:c r="M44" t="n">
        <x:v>90</x:v>
      </x:c>
      <x:c r="N44" t="n">
        <x:v>0</x:v>
      </x:c>
      <x:c r="O44" t="str">
        <x:v>Deal 90% Magic weapon damage. If Magic Armour is broken and Health is damaged, roll the weapon’s magical ailment chance.</x:v>
      </x:c>
      <x:c r="P44" t="n">
        <x:v>3</x:v>
      </x:c>
      <x:c r="Q44" t="str">
        <x:v>Withering Hex</x:v>
      </x:c>
      <x:c r="R44" t="n">
        <x:v>75</x:v>
      </x:c>
      <x:c r="S44" t="n">
        <x:v>1</x:v>
      </x:c>
      <x:c r="T44" t="str">
        <x:v>Deal 75% Magic weapon damage. If Magic Armour is broken and Health is damaged, apply Minor Focus Down for 2 turns.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3</x:v>
      </x:c>
      <x:c r="Z44" t="n">
        <x:v>1</x:v>
      </x:c>
      <x:c r="AA44" t="n">
        <x:v>0</x:v>
      </x:c>
      <x:c r="AB44" t="n">
        <x:v>0</x:v>
      </x:c>
      <x:c r="AC44" t="n">
        <x:v>0</x:v>
      </x:c>
      <x:c r="AD44" t="n">
        <x:v>1</x:v>
      </x:c>
      <x:c r="AE44" t="str">
        <x:v>Lower damage; ailment utility.</x:v>
      </x:c>
      <x:c r="AF44" t="str">
        <x:v>Every weapon grants both listed skills. No weapon-granted skill costs 4 EN. Restoration uses a 1-turn cooldown; Fortify/Ward use 2 turns; dual Bastion/Aegis uses 3 turns.</x:v>
      </x:c>
    </x:row>
    <x:row r="45">
      <x:c r="A45" t="str">
        <x:v>WPN-041</x:v>
      </x:c>
      <x:c r="B45" t="str">
        <x:v>Regal Hexwood Wand</x:v>
      </x:c>
      <x:c r="C45" t="str">
        <x:v>Gold</x:v>
      </x:c>
      <x:c r="D45" t="str">
        <x:v>Hexwood Wand</x:v>
      </x:c>
      <x:c r="E45" t="str">
        <x:v>1H</x:v>
      </x:c>
      <x:c r="F45" t="str">
        <x:v>Mage and Siren</x:v>
      </x:c>
      <x:c r="G45" t="str">
        <x:v>Magical</x:v>
      </x:c>
      <x:c r="H45" t="str">
        <x:v>Focus</x:v>
      </x:c>
      <x:c r="I45" t="n">
        <x:v>5</x:v>
      </x:c>
      <x:c r="J45" t="n">
        <x:v>7</x:v>
      </x:c>
      <x:c r="K45" t="n">
        <x:v>2</x:v>
      </x:c>
      <x:c r="L45" t="str">
        <x:v>Hex Needle</x:v>
      </x:c>
      <x:c r="M45" t="n">
        <x:v>90</x:v>
      </x:c>
      <x:c r="N45" t="n">
        <x:v>0</x:v>
      </x:c>
      <x:c r="O45" t="str">
        <x:v>Deal 90% Magic weapon damage. If Magic Armour is broken and Health is damaged, roll the weapon’s magical ailment chance.</x:v>
      </x:c>
      <x:c r="P45" t="n">
        <x:v>3</x:v>
      </x:c>
      <x:c r="Q45" t="str">
        <x:v>Withering Hex</x:v>
      </x:c>
      <x:c r="R45" t="n">
        <x:v>75</x:v>
      </x:c>
      <x:c r="S45" t="n">
        <x:v>1</x:v>
      </x:c>
      <x:c r="T45" t="str">
        <x:v>Deal 75% Magic weapon damage. If Magic Armour is broken and Health is damaged, apply Minor Focus Down for 2 turns.</x:v>
      </x:c>
      <x:c r="U45" t="n">
        <x:v>1</x:v>
      </x:c>
      <x:c r="V45" t="n">
        <x:v>0</x:v>
      </x:c>
      <x:c r="W45" t="n">
        <x:v>0</x:v>
      </x:c>
      <x:c r="X45" t="n">
        <x:v>0</x:v>
      </x:c>
      <x:c r="Y45" t="n">
        <x:v>4</x:v>
      </x:c>
      <x:c r="Z45" t="n">
        <x:v>2</x:v>
      </x:c>
      <x:c r="AA45" t="n">
        <x:v>0</x:v>
      </x:c>
      <x:c r="AB45" t="n">
        <x:v>0</x:v>
      </x:c>
      <x:c r="AC45" t="n">
        <x:v>0</x:v>
      </x:c>
      <x:c r="AD45" t="n">
        <x:v>2</x:v>
      </x:c>
      <x:c r="AE45" t="str">
        <x:v>Lower damage; ailment utility.</x:v>
      </x:c>
      <x:c r="AF45" t="str">
        <x:v>Every weapon grants both listed skills. No weapon-granted skill costs 4 EN. Restoration uses a 1-turn cooldown; Fortify/Ward use 2 turns; dual Bastion/Aegis uses 3 turns.</x:v>
      </x:c>
    </x:row>
    <x:row r="46">
      <x:c r="A46" t="str">
        <x:v>WPN-042</x:v>
      </x:c>
      <x:c r="B46" t="str">
        <x:v>Mythic Hexwood Wand</x:v>
      </x:c>
      <x:c r="C46" t="str">
        <x:v>Orange</x:v>
      </x:c>
      <x:c r="D46" t="str">
        <x:v>Hexwood Wand</x:v>
      </x:c>
      <x:c r="E46" t="str">
        <x:v>1H</x:v>
      </x:c>
      <x:c r="F46" t="str">
        <x:v>Mage and Siren</x:v>
      </x:c>
      <x:c r="G46" t="str">
        <x:v>Magical</x:v>
      </x:c>
      <x:c r="H46" t="str">
        <x:v>Focus</x:v>
      </x:c>
      <x:c r="I46" t="n">
        <x:v>6</x:v>
      </x:c>
      <x:c r="J46" t="n">
        <x:v>8</x:v>
      </x:c>
      <x:c r="K46" t="n">
        <x:v>2</x:v>
      </x:c>
      <x:c r="L46" t="str">
        <x:v>Hex Needle</x:v>
      </x:c>
      <x:c r="M46" t="n">
        <x:v>90</x:v>
      </x:c>
      <x:c r="N46" t="n">
        <x:v>0</x:v>
      </x:c>
      <x:c r="O46" t="str">
        <x:v>Deal 90% Magic weapon damage. If Magic Armour is broken and Health is damaged, roll the weapon’s magical ailment chance.</x:v>
      </x:c>
      <x:c r="P46" t="n">
        <x:v>3</x:v>
      </x:c>
      <x:c r="Q46" t="str">
        <x:v>Withering Hex</x:v>
      </x:c>
      <x:c r="R46" t="n">
        <x:v>75</x:v>
      </x:c>
      <x:c r="S46" t="n">
        <x:v>1</x:v>
      </x:c>
      <x:c r="T46" t="str">
        <x:v>Deal 75% Magic weapon damage. If Magic Armour is broken and Health is damaged, apply Minor Focus Down for 2 turns.</x:v>
      </x:c>
      <x:c r="U46" t="n">
        <x:v>2</x:v>
      </x:c>
      <x:c r="V46" t="n">
        <x:v>0</x:v>
      </x:c>
      <x:c r="W46" t="n">
        <x:v>0</x:v>
      </x:c>
      <x:c r="X46" t="n">
        <x:v>0</x:v>
      </x:c>
      <x:c r="Y46" t="n">
        <x:v>5</x:v>
      </x:c>
      <x:c r="Z46" t="n">
        <x:v>2</x:v>
      </x:c>
      <x:c r="AA46" t="n">
        <x:v>0</x:v>
      </x:c>
      <x:c r="AB46" t="n">
        <x:v>0</x:v>
      </x:c>
      <x:c r="AC46" t="n">
        <x:v>0</x:v>
      </x:c>
      <x:c r="AD46" t="n">
        <x:v>3</x:v>
      </x:c>
      <x:c r="AE46" t="str">
        <x:v>Lower damage; ailment utility.</x:v>
      </x:c>
      <x:c r="AF46" t="str">
        <x:v>Every weapon grants both listed skills. No weapon-granted skill costs 4 EN. Restoration uses a 1-turn cooldown; Fortify/Ward use 2 turns; dual Bastion/Aegis uses 3 turns.</x:v>
      </x:c>
    </x:row>
    <x:row r="47">
      <x:c r="A47" t="str">
        <x:v>WPN-043</x:v>
      </x:c>
      <x:c r="B47" t="str">
        <x:v>Focus Orb</x:v>
      </x:c>
      <x:c r="C47" t="str">
        <x:v>Grey</x:v>
      </x:c>
      <x:c r="D47" t="str">
        <x:v>Focus Orb</x:v>
      </x:c>
      <x:c r="E47" t="str">
        <x:v>1H</x:v>
      </x:c>
      <x:c r="F47" t="str">
        <x:v>Mage, Siren, Bard, Inquisitor</x:v>
      </x:c>
      <x:c r="G47" t="str">
        <x:v>Magical</x:v>
      </x:c>
      <x:c r="H47" t="str">
        <x:v>Focus</x:v>
      </x:c>
      <x:c r="I47" t="n">
        <x:v>1</x:v>
      </x:c>
      <x:c r="J47" t="n">
        <x:v>3</x:v>
      </x:c>
      <x:c r="K47" t="n">
        <x:v>2</x:v>
      </x:c>
      <x:c r="L47" t="str">
        <x:v>Orb Pulse</x:v>
      </x:c>
      <x:c r="M47" t="n">
        <x:v>80</x:v>
      </x:c>
      <x:c r="N47" t="n">
        <x:v>0</x:v>
      </x:c>
      <x:c r="O47" t="str">
        <x:v>Deal 80% Magic weapon damage. If Magic Armour is broken and Health is damaged, roll a 60% chance to apply 1 stack of the Orb’s ailment.</x:v>
      </x:c>
      <x:c r="P47" t="n">
        <x:v>3</x:v>
      </x:c>
      <x:c r="Q47" t="str">
        <x:v>Orb Ward</x:v>
      </x:c>
      <x:c r="R47" t="n">
        <x:v>0</x:v>
      </x:c>
      <x:c r="S47" t="n">
        <x:v>2</x:v>
      </x:c>
      <x:c r="T47" t="str">
        <x:v>Gain 8 Ward Magic Armour (add 8 to current Magic Armour and temporary Maximum Magic Armour) for 2 turns and reduce application chance of the Orb’s matching ailment by 10 percentage points while active.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1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str">
        <x:v>Combination catalyst and ailment carrier.</x:v>
      </x:c>
      <x:c r="AF47" t="str">
        <x:v>Every weapon grants both listed skills. No weapon-granted skill costs 4 EN. Restoration uses a 1-turn cooldown; Fortify/Ward use 2 turns; dual Bastion/Aegis uses 3 turns.</x:v>
      </x:c>
    </x:row>
    <x:row r="48">
      <x:c r="A48" t="str">
        <x:v>WPN-044</x:v>
      </x:c>
      <x:c r="B48" t="str">
        <x:v>Sturdy Focus Orb</x:v>
      </x:c>
      <x:c r="C48" t="str">
        <x:v>Green</x:v>
      </x:c>
      <x:c r="D48" t="str">
        <x:v>Focus Orb</x:v>
      </x:c>
      <x:c r="E48" t="str">
        <x:v>1H</x:v>
      </x:c>
      <x:c r="F48" t="str">
        <x:v>Mage, Siren, Bard, Inquisitor</x:v>
      </x:c>
      <x:c r="G48" t="str">
        <x:v>Magical</x:v>
      </x:c>
      <x:c r="H48" t="str">
        <x:v>Focus</x:v>
      </x:c>
      <x:c r="I48" t="n">
        <x:v>1</x:v>
      </x:c>
      <x:c r="J48" t="n">
        <x:v>4</x:v>
      </x:c>
      <x:c r="K48" t="n">
        <x:v>2</x:v>
      </x:c>
      <x:c r="L48" t="str">
        <x:v>Orb Pulse</x:v>
      </x:c>
      <x:c r="M48" t="n">
        <x:v>80</x:v>
      </x:c>
      <x:c r="N48" t="n">
        <x:v>0</x:v>
      </x:c>
      <x:c r="O48" t="str">
        <x:v>Deal 80% Magic weapon damage. If Magic Armour is broken and Health is damaged, roll a 60% chance to apply 1 stack of the Orb’s ailment.</x:v>
      </x:c>
      <x:c r="P48" t="n">
        <x:v>3</x:v>
      </x:c>
      <x:c r="Q48" t="str">
        <x:v>Orb Ward</x:v>
      </x:c>
      <x:c r="R48" t="n">
        <x:v>0</x:v>
      </x:c>
      <x:c r="S48" t="n">
        <x:v>2</x:v>
      </x:c>
      <x:c r="T48" t="str">
        <x:v>Gain 8 Ward Magic Armour (add 8 to current Magic Armour and temporary Maximum Magic Armour) for 2 turns and reduce application chance of the Orb’s matching ailment by 10 percentage points while active.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1</x:v>
      </x:c>
      <x:c r="Z48" t="n">
        <x:v>1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str">
        <x:v>Combination catalyst and ailment carrier.</x:v>
      </x:c>
      <x:c r="AF48" t="str">
        <x:v>Every weapon grants both listed skills. No weapon-granted skill costs 4 EN. Restoration uses a 1-turn cooldown; Fortify/Ward use 2 turns; dual Bastion/Aegis uses 3 turns.</x:v>
      </x:c>
    </x:row>
    <x:row r="49">
      <x:c r="A49" t="str">
        <x:v>WPN-045</x:v>
      </x:c>
      <x:c r="B49" t="str">
        <x:v>Tempered Focus Orb</x:v>
      </x:c>
      <x:c r="C49" t="str">
        <x:v>Blue</x:v>
      </x:c>
      <x:c r="D49" t="str">
        <x:v>Focus Orb</x:v>
      </x:c>
      <x:c r="E49" t="str">
        <x:v>1H</x:v>
      </x:c>
      <x:c r="F49" t="str">
        <x:v>Mage, Siren, Bard, Inquisitor</x:v>
      </x:c>
      <x:c r="G49" t="str">
        <x:v>Magical</x:v>
      </x:c>
      <x:c r="H49" t="str">
        <x:v>Focus</x:v>
      </x:c>
      <x:c r="I49" t="n">
        <x:v>2</x:v>
      </x:c>
      <x:c r="J49" t="n">
        <x:v>5</x:v>
      </x:c>
      <x:c r="K49" t="n">
        <x:v>2</x:v>
      </x:c>
      <x:c r="L49" t="str">
        <x:v>Orb Pulse</x:v>
      </x:c>
      <x:c r="M49" t="n">
        <x:v>80</x:v>
      </x:c>
      <x:c r="N49" t="n">
        <x:v>0</x:v>
      </x:c>
      <x:c r="O49" t="str">
        <x:v>Deal 80% Magic weapon damage. If Magic Armour is broken and Health is damaged, roll a 60% chance to apply 1 stack of the Orb’s ailment.</x:v>
      </x:c>
      <x:c r="P49" t="n">
        <x:v>3</x:v>
      </x:c>
      <x:c r="Q49" t="str">
        <x:v>Orb Ward</x:v>
      </x:c>
      <x:c r="R49" t="n">
        <x:v>0</x:v>
      </x:c>
      <x:c r="S49" t="n">
        <x:v>2</x:v>
      </x:c>
      <x:c r="T49" t="str">
        <x:v>Gain 8 Ward Magic Armour (add 8 to current Magic Armour and temporary Maximum Magic Armour) for 2 turns and reduce application chance of the Orb’s matching ailment by 10 percentage points while active.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2</x:v>
      </x:c>
      <x:c r="Z49" t="n">
        <x:v>1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str">
        <x:v>Combination catalyst and ailment carrier.</x:v>
      </x:c>
      <x:c r="AF49" t="str">
        <x:v>Every weapon grants both listed skills. No weapon-granted skill costs 4 EN. Restoration uses a 1-turn cooldown; Fortify/Ward use 2 turns; dual Bastion/Aegis uses 3 turns.</x:v>
      </x:c>
    </x:row>
    <x:row r="50">
      <x:c r="A50" t="str">
        <x:v>WPN-046</x:v>
      </x:c>
      <x:c r="B50" t="str">
        <x:v>Masterwork Focus Orb</x:v>
      </x:c>
      <x:c r="C50" t="str">
        <x:v>Purple</x:v>
      </x:c>
      <x:c r="D50" t="str">
        <x:v>Focus Orb</x:v>
      </x:c>
      <x:c r="E50" t="str">
        <x:v>1H</x:v>
      </x:c>
      <x:c r="F50" t="str">
        <x:v>Mage, Siren, Bard, Inquisitor</x:v>
      </x:c>
      <x:c r="G50" t="str">
        <x:v>Magical</x:v>
      </x:c>
      <x:c r="H50" t="str">
        <x:v>Focus</x:v>
      </x:c>
      <x:c r="I50" t="n">
        <x:v>2</x:v>
      </x:c>
      <x:c r="J50" t="n">
        <x:v>6</x:v>
      </x:c>
      <x:c r="K50" t="n">
        <x:v>2</x:v>
      </x:c>
      <x:c r="L50" t="str">
        <x:v>Orb Pulse</x:v>
      </x:c>
      <x:c r="M50" t="n">
        <x:v>80</x:v>
      </x:c>
      <x:c r="N50" t="n">
        <x:v>0</x:v>
      </x:c>
      <x:c r="O50" t="str">
        <x:v>Deal 80% Magic weapon damage. If Magic Armour is broken and Health is damaged, roll a 60% chance to apply 1 stack of the Orb’s ailment.</x:v>
      </x:c>
      <x:c r="P50" t="n">
        <x:v>3</x:v>
      </x:c>
      <x:c r="Q50" t="str">
        <x:v>Orb Ward</x:v>
      </x:c>
      <x:c r="R50" t="n">
        <x:v>0</x:v>
      </x:c>
      <x:c r="S50" t="n">
        <x:v>2</x:v>
      </x:c>
      <x:c r="T50" t="str">
        <x:v>Gain 8 Ward Magic Armour (add 8 to current Magic Armour and temporary Maximum Magic Armour) for 2 turns and reduce application chance of the Orb’s matching ailment by 10 percentage points while active.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3</x:v>
      </x:c>
      <x:c r="Z50" t="n">
        <x:v>1</x:v>
      </x:c>
      <x:c r="AA50" t="n">
        <x:v>1</x:v>
      </x:c>
      <x:c r="AB50" t="n">
        <x:v>0</x:v>
      </x:c>
      <x:c r="AC50" t="n">
        <x:v>0</x:v>
      </x:c>
      <x:c r="AD50" t="n">
        <x:v>1</x:v>
      </x:c>
      <x:c r="AE50" t="str">
        <x:v>Combination catalyst and ailment carrier.</x:v>
      </x:c>
      <x:c r="AF50" t="str">
        <x:v>Every weapon grants both listed skills. No weapon-granted skill costs 4 EN. Restoration uses a 1-turn cooldown; Fortify/Ward use 2 turns; dual Bastion/Aegis uses 3 turns.</x:v>
      </x:c>
    </x:row>
    <x:row r="51">
      <x:c r="A51" t="str">
        <x:v>WPN-047</x:v>
      </x:c>
      <x:c r="B51" t="str">
        <x:v>Regal Focus Orb</x:v>
      </x:c>
      <x:c r="C51" t="str">
        <x:v>Gold</x:v>
      </x:c>
      <x:c r="D51" t="str">
        <x:v>Focus Orb</x:v>
      </x:c>
      <x:c r="E51" t="str">
        <x:v>1H</x:v>
      </x:c>
      <x:c r="F51" t="str">
        <x:v>Mage, Siren, Bard, Inquisitor</x:v>
      </x:c>
      <x:c r="G51" t="str">
        <x:v>Magical</x:v>
      </x:c>
      <x:c r="H51" t="str">
        <x:v>Focus</x:v>
      </x:c>
      <x:c r="I51" t="n">
        <x:v>2</x:v>
      </x:c>
      <x:c r="J51" t="n">
        <x:v>7</x:v>
      </x:c>
      <x:c r="K51" t="n">
        <x:v>2</x:v>
      </x:c>
      <x:c r="L51" t="str">
        <x:v>Orb Pulse</x:v>
      </x:c>
      <x:c r="M51" t="n">
        <x:v>80</x:v>
      </x:c>
      <x:c r="N51" t="n">
        <x:v>0</x:v>
      </x:c>
      <x:c r="O51" t="str">
        <x:v>Deal 80% Magic weapon damage. If Magic Armour is broken and Health is damaged, roll a 60% chance to apply 1 stack of the Orb’s ailment.</x:v>
      </x:c>
      <x:c r="P51" t="n">
        <x:v>3</x:v>
      </x:c>
      <x:c r="Q51" t="str">
        <x:v>Orb Ward</x:v>
      </x:c>
      <x:c r="R51" t="n">
        <x:v>0</x:v>
      </x:c>
      <x:c r="S51" t="n">
        <x:v>2</x:v>
      </x:c>
      <x:c r="T51" t="str">
        <x:v>Gain 8 Ward Magic Armour (add 8 to current Magic Armour and temporary Maximum Magic Armour) for 2 turns and reduce application chance of the Orb’s matching ailment by 10 percentage points while active.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4</x:v>
      </x:c>
      <x:c r="Z51" t="n">
        <x:v>2</x:v>
      </x:c>
      <x:c r="AA51" t="n">
        <x:v>1</x:v>
      </x:c>
      <x:c r="AB51" t="n">
        <x:v>0</x:v>
      </x:c>
      <x:c r="AC51" t="n">
        <x:v>0</x:v>
      </x:c>
      <x:c r="AD51" t="n">
        <x:v>2</x:v>
      </x:c>
      <x:c r="AE51" t="str">
        <x:v>Combination catalyst and ailment carrier.</x:v>
      </x:c>
      <x:c r="AF51" t="str">
        <x:v>Every weapon grants both listed skills. No weapon-granted skill costs 4 EN. Restoration uses a 1-turn cooldown; Fortify/Ward use 2 turns; dual Bastion/Aegis uses 3 turns.</x:v>
      </x:c>
    </x:row>
    <x:row r="52">
      <x:c r="A52" t="str">
        <x:v>WPN-048</x:v>
      </x:c>
      <x:c r="B52" t="str">
        <x:v>Mythic Focus Orb</x:v>
      </x:c>
      <x:c r="C52" t="str">
        <x:v>Orange</x:v>
      </x:c>
      <x:c r="D52" t="str">
        <x:v>Focus Orb</x:v>
      </x:c>
      <x:c r="E52" t="str">
        <x:v>1H</x:v>
      </x:c>
      <x:c r="F52" t="str">
        <x:v>Mage, Siren, Bard, Inquisitor</x:v>
      </x:c>
      <x:c r="G52" t="str">
        <x:v>Magical</x:v>
      </x:c>
      <x:c r="H52" t="str">
        <x:v>Focus</x:v>
      </x:c>
      <x:c r="I52" t="n">
        <x:v>3</x:v>
      </x:c>
      <x:c r="J52" t="n">
        <x:v>8</x:v>
      </x:c>
      <x:c r="K52" t="n">
        <x:v>2</x:v>
      </x:c>
      <x:c r="L52" t="str">
        <x:v>Orb Pulse</x:v>
      </x:c>
      <x:c r="M52" t="n">
        <x:v>80</x:v>
      </x:c>
      <x:c r="N52" t="n">
        <x:v>0</x:v>
      </x:c>
      <x:c r="O52" t="str">
        <x:v>Deal 80% Magic weapon damage. If Magic Armour is broken and Health is damaged, roll a 60% chance to apply 1 stack of the Orb’s ailment.</x:v>
      </x:c>
      <x:c r="P52" t="n">
        <x:v>3</x:v>
      </x:c>
      <x:c r="Q52" t="str">
        <x:v>Orb Ward</x:v>
      </x:c>
      <x:c r="R52" t="n">
        <x:v>0</x:v>
      </x:c>
      <x:c r="S52" t="n">
        <x:v>2</x:v>
      </x:c>
      <x:c r="T52" t="str">
        <x:v>Gain 8 Ward Magic Armour (add 8 to current Magic Armour and temporary Maximum Magic Armour) for 2 turns and reduce application chance of the Orb’s matching ailment by 10 percentage points while active.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5</x:v>
      </x:c>
      <x:c r="Z52" t="n">
        <x:v>2</x:v>
      </x:c>
      <x:c r="AA52" t="n">
        <x:v>2</x:v>
      </x:c>
      <x:c r="AB52" t="n">
        <x:v>0</x:v>
      </x:c>
      <x:c r="AC52" t="n">
        <x:v>0</x:v>
      </x:c>
      <x:c r="AD52" t="n">
        <x:v>3</x:v>
      </x:c>
      <x:c r="AE52" t="str">
        <x:v>Combination catalyst and ailment carrier.</x:v>
      </x:c>
      <x:c r="AF52" t="str">
        <x:v>Every weapon grants both listed skills. No weapon-granted skill costs 4 EN. Restoration uses a 1-turn cooldown; Fortify/Ward use 2 turns; dual Bastion/Aegis uses 3 turns.</x:v>
      </x:c>
    </x:row>
    <x:row r="53">
      <x:c r="A53" t="str">
        <x:v>WPN-049</x:v>
      </x:c>
      <x:c r="B53" t="str">
        <x:v>Bell Sceptre</x:v>
      </x:c>
      <x:c r="C53" t="str">
        <x:v>Grey</x:v>
      </x:c>
      <x:c r="D53" t="str">
        <x:v>Bell Sceptre</x:v>
      </x:c>
      <x:c r="E53" t="str">
        <x:v>1H</x:v>
      </x:c>
      <x:c r="F53" t="str">
        <x:v>Mage, Bard, Inquisitor</x:v>
      </x:c>
      <x:c r="G53" t="str">
        <x:v>Magical</x:v>
      </x:c>
      <x:c r="H53" t="str">
        <x:v>Focus</x:v>
      </x:c>
      <x:c r="I53" t="n">
        <x:v>3</x:v>
      </x:c>
      <x:c r="J53" t="n">
        <x:v>4</x:v>
      </x:c>
      <x:c r="K53" t="n">
        <x:v>2</x:v>
      </x:c>
      <x:c r="L53" t="str">
        <x:v>Resonant Toll</x:v>
      </x:c>
      <x:c r="M53" t="n">
        <x:v>110</x:v>
      </x:c>
      <x:c r="N53" t="n">
        <x:v>0</x:v>
      </x:c>
      <x:c r="O53" t="str">
        <x:v>Deal 110% Magic weapon damage.</x:v>
      </x:c>
      <x:c r="P53" t="n">
        <x:v>3</x:v>
      </x:c>
      <x:c r="Q53" t="str">
        <x:v>Harmonic Renewal</x:v>
      </x:c>
      <x:c r="R53" t="n">
        <x:v>0</x:v>
      </x:c>
      <x:c r="S53" t="n">
        <x:v>1</x:v>
      </x:c>
      <x:c r="T53" t="str">
        <x:v>Restore 5 Armour and 5 Magic Armour, each capped at its normal maximum.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1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str">
        <x:v>Stable magical damage and resonance utility.</x:v>
      </x:c>
      <x:c r="AF53" t="str">
        <x:v>Every weapon grants both listed skills. No weapon-granted skill costs 4 EN. Restoration uses a 1-turn cooldown; Fortify/Ward use 2 turns; dual Bastion/Aegis uses 3 turns.</x:v>
      </x:c>
    </x:row>
    <x:row r="54">
      <x:c r="A54" t="str">
        <x:v>WPN-050</x:v>
      </x:c>
      <x:c r="B54" t="str">
        <x:v>Sturdy Bell Sceptre</x:v>
      </x:c>
      <x:c r="C54" t="str">
        <x:v>Green</x:v>
      </x:c>
      <x:c r="D54" t="str">
        <x:v>Bell Sceptre</x:v>
      </x:c>
      <x:c r="E54" t="str">
        <x:v>1H</x:v>
      </x:c>
      <x:c r="F54" t="str">
        <x:v>Mage, Bard, Inquisitor</x:v>
      </x:c>
      <x:c r="G54" t="str">
        <x:v>Magical</x:v>
      </x:c>
      <x:c r="H54" t="str">
        <x:v>Focus</x:v>
      </x:c>
      <x:c r="I54" t="n">
        <x:v>4</x:v>
      </x:c>
      <x:c r="J54" t="n">
        <x:v>5</x:v>
      </x:c>
      <x:c r="K54" t="n">
        <x:v>2</x:v>
      </x:c>
      <x:c r="L54" t="str">
        <x:v>Resonant Toll</x:v>
      </x:c>
      <x:c r="M54" t="n">
        <x:v>110</x:v>
      </x:c>
      <x:c r="N54" t="n">
        <x:v>0</x:v>
      </x:c>
      <x:c r="O54" t="str">
        <x:v>Deal 110% Magic weapon damage.</x:v>
      </x:c>
      <x:c r="P54" t="n">
        <x:v>3</x:v>
      </x:c>
      <x:c r="Q54" t="str">
        <x:v>Harmonic Renewal</x:v>
      </x:c>
      <x:c r="R54" t="n">
        <x:v>0</x:v>
      </x:c>
      <x:c r="S54" t="n">
        <x:v>1</x:v>
      </x:c>
      <x:c r="T54" t="str">
        <x:v>Restore 5 Armour and 5 Magic Armour, each capped at its normal maximum.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1</x:v>
      </x:c>
      <x:c r="Z54" t="n">
        <x:v>1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str">
        <x:v>Stable magical damage and resonance utility.</x:v>
      </x:c>
      <x:c r="AF54" t="str">
        <x:v>Every weapon grants both listed skills. No weapon-granted skill costs 4 EN. Restoration uses a 1-turn cooldown; Fortify/Ward use 2 turns; dual Bastion/Aegis uses 3 turns.</x:v>
      </x:c>
    </x:row>
    <x:row r="55">
      <x:c r="A55" t="str">
        <x:v>WPN-051</x:v>
      </x:c>
      <x:c r="B55" t="str">
        <x:v>Tempered Bell Sceptre</x:v>
      </x:c>
      <x:c r="C55" t="str">
        <x:v>Blue</x:v>
      </x:c>
      <x:c r="D55" t="str">
        <x:v>Bell Sceptre</x:v>
      </x:c>
      <x:c r="E55" t="str">
        <x:v>1H</x:v>
      </x:c>
      <x:c r="F55" t="str">
        <x:v>Mage, Bard, Inquisitor</x:v>
      </x:c>
      <x:c r="G55" t="str">
        <x:v>Magical</x:v>
      </x:c>
      <x:c r="H55" t="str">
        <x:v>Focus</x:v>
      </x:c>
      <x:c r="I55" t="n">
        <x:v>5</x:v>
      </x:c>
      <x:c r="J55" t="n">
        <x:v>6</x:v>
      </x:c>
      <x:c r="K55" t="n">
        <x:v>2</x:v>
      </x:c>
      <x:c r="L55" t="str">
        <x:v>Resonant Toll</x:v>
      </x:c>
      <x:c r="M55" t="n">
        <x:v>110</x:v>
      </x:c>
      <x:c r="N55" t="n">
        <x:v>0</x:v>
      </x:c>
      <x:c r="O55" t="str">
        <x:v>Deal 110% Magic weapon damage.</x:v>
      </x:c>
      <x:c r="P55" t="n">
        <x:v>3</x:v>
      </x:c>
      <x:c r="Q55" t="str">
        <x:v>Harmonic Renewal</x:v>
      </x:c>
      <x:c r="R55" t="n">
        <x:v>0</x:v>
      </x:c>
      <x:c r="S55" t="n">
        <x:v>1</x:v>
      </x:c>
      <x:c r="T55" t="str">
        <x:v>Restore 5 Armour and 5 Magic Armour, each capped at its normal maximum.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2</x:v>
      </x:c>
      <x:c r="Z55" t="n">
        <x:v>1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str">
        <x:v>Stable magical damage and resonance utility.</x:v>
      </x:c>
      <x:c r="AF55" t="str">
        <x:v>Every weapon grants both listed skills. No weapon-granted skill costs 4 EN. Restoration uses a 1-turn cooldown; Fortify/Ward use 2 turns; dual Bastion/Aegis uses 3 turns.</x:v>
      </x:c>
    </x:row>
    <x:row r="56">
      <x:c r="A56" t="str">
        <x:v>WPN-052</x:v>
      </x:c>
      <x:c r="B56" t="str">
        <x:v>Masterwork Bell Sceptre</x:v>
      </x:c>
      <x:c r="C56" t="str">
        <x:v>Purple</x:v>
      </x:c>
      <x:c r="D56" t="str">
        <x:v>Bell Sceptre</x:v>
      </x:c>
      <x:c r="E56" t="str">
        <x:v>1H</x:v>
      </x:c>
      <x:c r="F56" t="str">
        <x:v>Mage, Bard, Inquisitor</x:v>
      </x:c>
      <x:c r="G56" t="str">
        <x:v>Magical</x:v>
      </x:c>
      <x:c r="H56" t="str">
        <x:v>Focus</x:v>
      </x:c>
      <x:c r="I56" t="n">
        <x:v>6</x:v>
      </x:c>
      <x:c r="J56" t="n">
        <x:v>8</x:v>
      </x:c>
      <x:c r="K56" t="n">
        <x:v>2</x:v>
      </x:c>
      <x:c r="L56" t="str">
        <x:v>Resonant Toll</x:v>
      </x:c>
      <x:c r="M56" t="n">
        <x:v>110</x:v>
      </x:c>
      <x:c r="N56" t="n">
        <x:v>0</x:v>
      </x:c>
      <x:c r="O56" t="str">
        <x:v>Deal 110% Magic weapon damage.</x:v>
      </x:c>
      <x:c r="P56" t="n">
        <x:v>3</x:v>
      </x:c>
      <x:c r="Q56" t="str">
        <x:v>Harmonic Renewal</x:v>
      </x:c>
      <x:c r="R56" t="n">
        <x:v>0</x:v>
      </x:c>
      <x:c r="S56" t="n">
        <x:v>1</x:v>
      </x:c>
      <x:c r="T56" t="str">
        <x:v>Restore 5 Armour and 5 Magic Armour, each capped at its normal maximum.</x:v>
      </x:c>
      <x:c r="U56" t="n">
        <x:v>1</x:v>
      </x:c>
      <x:c r="V56" t="n">
        <x:v>0</x:v>
      </x:c>
      <x:c r="W56" t="n">
        <x:v>0</x:v>
      </x:c>
      <x:c r="X56" t="n">
        <x:v>0</x:v>
      </x:c>
      <x:c r="Y56" t="n">
        <x:v>3</x:v>
      </x:c>
      <x:c r="Z56" t="n">
        <x:v>1</x:v>
      </x:c>
      <x:c r="AA56" t="n">
        <x:v>0</x:v>
      </x:c>
      <x:c r="AB56" t="n">
        <x:v>0</x:v>
      </x:c>
      <x:c r="AC56" t="n">
        <x:v>0</x:v>
      </x:c>
      <x:c r="AD56" t="n">
        <x:v>1</x:v>
      </x:c>
      <x:c r="AE56" t="str">
        <x:v>Stable magical damage and resonance utility.</x:v>
      </x:c>
      <x:c r="AF56" t="str">
        <x:v>Every weapon grants both listed skills. No weapon-granted skill costs 4 EN. Restoration uses a 1-turn cooldown; Fortify/Ward use 2 turns; dual Bastion/Aegis uses 3 turns.</x:v>
      </x:c>
    </x:row>
    <x:row r="57">
      <x:c r="A57" t="str">
        <x:v>WPN-053</x:v>
      </x:c>
      <x:c r="B57" t="str">
        <x:v>Regal Bell Sceptre</x:v>
      </x:c>
      <x:c r="C57" t="str">
        <x:v>Gold</x:v>
      </x:c>
      <x:c r="D57" t="str">
        <x:v>Bell Sceptre</x:v>
      </x:c>
      <x:c r="E57" t="str">
        <x:v>1H</x:v>
      </x:c>
      <x:c r="F57" t="str">
        <x:v>Mage, Bard, Inquisitor</x:v>
      </x:c>
      <x:c r="G57" t="str">
        <x:v>Magical</x:v>
      </x:c>
      <x:c r="H57" t="str">
        <x:v>Focus</x:v>
      </x:c>
      <x:c r="I57" t="n">
        <x:v>7</x:v>
      </x:c>
      <x:c r="J57" t="n">
        <x:v>9</x:v>
      </x:c>
      <x:c r="K57" t="n">
        <x:v>2</x:v>
      </x:c>
      <x:c r="L57" t="str">
        <x:v>Resonant Toll</x:v>
      </x:c>
      <x:c r="M57" t="n">
        <x:v>110</x:v>
      </x:c>
      <x:c r="N57" t="n">
        <x:v>0</x:v>
      </x:c>
      <x:c r="O57" t="str">
        <x:v>Deal 110% Magic weapon damage.</x:v>
      </x:c>
      <x:c r="P57" t="n">
        <x:v>3</x:v>
      </x:c>
      <x:c r="Q57" t="str">
        <x:v>Harmonic Renewal</x:v>
      </x:c>
      <x:c r="R57" t="n">
        <x:v>0</x:v>
      </x:c>
      <x:c r="S57" t="n">
        <x:v>1</x:v>
      </x:c>
      <x:c r="T57" t="str">
        <x:v>Restore 5 Armour and 5 Magic Armour, each capped at its normal maximum.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4</x:v>
      </x:c>
      <x:c r="Z57" t="n">
        <x:v>2</x:v>
      </x:c>
      <x:c r="AA57" t="n">
        <x:v>0</x:v>
      </x:c>
      <x:c r="AB57" t="n">
        <x:v>0</x:v>
      </x:c>
      <x:c r="AC57" t="n">
        <x:v>0</x:v>
      </x:c>
      <x:c r="AD57" t="n">
        <x:v>2</x:v>
      </x:c>
      <x:c r="AE57" t="str">
        <x:v>Stable magical damage and resonance utility.</x:v>
      </x:c>
      <x:c r="AF57" t="str">
        <x:v>Every weapon grants both listed skills. No weapon-granted skill costs 4 EN. Restoration uses a 1-turn cooldown; Fortify/Ward use 2 turns; dual Bastion/Aegis uses 3 turns.</x:v>
      </x:c>
    </x:row>
    <x:row r="58">
      <x:c r="A58" t="str">
        <x:v>WPN-054</x:v>
      </x:c>
      <x:c r="B58" t="str">
        <x:v>Mythic Bell Sceptre</x:v>
      </x:c>
      <x:c r="C58" t="str">
        <x:v>Orange</x:v>
      </x:c>
      <x:c r="D58" t="str">
        <x:v>Bell Sceptre</x:v>
      </x:c>
      <x:c r="E58" t="str">
        <x:v>1H</x:v>
      </x:c>
      <x:c r="F58" t="str">
        <x:v>Mage, Bard, Inquisitor</x:v>
      </x:c>
      <x:c r="G58" t="str">
        <x:v>Magical</x:v>
      </x:c>
      <x:c r="H58" t="str">
        <x:v>Focus</x:v>
      </x:c>
      <x:c r="I58" t="n">
        <x:v>8</x:v>
      </x:c>
      <x:c r="J58" t="n">
        <x:v>11</x:v>
      </x:c>
      <x:c r="K58" t="n">
        <x:v>2</x:v>
      </x:c>
      <x:c r="L58" t="str">
        <x:v>Resonant Toll</x:v>
      </x:c>
      <x:c r="M58" t="n">
        <x:v>110</x:v>
      </x:c>
      <x:c r="N58" t="n">
        <x:v>0</x:v>
      </x:c>
      <x:c r="O58" t="str">
        <x:v>Deal 110% Magic weapon damage.</x:v>
      </x:c>
      <x:c r="P58" t="n">
        <x:v>3</x:v>
      </x:c>
      <x:c r="Q58" t="str">
        <x:v>Harmonic Renewal</x:v>
      </x:c>
      <x:c r="R58" t="n">
        <x:v>0</x:v>
      </x:c>
      <x:c r="S58" t="n">
        <x:v>1</x:v>
      </x:c>
      <x:c r="T58" t="str">
        <x:v>Restore 5 Armour and 5 Magic Armour, each capped at its normal maximum.</x:v>
      </x:c>
      <x:c r="U58" t="n">
        <x:v>2</x:v>
      </x:c>
      <x:c r="V58" t="n">
        <x:v>0</x:v>
      </x:c>
      <x:c r="W58" t="n">
        <x:v>0</x:v>
      </x:c>
      <x:c r="X58" t="n">
        <x:v>0</x:v>
      </x:c>
      <x:c r="Y58" t="n">
        <x:v>5</x:v>
      </x:c>
      <x:c r="Z58" t="n">
        <x:v>2</x:v>
      </x:c>
      <x:c r="AA58" t="n">
        <x:v>0</x:v>
      </x:c>
      <x:c r="AB58" t="n">
        <x:v>0</x:v>
      </x:c>
      <x:c r="AC58" t="n">
        <x:v>0</x:v>
      </x:c>
      <x:c r="AD58" t="n">
        <x:v>3</x:v>
      </x:c>
      <x:c r="AE58" t="str">
        <x:v>Stable magical damage and resonance utility.</x:v>
      </x:c>
      <x:c r="AF58" t="str">
        <x:v>Every weapon grants both listed skills. No weapon-granted skill costs 4 EN. Restoration uses a 1-turn cooldown; Fortify/Ward use 2 turns; dual Bastion/Aegis uses 3 turns.</x:v>
      </x:c>
    </x:row>
    <x:row r="59">
      <x:c r="A59" t="str">
        <x:v>WPN-055</x:v>
      </x:c>
      <x:c r="B59" t="str">
        <x:v>Bow</x:v>
      </x:c>
      <x:c r="C59" t="str">
        <x:v>Grey</x:v>
      </x:c>
      <x:c r="D59" t="str">
        <x:v>Bow</x:v>
      </x:c>
      <x:c r="E59" t="str">
        <x:v>2H</x:v>
      </x:c>
      <x:c r="F59" t="str">
        <x:v>Rogue and Bard</x:v>
      </x:c>
      <x:c r="G59" t="str">
        <x:v>Physical Finesse</x:v>
      </x:c>
      <x:c r="H59" t="str">
        <x:v>Dexterity</x:v>
      </x:c>
      <x:c r="I59" t="n">
        <x:v>4</x:v>
      </x:c>
      <x:c r="J59" t="n">
        <x:v>6</x:v>
      </x:c>
      <x:c r="K59" t="n">
        <x:v>2</x:v>
      </x:c>
      <x:c r="L59" t="str">
        <x:v>Pinion Shot</x:v>
      </x:c>
      <x:c r="M59" t="n">
        <x:v>115</x:v>
      </x:c>
      <x:c r="N59" t="n">
        <x:v>0</x:v>
      </x:c>
      <x:c r="O59" t="str">
        <x:v>Deal 115% Finesse weapon damage.</x:v>
      </x:c>
      <x:c r="P59" t="n">
        <x:v>3</x:v>
      </x:c>
      <x:c r="Q59" t="str">
        <x:v>Crippling Shot</x:v>
      </x:c>
      <x:c r="R59" t="n">
        <x:v>95</x:v>
      </x:c>
      <x:c r="S59" t="n">
        <x:v>1</x:v>
      </x:c>
      <x:c r="T59" t="str">
        <x:v>Deal 95% Finesse weapon damage. If Armour is broken and Health is damaged, apply 2 Crippled stacks.</x:v>
      </x:c>
      <x:c r="U59" t="n">
        <x:v>0</x:v>
      </x:c>
      <x:c r="V59" t="n">
        <x:v>0</x:v>
      </x:c>
      <x:c r="W59" t="n">
        <x:v>1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str">
        <x:v>Standard ranged finesse weapon.</x:v>
      </x:c>
      <x:c r="AF59" t="str">
        <x:v>Every weapon grants both listed skills. No weapon-granted skill costs 4 EN. Restoration uses a 1-turn cooldown; Fortify/Ward use 2 turns; dual Bastion/Aegis uses 3 turns.</x:v>
      </x:c>
    </x:row>
    <x:row r="60">
      <x:c r="A60" t="str">
        <x:v>WPN-056</x:v>
      </x:c>
      <x:c r="B60" t="str">
        <x:v>Sturdy Bow</x:v>
      </x:c>
      <x:c r="C60" t="str">
        <x:v>Green</x:v>
      </x:c>
      <x:c r="D60" t="str">
        <x:v>Bow</x:v>
      </x:c>
      <x:c r="E60" t="str">
        <x:v>2H</x:v>
      </x:c>
      <x:c r="F60" t="str">
        <x:v>Rogue and Bard</x:v>
      </x:c>
      <x:c r="G60" t="str">
        <x:v>Physical Finesse</x:v>
      </x:c>
      <x:c r="H60" t="str">
        <x:v>Dexterity</x:v>
      </x:c>
      <x:c r="I60" t="n">
        <x:v>5</x:v>
      </x:c>
      <x:c r="J60" t="n">
        <x:v>8</x:v>
      </x:c>
      <x:c r="K60" t="n">
        <x:v>2</x:v>
      </x:c>
      <x:c r="L60" t="str">
        <x:v>Pinion Shot</x:v>
      </x:c>
      <x:c r="M60" t="n">
        <x:v>115</x:v>
      </x:c>
      <x:c r="N60" t="n">
        <x:v>0</x:v>
      </x:c>
      <x:c r="O60" t="str">
        <x:v>Deal 115% Finesse weapon damage.</x:v>
      </x:c>
      <x:c r="P60" t="n">
        <x:v>3</x:v>
      </x:c>
      <x:c r="Q60" t="str">
        <x:v>Crippling Shot</x:v>
      </x:c>
      <x:c r="R60" t="n">
        <x:v>95</x:v>
      </x:c>
      <x:c r="S60" t="n">
        <x:v>1</x:v>
      </x:c>
      <x:c r="T60" t="str">
        <x:v>Deal 95% Finesse weapon damage. If Armour is broken and Health is damaged, apply 2 Crippled stacks.</x:v>
      </x:c>
      <x:c r="U60" t="n">
        <x:v>0</x:v>
      </x:c>
      <x:c r="V60" t="n">
        <x:v>0</x:v>
      </x:c>
      <x:c r="W60" t="n">
        <x:v>1</x:v>
      </x:c>
      <x:c r="X60" t="n">
        <x:v>0</x:v>
      </x:c>
      <x:c r="Y60" t="n">
        <x:v>0</x:v>
      </x:c>
      <x:c r="Z60" t="n">
        <x:v>0</x:v>
      </x:c>
      <x:c r="AA60" t="n">
        <x:v>1</x:v>
      </x:c>
      <x:c r="AB60" t="n">
        <x:v>0</x:v>
      </x:c>
      <x:c r="AC60" t="n">
        <x:v>0</x:v>
      </x:c>
      <x:c r="AD60" t="n">
        <x:v>0</x:v>
      </x:c>
      <x:c r="AE60" t="str">
        <x:v>Standard ranged finesse weapon.</x:v>
      </x:c>
      <x:c r="AF60" t="str">
        <x:v>Every weapon grants both listed skills. No weapon-granted skill costs 4 EN. Restoration uses a 1-turn cooldown; Fortify/Ward use 2 turns; dual Bastion/Aegis uses 3 turns.</x:v>
      </x:c>
    </x:row>
    <x:row r="61">
      <x:c r="A61" t="str">
        <x:v>WPN-057</x:v>
      </x:c>
      <x:c r="B61" t="str">
        <x:v>Tempered Bow</x:v>
      </x:c>
      <x:c r="C61" t="str">
        <x:v>Blue</x:v>
      </x:c>
      <x:c r="D61" t="str">
        <x:v>Bow</x:v>
      </x:c>
      <x:c r="E61" t="str">
        <x:v>2H</x:v>
      </x:c>
      <x:c r="F61" t="str">
        <x:v>Rogue and Bard</x:v>
      </x:c>
      <x:c r="G61" t="str">
        <x:v>Physical Finesse</x:v>
      </x:c>
      <x:c r="H61" t="str">
        <x:v>Dexterity</x:v>
      </x:c>
      <x:c r="I61" t="n">
        <x:v>6</x:v>
      </x:c>
      <x:c r="J61" t="n">
        <x:v>9</x:v>
      </x:c>
      <x:c r="K61" t="n">
        <x:v>2</x:v>
      </x:c>
      <x:c r="L61" t="str">
        <x:v>Pinion Shot</x:v>
      </x:c>
      <x:c r="M61" t="n">
        <x:v>115</x:v>
      </x:c>
      <x:c r="N61" t="n">
        <x:v>0</x:v>
      </x:c>
      <x:c r="O61" t="str">
        <x:v>Deal 115% Finesse weapon damage.</x:v>
      </x:c>
      <x:c r="P61" t="n">
        <x:v>3</x:v>
      </x:c>
      <x:c r="Q61" t="str">
        <x:v>Crippling Shot</x:v>
      </x:c>
      <x:c r="R61" t="n">
        <x:v>95</x:v>
      </x:c>
      <x:c r="S61" t="n">
        <x:v>1</x:v>
      </x:c>
      <x:c r="T61" t="str">
        <x:v>Deal 95% Finesse weapon damage. If Armour is broken and Health is damaged, apply 2 Crippled stacks.</x:v>
      </x:c>
      <x:c r="U61" t="n">
        <x:v>0</x:v>
      </x:c>
      <x:c r="V61" t="n">
        <x:v>0</x:v>
      </x:c>
      <x:c r="W61" t="n">
        <x:v>2</x:v>
      </x:c>
      <x:c r="X61" t="n">
        <x:v>0</x:v>
      </x:c>
      <x:c r="Y61" t="n">
        <x:v>0</x:v>
      </x:c>
      <x:c r="Z61" t="n">
        <x:v>0</x:v>
      </x:c>
      <x:c r="AA61" t="n">
        <x:v>1</x:v>
      </x:c>
      <x:c r="AB61" t="n">
        <x:v>1</x:v>
      </x:c>
      <x:c r="AC61" t="n">
        <x:v>0</x:v>
      </x:c>
      <x:c r="AD61" t="n">
        <x:v>0</x:v>
      </x:c>
      <x:c r="AE61" t="str">
        <x:v>Standard ranged finesse weapon.</x:v>
      </x:c>
      <x:c r="AF61" t="str">
        <x:v>Every weapon grants both listed skills. No weapon-granted skill costs 4 EN. Restoration uses a 1-turn cooldown; Fortify/Ward use 2 turns; dual Bastion/Aegis uses 3 turns.</x:v>
      </x:c>
    </x:row>
    <x:row r="62">
      <x:c r="A62" t="str">
        <x:v>WPN-058</x:v>
      </x:c>
      <x:c r="B62" t="str">
        <x:v>Masterwork Bow</x:v>
      </x:c>
      <x:c r="C62" t="str">
        <x:v>Purple</x:v>
      </x:c>
      <x:c r="D62" t="str">
        <x:v>Bow</x:v>
      </x:c>
      <x:c r="E62" t="str">
        <x:v>2H</x:v>
      </x:c>
      <x:c r="F62" t="str">
        <x:v>Rogue and Bard</x:v>
      </x:c>
      <x:c r="G62" t="str">
        <x:v>Physical Finesse</x:v>
      </x:c>
      <x:c r="H62" t="str">
        <x:v>Dexterity</x:v>
      </x:c>
      <x:c r="I62" t="n">
        <x:v>8</x:v>
      </x:c>
      <x:c r="J62" t="n">
        <x:v>11</x:v>
      </x:c>
      <x:c r="K62" t="n">
        <x:v>2</x:v>
      </x:c>
      <x:c r="L62" t="str">
        <x:v>Pinion Shot</x:v>
      </x:c>
      <x:c r="M62" t="n">
        <x:v>115</x:v>
      </x:c>
      <x:c r="N62" t="n">
        <x:v>0</x:v>
      </x:c>
      <x:c r="O62" t="str">
        <x:v>Deal 115% Finesse weapon damage.</x:v>
      </x:c>
      <x:c r="P62" t="n">
        <x:v>3</x:v>
      </x:c>
      <x:c r="Q62" t="str">
        <x:v>Crippling Shot</x:v>
      </x:c>
      <x:c r="R62" t="n">
        <x:v>95</x:v>
      </x:c>
      <x:c r="S62" t="n">
        <x:v>1</x:v>
      </x:c>
      <x:c r="T62" t="str">
        <x:v>Deal 95% Finesse weapon damage. If Armour is broken and Health is damaged, apply 2 Crippled stacks.</x:v>
      </x:c>
      <x:c r="U62" t="n">
        <x:v>1</x:v>
      </x:c>
      <x:c r="V62" t="n">
        <x:v>0</x:v>
      </x:c>
      <x:c r="W62" t="n">
        <x:v>3</x:v>
      </x:c>
      <x:c r="X62" t="n">
        <x:v>0</x:v>
      </x:c>
      <x:c r="Y62" t="n">
        <x:v>0</x:v>
      </x:c>
      <x:c r="Z62" t="n">
        <x:v>0</x:v>
      </x:c>
      <x:c r="AA62" t="n">
        <x:v>1</x:v>
      </x:c>
      <x:c r="AB62" t="n">
        <x:v>2</x:v>
      </x:c>
      <x:c r="AC62" t="n">
        <x:v>0</x:v>
      </x:c>
      <x:c r="AD62" t="n">
        <x:v>0</x:v>
      </x:c>
      <x:c r="AE62" t="str">
        <x:v>Standard ranged finesse weapon.</x:v>
      </x:c>
      <x:c r="AF62" t="str">
        <x:v>Every weapon grants both listed skills. No weapon-granted skill costs 4 EN. Restoration uses a 1-turn cooldown; Fortify/Ward use 2 turns; dual Bastion/Aegis uses 3 turns.</x:v>
      </x:c>
    </x:row>
    <x:row r="63">
      <x:c r="A63" t="str">
        <x:v>WPN-059</x:v>
      </x:c>
      <x:c r="B63" t="str">
        <x:v>Regal Bow</x:v>
      </x:c>
      <x:c r="C63" t="str">
        <x:v>Gold</x:v>
      </x:c>
      <x:c r="D63" t="str">
        <x:v>Bow</x:v>
      </x:c>
      <x:c r="E63" t="str">
        <x:v>2H</x:v>
      </x:c>
      <x:c r="F63" t="str">
        <x:v>Rogue and Bard</x:v>
      </x:c>
      <x:c r="G63" t="str">
        <x:v>Physical Finesse</x:v>
      </x:c>
      <x:c r="H63" t="str">
        <x:v>Dexterity</x:v>
      </x:c>
      <x:c r="I63" t="n">
        <x:v>9</x:v>
      </x:c>
      <x:c r="J63" t="n">
        <x:v>14</x:v>
      </x:c>
      <x:c r="K63" t="n">
        <x:v>2</x:v>
      </x:c>
      <x:c r="L63" t="str">
        <x:v>Pinion Shot</x:v>
      </x:c>
      <x:c r="M63" t="n">
        <x:v>115</x:v>
      </x:c>
      <x:c r="N63" t="n">
        <x:v>0</x:v>
      </x:c>
      <x:c r="O63" t="str">
        <x:v>Deal 115% Finesse weapon damage.</x:v>
      </x:c>
      <x:c r="P63" t="n">
        <x:v>3</x:v>
      </x:c>
      <x:c r="Q63" t="str">
        <x:v>Crippling Shot</x:v>
      </x:c>
      <x:c r="R63" t="n">
        <x:v>95</x:v>
      </x:c>
      <x:c r="S63" t="n">
        <x:v>1</x:v>
      </x:c>
      <x:c r="T63" t="str">
        <x:v>Deal 95% Finesse weapon damage. If Armour is broken and Health is damaged, apply 2 Crippled stacks.</x:v>
      </x:c>
      <x:c r="U63" t="n">
        <x:v>1</x:v>
      </x:c>
      <x:c r="V63" t="n">
        <x:v>0</x:v>
      </x:c>
      <x:c r="W63" t="n">
        <x:v>4</x:v>
      </x:c>
      <x:c r="X63" t="n">
        <x:v>0</x:v>
      </x:c>
      <x:c r="Y63" t="n">
        <x:v>0</x:v>
      </x:c>
      <x:c r="Z63" t="n">
        <x:v>0</x:v>
      </x:c>
      <x:c r="AA63" t="n">
        <x:v>2</x:v>
      </x:c>
      <x:c r="AB63" t="n">
        <x:v>3</x:v>
      </x:c>
      <x:c r="AC63" t="n">
        <x:v>0</x:v>
      </x:c>
      <x:c r="AD63" t="n">
        <x:v>0</x:v>
      </x:c>
      <x:c r="AE63" t="str">
        <x:v>Standard ranged finesse weapon.</x:v>
      </x:c>
      <x:c r="AF63" t="str">
        <x:v>Every weapon grants both listed skills. No weapon-granted skill costs 4 EN. Restoration uses a 1-turn cooldown; Fortify/Ward use 2 turns; dual Bastion/Aegis uses 3 turns.</x:v>
      </x:c>
    </x:row>
    <x:row r="64">
      <x:c r="A64" t="str">
        <x:v>WPN-060</x:v>
      </x:c>
      <x:c r="B64" t="str">
        <x:v>Mythic Bow</x:v>
      </x:c>
      <x:c r="C64" t="str">
        <x:v>Orange</x:v>
      </x:c>
      <x:c r="D64" t="str">
        <x:v>Bow</x:v>
      </x:c>
      <x:c r="E64" t="str">
        <x:v>2H</x:v>
      </x:c>
      <x:c r="F64" t="str">
        <x:v>Rogue and Bard</x:v>
      </x:c>
      <x:c r="G64" t="str">
        <x:v>Physical Finesse</x:v>
      </x:c>
      <x:c r="H64" t="str">
        <x:v>Dexterity</x:v>
      </x:c>
      <x:c r="I64" t="n">
        <x:v>11</x:v>
      </x:c>
      <x:c r="J64" t="n">
        <x:v>17</x:v>
      </x:c>
      <x:c r="K64" t="n">
        <x:v>2</x:v>
      </x:c>
      <x:c r="L64" t="str">
        <x:v>Pinion Shot</x:v>
      </x:c>
      <x:c r="M64" t="n">
        <x:v>115</x:v>
      </x:c>
      <x:c r="N64" t="n">
        <x:v>0</x:v>
      </x:c>
      <x:c r="O64" t="str">
        <x:v>Deal 115% Finesse weapon damage.</x:v>
      </x:c>
      <x:c r="P64" t="n">
        <x:v>3</x:v>
      </x:c>
      <x:c r="Q64" t="str">
        <x:v>Crippling Shot</x:v>
      </x:c>
      <x:c r="R64" t="n">
        <x:v>95</x:v>
      </x:c>
      <x:c r="S64" t="n">
        <x:v>1</x:v>
      </x:c>
      <x:c r="T64" t="str">
        <x:v>Deal 95% Finesse weapon damage. If Armour is broken and Health is damaged, apply 2 Crippled stacks.</x:v>
      </x:c>
      <x:c r="U64" t="n">
        <x:v>2</x:v>
      </x:c>
      <x:c r="V64" t="n">
        <x:v>0</x:v>
      </x:c>
      <x:c r="W64" t="n">
        <x:v>5</x:v>
      </x:c>
      <x:c r="X64" t="n">
        <x:v>0</x:v>
      </x:c>
      <x:c r="Y64" t="n">
        <x:v>0</x:v>
      </x:c>
      <x:c r="Z64" t="n">
        <x:v>0</x:v>
      </x:c>
      <x:c r="AA64" t="n">
        <x:v>2</x:v>
      </x:c>
      <x:c r="AB64" t="n">
        <x:v>4</x:v>
      </x:c>
      <x:c r="AC64" t="n">
        <x:v>0</x:v>
      </x:c>
      <x:c r="AD64" t="n">
        <x:v>0</x:v>
      </x:c>
      <x:c r="AE64" t="str">
        <x:v>Standard ranged finesse weapon.</x:v>
      </x:c>
      <x:c r="AF64" t="str">
        <x:v>Every weapon grants both listed skills. No weapon-granted skill costs 4 EN. Restoration uses a 1-turn cooldown; Fortify/Ward use 2 turns; dual Bastion/Aegis uses 3 turns.</x:v>
      </x:c>
    </x:row>
    <x:row r="65">
      <x:c r="A65" t="str">
        <x:v>WPN-061</x:v>
      </x:c>
      <x:c r="B65" t="str">
        <x:v>Lance</x:v>
      </x:c>
      <x:c r="C65" t="str">
        <x:v>Grey</x:v>
      </x:c>
      <x:c r="D65" t="str">
        <x:v>Lance</x:v>
      </x:c>
      <x:c r="E65" t="str">
        <x:v>2H</x:v>
      </x:c>
      <x:c r="F65" t="str">
        <x:v>Knight and Brute</x:v>
      </x:c>
      <x:c r="G65" t="str">
        <x:v>Physical Strength</x:v>
      </x:c>
      <x:c r="H65" t="str">
        <x:v>Might</x:v>
      </x:c>
      <x:c r="I65" t="n">
        <x:v>5</x:v>
      </x:c>
      <x:c r="J65" t="n">
        <x:v>7</x:v>
      </x:c>
      <x:c r="K65" t="n">
        <x:v>2</x:v>
      </x:c>
      <x:c r="L65" t="str">
        <x:v>Skyward Thrust</x:v>
      </x:c>
      <x:c r="M65" t="n">
        <x:v>120</x:v>
      </x:c>
      <x:c r="N65" t="n">
        <x:v>0</x:v>
      </x:c>
      <x:c r="O65" t="str">
        <x:v>Deal 120% Strength weapon damage.</x:v>
      </x:c>
      <x:c r="P65" t="n">
        <x:v>3</x:v>
      </x:c>
      <x:c r="Q65" t="str">
        <x:v>Piercing Charge</x:v>
      </x:c>
      <x:c r="R65" t="n">
        <x:v>135</x:v>
      </x:c>
      <x:c r="S65" t="n">
        <x:v>1</x:v>
      </x:c>
      <x:c r="T65" t="str">
        <x:v>Deal 135% Strength weapon damage and ignore 4 Guard for this attack.</x:v>
      </x:c>
      <x:c r="U65" t="n">
        <x:v>0</x:v>
      </x:c>
      <x:c r="V65" t="n">
        <x:v>1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str">
        <x:v>Physical penetration identity.</x:v>
      </x:c>
      <x:c r="AF65" t="str">
        <x:v>Every weapon grants both listed skills. No weapon-granted skill costs 4 EN. Restoration uses a 1-turn cooldown; Fortify/Ward use 2 turns; dual Bastion/Aegis uses 3 turns.</x:v>
      </x:c>
    </x:row>
    <x:row r="66">
      <x:c r="A66" t="str">
        <x:v>WPN-062</x:v>
      </x:c>
      <x:c r="B66" t="str">
        <x:v>Sturdy Lance</x:v>
      </x:c>
      <x:c r="C66" t="str">
        <x:v>Green</x:v>
      </x:c>
      <x:c r="D66" t="str">
        <x:v>Lance</x:v>
      </x:c>
      <x:c r="E66" t="str">
        <x:v>2H</x:v>
      </x:c>
      <x:c r="F66" t="str">
        <x:v>Knight and Brute</x:v>
      </x:c>
      <x:c r="G66" t="str">
        <x:v>Physical Strength</x:v>
      </x:c>
      <x:c r="H66" t="str">
        <x:v>Might</x:v>
      </x:c>
      <x:c r="I66" t="n">
        <x:v>6</x:v>
      </x:c>
      <x:c r="J66" t="n">
        <x:v>9</x:v>
      </x:c>
      <x:c r="K66" t="n">
        <x:v>2</x:v>
      </x:c>
      <x:c r="L66" t="str">
        <x:v>Skyward Thrust</x:v>
      </x:c>
      <x:c r="M66" t="n">
        <x:v>120</x:v>
      </x:c>
      <x:c r="N66" t="n">
        <x:v>0</x:v>
      </x:c>
      <x:c r="O66" t="str">
        <x:v>Deal 120% Strength weapon damage.</x:v>
      </x:c>
      <x:c r="P66" t="n">
        <x:v>3</x:v>
      </x:c>
      <x:c r="Q66" t="str">
        <x:v>Piercing Charge</x:v>
      </x:c>
      <x:c r="R66" t="n">
        <x:v>135</x:v>
      </x:c>
      <x:c r="S66" t="n">
        <x:v>1</x:v>
      </x:c>
      <x:c r="T66" t="str">
        <x:v>Deal 135% Strength weapon damage and ignore 4 Guard for this attack.</x:v>
      </x:c>
      <x:c r="U66" t="n">
        <x:v>0</x:v>
      </x:c>
      <x:c r="V66" t="n">
        <x:v>1</x:v>
      </x:c>
      <x:c r="W66" t="n">
        <x:v>0</x:v>
      </x:c>
      <x:c r="X66" t="n">
        <x:v>1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str">
        <x:v>Physical penetration identity.</x:v>
      </x:c>
      <x:c r="AF66" t="str">
        <x:v>Every weapon grants both listed skills. No weapon-granted skill costs 4 EN. Restoration uses a 1-turn cooldown; Fortify/Ward use 2 turns; dual Bastion/Aegis uses 3 turns.</x:v>
      </x:c>
    </x:row>
    <x:row r="67">
      <x:c r="A67" t="str">
        <x:v>WPN-063</x:v>
      </x:c>
      <x:c r="B67" t="str">
        <x:v>Tempered Lance</x:v>
      </x:c>
      <x:c r="C67" t="str">
        <x:v>Blue</x:v>
      </x:c>
      <x:c r="D67" t="str">
        <x:v>Lance</x:v>
      </x:c>
      <x:c r="E67" t="str">
        <x:v>2H</x:v>
      </x:c>
      <x:c r="F67" t="str">
        <x:v>Knight and Brute</x:v>
      </x:c>
      <x:c r="G67" t="str">
        <x:v>Physical Strength</x:v>
      </x:c>
      <x:c r="H67" t="str">
        <x:v>Might</x:v>
      </x:c>
      <x:c r="I67" t="n">
        <x:v>8</x:v>
      </x:c>
      <x:c r="J67" t="n">
        <x:v>11</x:v>
      </x:c>
      <x:c r="K67" t="n">
        <x:v>2</x:v>
      </x:c>
      <x:c r="L67" t="str">
        <x:v>Skyward Thrust</x:v>
      </x:c>
      <x:c r="M67" t="n">
        <x:v>120</x:v>
      </x:c>
      <x:c r="N67" t="n">
        <x:v>0</x:v>
      </x:c>
      <x:c r="O67" t="str">
        <x:v>Deal 120% Strength weapon damage.</x:v>
      </x:c>
      <x:c r="P67" t="n">
        <x:v>3</x:v>
      </x:c>
      <x:c r="Q67" t="str">
        <x:v>Piercing Charge</x:v>
      </x:c>
      <x:c r="R67" t="n">
        <x:v>135</x:v>
      </x:c>
      <x:c r="S67" t="n">
        <x:v>1</x:v>
      </x:c>
      <x:c r="T67" t="str">
        <x:v>Deal 135% Strength weapon damage and ignore 4 Guard for this attack.</x:v>
      </x:c>
      <x:c r="U67" t="n">
        <x:v>0</x:v>
      </x:c>
      <x:c r="V67" t="n">
        <x:v>2</x:v>
      </x:c>
      <x:c r="W67" t="n">
        <x:v>0</x:v>
      </x:c>
      <x:c r="X67" t="n">
        <x:v>1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str">
        <x:v>Physical penetration identity.</x:v>
      </x:c>
      <x:c r="AF67" t="str">
        <x:v>Every weapon grants both listed skills. No weapon-granted skill costs 4 EN. Restoration uses a 1-turn cooldown; Fortify/Ward use 2 turns; dual Bastion/Aegis uses 3 turns.</x:v>
      </x:c>
    </x:row>
    <x:row r="68">
      <x:c r="A68" t="str">
        <x:v>WPN-064</x:v>
      </x:c>
      <x:c r="B68" t="str">
        <x:v>Masterwork Lance</x:v>
      </x:c>
      <x:c r="C68" t="str">
        <x:v>Purple</x:v>
      </x:c>
      <x:c r="D68" t="str">
        <x:v>Lance</x:v>
      </x:c>
      <x:c r="E68" t="str">
        <x:v>2H</x:v>
      </x:c>
      <x:c r="F68" t="str">
        <x:v>Knight and Brute</x:v>
      </x:c>
      <x:c r="G68" t="str">
        <x:v>Physical Strength</x:v>
      </x:c>
      <x:c r="H68" t="str">
        <x:v>Might</x:v>
      </x:c>
      <x:c r="I68" t="n">
        <x:v>10</x:v>
      </x:c>
      <x:c r="J68" t="n">
        <x:v>13</x:v>
      </x:c>
      <x:c r="K68" t="n">
        <x:v>2</x:v>
      </x:c>
      <x:c r="L68" t="str">
        <x:v>Skyward Thrust</x:v>
      </x:c>
      <x:c r="M68" t="n">
        <x:v>120</x:v>
      </x:c>
      <x:c r="N68" t="n">
        <x:v>0</x:v>
      </x:c>
      <x:c r="O68" t="str">
        <x:v>Deal 120% Strength weapon damage.</x:v>
      </x:c>
      <x:c r="P68" t="n">
        <x:v>3</x:v>
      </x:c>
      <x:c r="Q68" t="str">
        <x:v>Piercing Charge</x:v>
      </x:c>
      <x:c r="R68" t="n">
        <x:v>135</x:v>
      </x:c>
      <x:c r="S68" t="n">
        <x:v>1</x:v>
      </x:c>
      <x:c r="T68" t="str">
        <x:v>Deal 135% Strength weapon damage and ignore 4 Guard for this attack.</x:v>
      </x:c>
      <x:c r="U68" t="n">
        <x:v>1</x:v>
      </x:c>
      <x:c r="V68" t="n">
        <x:v>3</x:v>
      </x:c>
      <x:c r="W68" t="n">
        <x:v>0</x:v>
      </x:c>
      <x:c r="X68" t="n">
        <x:v>1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1</x:v>
      </x:c>
      <x:c r="AD68" t="n">
        <x:v>0</x:v>
      </x:c>
      <x:c r="AE68" t="str">
        <x:v>Physical penetration identity.</x:v>
      </x:c>
      <x:c r="AF68" t="str">
        <x:v>Every weapon grants both listed skills. No weapon-granted skill costs 4 EN. Restoration uses a 1-turn cooldown; Fortify/Ward use 2 turns; dual Bastion/Aegis uses 3 turns.</x:v>
      </x:c>
    </x:row>
    <x:row r="69">
      <x:c r="A69" t="str">
        <x:v>WPN-065</x:v>
      </x:c>
      <x:c r="B69" t="str">
        <x:v>Regal Lance</x:v>
      </x:c>
      <x:c r="C69" t="str">
        <x:v>Gold</x:v>
      </x:c>
      <x:c r="D69" t="str">
        <x:v>Lance</x:v>
      </x:c>
      <x:c r="E69" t="str">
        <x:v>2H</x:v>
      </x:c>
      <x:c r="F69" t="str">
        <x:v>Knight and Brute</x:v>
      </x:c>
      <x:c r="G69" t="str">
        <x:v>Physical Strength</x:v>
      </x:c>
      <x:c r="H69" t="str">
        <x:v>Might</x:v>
      </x:c>
      <x:c r="I69" t="n">
        <x:v>12</x:v>
      </x:c>
      <x:c r="J69" t="n">
        <x:v>16</x:v>
      </x:c>
      <x:c r="K69" t="n">
        <x:v>2</x:v>
      </x:c>
      <x:c r="L69" t="str">
        <x:v>Skyward Thrust</x:v>
      </x:c>
      <x:c r="M69" t="n">
        <x:v>120</x:v>
      </x:c>
      <x:c r="N69" t="n">
        <x:v>0</x:v>
      </x:c>
      <x:c r="O69" t="str">
        <x:v>Deal 120% Strength weapon damage.</x:v>
      </x:c>
      <x:c r="P69" t="n">
        <x:v>3</x:v>
      </x:c>
      <x:c r="Q69" t="str">
        <x:v>Piercing Charge</x:v>
      </x:c>
      <x:c r="R69" t="n">
        <x:v>135</x:v>
      </x:c>
      <x:c r="S69" t="n">
        <x:v>1</x:v>
      </x:c>
      <x:c r="T69" t="str">
        <x:v>Deal 135% Strength weapon damage and ignore 4 Guard for this attack.</x:v>
      </x:c>
      <x:c r="U69" t="n">
        <x:v>1</x:v>
      </x:c>
      <x:c r="V69" t="n">
        <x:v>4</x:v>
      </x:c>
      <x:c r="W69" t="n">
        <x:v>0</x:v>
      </x:c>
      <x:c r="X69" t="n">
        <x:v>2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2</x:v>
      </x:c>
      <x:c r="AD69" t="n">
        <x:v>0</x:v>
      </x:c>
      <x:c r="AE69" t="str">
        <x:v>Physical penetration identity.</x:v>
      </x:c>
      <x:c r="AF69" t="str">
        <x:v>Every weapon grants both listed skills. No weapon-granted skill costs 4 EN. Restoration uses a 1-turn cooldown; Fortify/Ward use 2 turns; dual Bastion/Aegis uses 3 turns.</x:v>
      </x:c>
    </x:row>
    <x:row r="70">
      <x:c r="A70" t="str">
        <x:v>WPN-066</x:v>
      </x:c>
      <x:c r="B70" t="str">
        <x:v>Mythic Lance</x:v>
      </x:c>
      <x:c r="C70" t="str">
        <x:v>Orange</x:v>
      </x:c>
      <x:c r="D70" t="str">
        <x:v>Lance</x:v>
      </x:c>
      <x:c r="E70" t="str">
        <x:v>2H</x:v>
      </x:c>
      <x:c r="F70" t="str">
        <x:v>Knight and Brute</x:v>
      </x:c>
      <x:c r="G70" t="str">
        <x:v>Physical Strength</x:v>
      </x:c>
      <x:c r="H70" t="str">
        <x:v>Might</x:v>
      </x:c>
      <x:c r="I70" t="n">
        <x:v>14</x:v>
      </x:c>
      <x:c r="J70" t="n">
        <x:v>19</x:v>
      </x:c>
      <x:c r="K70" t="n">
        <x:v>2</x:v>
      </x:c>
      <x:c r="L70" t="str">
        <x:v>Skyward Thrust</x:v>
      </x:c>
      <x:c r="M70" t="n">
        <x:v>120</x:v>
      </x:c>
      <x:c r="N70" t="n">
        <x:v>0</x:v>
      </x:c>
      <x:c r="O70" t="str">
        <x:v>Deal 120% Strength weapon damage.</x:v>
      </x:c>
      <x:c r="P70" t="n">
        <x:v>3</x:v>
      </x:c>
      <x:c r="Q70" t="str">
        <x:v>Piercing Charge</x:v>
      </x:c>
      <x:c r="R70" t="n">
        <x:v>135</x:v>
      </x:c>
      <x:c r="S70" t="n">
        <x:v>1</x:v>
      </x:c>
      <x:c r="T70" t="str">
        <x:v>Deal 135% Strength weapon damage and ignore 4 Guard for this attack.</x:v>
      </x:c>
      <x:c r="U70" t="n">
        <x:v>2</x:v>
      </x:c>
      <x:c r="V70" t="n">
        <x:v>5</x:v>
      </x:c>
      <x:c r="W70" t="n">
        <x:v>0</x:v>
      </x:c>
      <x:c r="X70" t="n">
        <x:v>2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3</x:v>
      </x:c>
      <x:c r="AD70" t="n">
        <x:v>0</x:v>
      </x:c>
      <x:c r="AE70" t="str">
        <x:v>Physical penetration identity.</x:v>
      </x:c>
      <x:c r="AF70" t="str">
        <x:v>Every weapon grants both listed skills. No weapon-granted skill costs 4 EN. Restoration uses a 1-turn cooldown; Fortify/Ward use 2 turns; dual Bastion/Aegis uses 3 turns.</x:v>
      </x:c>
    </x:row>
    <x:row r="71">
      <x:c r="A71" t="str">
        <x:v>WPN-067</x:v>
      </x:c>
      <x:c r="B71" t="str">
        <x:v>Staff</x:v>
      </x:c>
      <x:c r="C71" t="str">
        <x:v>Grey</x:v>
      </x:c>
      <x:c r="D71" t="str">
        <x:v>Staff</x:v>
      </x:c>
      <x:c r="E71" t="str">
        <x:v>2H</x:v>
      </x:c>
      <x:c r="F71" t="str">
        <x:v>Mage, Siren, Bard</x:v>
      </x:c>
      <x:c r="G71" t="str">
        <x:v>Magical</x:v>
      </x:c>
      <x:c r="H71" t="str">
        <x:v>Focus</x:v>
      </x:c>
      <x:c r="I71" t="n">
        <x:v>4</x:v>
      </x:c>
      <x:c r="J71" t="n">
        <x:v>6</x:v>
      </x:c>
      <x:c r="K71" t="n">
        <x:v>2</x:v>
      </x:c>
      <x:c r="L71" t="str">
        <x:v>Runic Sweep</x:v>
      </x:c>
      <x:c r="M71" t="n">
        <x:v>110</x:v>
      </x:c>
      <x:c r="N71" t="n">
        <x:v>0</x:v>
      </x:c>
      <x:c r="O71" t="str">
        <x:v>Deal 110% Magic weapon damage.</x:v>
      </x:c>
      <x:c r="P71" t="n">
        <x:v>3</x:v>
      </x:c>
      <x:c r="Q71" t="str">
        <x:v>Grand Ward</x:v>
      </x:c>
      <x:c r="R71" t="n">
        <x:v>0</x:v>
      </x:c>
      <x:c r="S71" t="n">
        <x:v>2</x:v>
      </x:c>
      <x:c r="T71" t="str">
        <x:v>Gain 10 Ward Magic Armour (add 10 to current Magic Armour and temporary Maximum Magic Armour) for 2 turns.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1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str">
        <x:v>Strong two-handed magic.</x:v>
      </x:c>
      <x:c r="AF71" t="str">
        <x:v>Every weapon grants both listed skills. No weapon-granted skill costs 4 EN. Restoration uses a 1-turn cooldown; Fortify/Ward use 2 turns; dual Bastion/Aegis uses 3 turns.</x:v>
      </x:c>
    </x:row>
    <x:row r="72">
      <x:c r="A72" t="str">
        <x:v>WPN-068</x:v>
      </x:c>
      <x:c r="B72" t="str">
        <x:v>Sturdy Staff</x:v>
      </x:c>
      <x:c r="C72" t="str">
        <x:v>Green</x:v>
      </x:c>
      <x:c r="D72" t="str">
        <x:v>Staff</x:v>
      </x:c>
      <x:c r="E72" t="str">
        <x:v>2H</x:v>
      </x:c>
      <x:c r="F72" t="str">
        <x:v>Mage, Siren, Bard</x:v>
      </x:c>
      <x:c r="G72" t="str">
        <x:v>Magical</x:v>
      </x:c>
      <x:c r="H72" t="str">
        <x:v>Focus</x:v>
      </x:c>
      <x:c r="I72" t="n">
        <x:v>5</x:v>
      </x:c>
      <x:c r="J72" t="n">
        <x:v>8</x:v>
      </x:c>
      <x:c r="K72" t="n">
        <x:v>2</x:v>
      </x:c>
      <x:c r="L72" t="str">
        <x:v>Runic Sweep</x:v>
      </x:c>
      <x:c r="M72" t="n">
        <x:v>110</x:v>
      </x:c>
      <x:c r="N72" t="n">
        <x:v>0</x:v>
      </x:c>
      <x:c r="O72" t="str">
        <x:v>Deal 110% Magic weapon damage.</x:v>
      </x:c>
      <x:c r="P72" t="n">
        <x:v>3</x:v>
      </x:c>
      <x:c r="Q72" t="str">
        <x:v>Grand Ward</x:v>
      </x:c>
      <x:c r="R72" t="n">
        <x:v>0</x:v>
      </x:c>
      <x:c r="S72" t="n">
        <x:v>2</x:v>
      </x:c>
      <x:c r="T72" t="str">
        <x:v>Gain 10 Ward Magic Armour (add 10 to current Magic Armour and temporary Maximum Magic Armour) for 2 turns.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1</x:v>
      </x:c>
      <x:c r="Z72" t="n">
        <x:v>1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str">
        <x:v>Strong two-handed magic.</x:v>
      </x:c>
      <x:c r="AF72" t="str">
        <x:v>Every weapon grants both listed skills. No weapon-granted skill costs 4 EN. Restoration uses a 1-turn cooldown; Fortify/Ward use 2 turns; dual Bastion/Aegis uses 3 turns.</x:v>
      </x:c>
    </x:row>
    <x:row r="73">
      <x:c r="A73" t="str">
        <x:v>WPN-069</x:v>
      </x:c>
      <x:c r="B73" t="str">
        <x:v>Tempered Staff</x:v>
      </x:c>
      <x:c r="C73" t="str">
        <x:v>Blue</x:v>
      </x:c>
      <x:c r="D73" t="str">
        <x:v>Staff</x:v>
      </x:c>
      <x:c r="E73" t="str">
        <x:v>2H</x:v>
      </x:c>
      <x:c r="F73" t="str">
        <x:v>Mage, Siren, Bard</x:v>
      </x:c>
      <x:c r="G73" t="str">
        <x:v>Magical</x:v>
      </x:c>
      <x:c r="H73" t="str">
        <x:v>Focus</x:v>
      </x:c>
      <x:c r="I73" t="n">
        <x:v>6</x:v>
      </x:c>
      <x:c r="J73" t="n">
        <x:v>9</x:v>
      </x:c>
      <x:c r="K73" t="n">
        <x:v>2</x:v>
      </x:c>
      <x:c r="L73" t="str">
        <x:v>Runic Sweep</x:v>
      </x:c>
      <x:c r="M73" t="n">
        <x:v>110</x:v>
      </x:c>
      <x:c r="N73" t="n">
        <x:v>0</x:v>
      </x:c>
      <x:c r="O73" t="str">
        <x:v>Deal 110% Magic weapon damage.</x:v>
      </x:c>
      <x:c r="P73" t="n">
        <x:v>3</x:v>
      </x:c>
      <x:c r="Q73" t="str">
        <x:v>Grand Ward</x:v>
      </x:c>
      <x:c r="R73" t="n">
        <x:v>0</x:v>
      </x:c>
      <x:c r="S73" t="n">
        <x:v>2</x:v>
      </x:c>
      <x:c r="T73" t="str">
        <x:v>Gain 10 Ward Magic Armour (add 10 to current Magic Armour and temporary Maximum Magic Armour) for 2 turns.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2</x:v>
      </x:c>
      <x:c r="Z73" t="n">
        <x:v>1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str">
        <x:v>Strong two-handed magic.</x:v>
      </x:c>
      <x:c r="AF73" t="str">
        <x:v>Every weapon grants both listed skills. No weapon-granted skill costs 4 EN. Restoration uses a 1-turn cooldown; Fortify/Ward use 2 turns; dual Bastion/Aegis uses 3 turns.</x:v>
      </x:c>
    </x:row>
    <x:row r="74">
      <x:c r="A74" t="str">
        <x:v>WPN-070</x:v>
      </x:c>
      <x:c r="B74" t="str">
        <x:v>Masterwork Staff</x:v>
      </x:c>
      <x:c r="C74" t="str">
        <x:v>Purple</x:v>
      </x:c>
      <x:c r="D74" t="str">
        <x:v>Staff</x:v>
      </x:c>
      <x:c r="E74" t="str">
        <x:v>2H</x:v>
      </x:c>
      <x:c r="F74" t="str">
        <x:v>Mage, Siren, Bard</x:v>
      </x:c>
      <x:c r="G74" t="str">
        <x:v>Magical</x:v>
      </x:c>
      <x:c r="H74" t="str">
        <x:v>Focus</x:v>
      </x:c>
      <x:c r="I74" t="n">
        <x:v>8</x:v>
      </x:c>
      <x:c r="J74" t="n">
        <x:v>11</x:v>
      </x:c>
      <x:c r="K74" t="n">
        <x:v>2</x:v>
      </x:c>
      <x:c r="L74" t="str">
        <x:v>Runic Sweep</x:v>
      </x:c>
      <x:c r="M74" t="n">
        <x:v>110</x:v>
      </x:c>
      <x:c r="N74" t="n">
        <x:v>0</x:v>
      </x:c>
      <x:c r="O74" t="str">
        <x:v>Deal 110% Magic weapon damage.</x:v>
      </x:c>
      <x:c r="P74" t="n">
        <x:v>3</x:v>
      </x:c>
      <x:c r="Q74" t="str">
        <x:v>Grand Ward</x:v>
      </x:c>
      <x:c r="R74" t="n">
        <x:v>0</x:v>
      </x:c>
      <x:c r="S74" t="n">
        <x:v>2</x:v>
      </x:c>
      <x:c r="T74" t="str">
        <x:v>Gain 10 Ward Magic Armour (add 10 to current Magic Armour and temporary Maximum Magic Armour) for 2 turns.</x:v>
      </x:c>
      <x:c r="U74" t="n">
        <x:v>1</x:v>
      </x:c>
      <x:c r="V74" t="n">
        <x:v>0</x:v>
      </x:c>
      <x:c r="W74" t="n">
        <x:v>0</x:v>
      </x:c>
      <x:c r="X74" t="n">
        <x:v>0</x:v>
      </x:c>
      <x:c r="Y74" t="n">
        <x:v>3</x:v>
      </x:c>
      <x:c r="Z74" t="n">
        <x:v>1</x:v>
      </x:c>
      <x:c r="AA74" t="n">
        <x:v>0</x:v>
      </x:c>
      <x:c r="AB74" t="n">
        <x:v>0</x:v>
      </x:c>
      <x:c r="AC74" t="n">
        <x:v>0</x:v>
      </x:c>
      <x:c r="AD74" t="n">
        <x:v>1</x:v>
      </x:c>
      <x:c r="AE74" t="str">
        <x:v>Strong two-handed magic.</x:v>
      </x:c>
      <x:c r="AF74" t="str">
        <x:v>Every weapon grants both listed skills. No weapon-granted skill costs 4 EN. Restoration uses a 1-turn cooldown; Fortify/Ward use 2 turns; dual Bastion/Aegis uses 3 turns.</x:v>
      </x:c>
    </x:row>
    <x:row r="75">
      <x:c r="A75" t="str">
        <x:v>WPN-071</x:v>
      </x:c>
      <x:c r="B75" t="str">
        <x:v>Regal Staff</x:v>
      </x:c>
      <x:c r="C75" t="str">
        <x:v>Gold</x:v>
      </x:c>
      <x:c r="D75" t="str">
        <x:v>Staff</x:v>
      </x:c>
      <x:c r="E75" t="str">
        <x:v>2H</x:v>
      </x:c>
      <x:c r="F75" t="str">
        <x:v>Mage, Siren, Bard</x:v>
      </x:c>
      <x:c r="G75" t="str">
        <x:v>Magical</x:v>
      </x:c>
      <x:c r="H75" t="str">
        <x:v>Focus</x:v>
      </x:c>
      <x:c r="I75" t="n">
        <x:v>9</x:v>
      </x:c>
      <x:c r="J75" t="n">
        <x:v>14</x:v>
      </x:c>
      <x:c r="K75" t="n">
        <x:v>2</x:v>
      </x:c>
      <x:c r="L75" t="str">
        <x:v>Runic Sweep</x:v>
      </x:c>
      <x:c r="M75" t="n">
        <x:v>110</x:v>
      </x:c>
      <x:c r="N75" t="n">
        <x:v>0</x:v>
      </x:c>
      <x:c r="O75" t="str">
        <x:v>Deal 110% Magic weapon damage.</x:v>
      </x:c>
      <x:c r="P75" t="n">
        <x:v>3</x:v>
      </x:c>
      <x:c r="Q75" t="str">
        <x:v>Grand Ward</x:v>
      </x:c>
      <x:c r="R75" t="n">
        <x:v>0</x:v>
      </x:c>
      <x:c r="S75" t="n">
        <x:v>2</x:v>
      </x:c>
      <x:c r="T75" t="str">
        <x:v>Gain 10 Ward Magic Armour (add 10 to current Magic Armour and temporary Maximum Magic Armour) for 2 turns.</x:v>
      </x:c>
      <x:c r="U75" t="n">
        <x:v>1</x:v>
      </x:c>
      <x:c r="V75" t="n">
        <x:v>0</x:v>
      </x:c>
      <x:c r="W75" t="n">
        <x:v>0</x:v>
      </x:c>
      <x:c r="X75" t="n">
        <x:v>0</x:v>
      </x:c>
      <x:c r="Y75" t="n">
        <x:v>4</x:v>
      </x:c>
      <x:c r="Z75" t="n">
        <x:v>2</x:v>
      </x:c>
      <x:c r="AA75" t="n">
        <x:v>0</x:v>
      </x:c>
      <x:c r="AB75" t="n">
        <x:v>0</x:v>
      </x:c>
      <x:c r="AC75" t="n">
        <x:v>0</x:v>
      </x:c>
      <x:c r="AD75" t="n">
        <x:v>2</x:v>
      </x:c>
      <x:c r="AE75" t="str">
        <x:v>Strong two-handed magic.</x:v>
      </x:c>
      <x:c r="AF75" t="str">
        <x:v>Every weapon grants both listed skills. No weapon-granted skill costs 4 EN. Restoration uses a 1-turn cooldown; Fortify/Ward use 2 turns; dual Bastion/Aegis uses 3 turns.</x:v>
      </x:c>
    </x:row>
    <x:row r="76">
      <x:c r="A76" t="str">
        <x:v>WPN-072</x:v>
      </x:c>
      <x:c r="B76" t="str">
        <x:v>Mythic Staff</x:v>
      </x:c>
      <x:c r="C76" t="str">
        <x:v>Orange</x:v>
      </x:c>
      <x:c r="D76" t="str">
        <x:v>Staff</x:v>
      </x:c>
      <x:c r="E76" t="str">
        <x:v>2H</x:v>
      </x:c>
      <x:c r="F76" t="str">
        <x:v>Mage, Siren, Bard</x:v>
      </x:c>
      <x:c r="G76" t="str">
        <x:v>Magical</x:v>
      </x:c>
      <x:c r="H76" t="str">
        <x:v>Focus</x:v>
      </x:c>
      <x:c r="I76" t="n">
        <x:v>11</x:v>
      </x:c>
      <x:c r="J76" t="n">
        <x:v>17</x:v>
      </x:c>
      <x:c r="K76" t="n">
        <x:v>2</x:v>
      </x:c>
      <x:c r="L76" t="str">
        <x:v>Runic Sweep</x:v>
      </x:c>
      <x:c r="M76" t="n">
        <x:v>110</x:v>
      </x:c>
      <x:c r="N76" t="n">
        <x:v>0</x:v>
      </x:c>
      <x:c r="O76" t="str">
        <x:v>Deal 110% Magic weapon damage.</x:v>
      </x:c>
      <x:c r="P76" t="n">
        <x:v>3</x:v>
      </x:c>
      <x:c r="Q76" t="str">
        <x:v>Grand Ward</x:v>
      </x:c>
      <x:c r="R76" t="n">
        <x:v>0</x:v>
      </x:c>
      <x:c r="S76" t="n">
        <x:v>2</x:v>
      </x:c>
      <x:c r="T76" t="str">
        <x:v>Gain 10 Ward Magic Armour (add 10 to current Magic Armour and temporary Maximum Magic Armour) for 2 turns.</x:v>
      </x:c>
      <x:c r="U76" t="n">
        <x:v>2</x:v>
      </x:c>
      <x:c r="V76" t="n">
        <x:v>0</x:v>
      </x:c>
      <x:c r="W76" t="n">
        <x:v>0</x:v>
      </x:c>
      <x:c r="X76" t="n">
        <x:v>0</x:v>
      </x:c>
      <x:c r="Y76" t="n">
        <x:v>5</x:v>
      </x:c>
      <x:c r="Z76" t="n">
        <x:v>2</x:v>
      </x:c>
      <x:c r="AA76" t="n">
        <x:v>0</x:v>
      </x:c>
      <x:c r="AB76" t="n">
        <x:v>0</x:v>
      </x:c>
      <x:c r="AC76" t="n">
        <x:v>0</x:v>
      </x:c>
      <x:c r="AD76" t="n">
        <x:v>3</x:v>
      </x:c>
      <x:c r="AE76" t="str">
        <x:v>Strong two-handed magic.</x:v>
      </x:c>
      <x:c r="AF76" t="str">
        <x:v>Every weapon grants both listed skills. No weapon-granted skill costs 4 EN. Restoration uses a 1-turn cooldown; Fortify/Ward use 2 turns; dual Bastion/Aegis uses 3 turns.</x:v>
      </x:c>
    </x:row>
    <x:row r="77">
      <x:c r="A77" t="str">
        <x:v>WPN-073</x:v>
      </x:c>
      <x:c r="B77" t="str">
        <x:v>Greatblade</x:v>
      </x:c>
      <x:c r="C77" t="str">
        <x:v>Grey</x:v>
      </x:c>
      <x:c r="D77" t="str">
        <x:v>Greatblade</x:v>
      </x:c>
      <x:c r="E77" t="str">
        <x:v>2H</x:v>
      </x:c>
      <x:c r="F77" t="str">
        <x:v>Knight and Brute</x:v>
      </x:c>
      <x:c r="G77" t="str">
        <x:v>Physical Strength</x:v>
      </x:c>
      <x:c r="H77" t="str">
        <x:v>Might</x:v>
      </x:c>
      <x:c r="I77" t="n">
        <x:v>6</x:v>
      </x:c>
      <x:c r="J77" t="n">
        <x:v>8</x:v>
      </x:c>
      <x:c r="K77" t="n">
        <x:v>2</x:v>
      </x:c>
      <x:c r="L77" t="str">
        <x:v>Greatwing Slash</x:v>
      </x:c>
      <x:c r="M77" t="n">
        <x:v>120</x:v>
      </x:c>
      <x:c r="N77" t="n">
        <x:v>0</x:v>
      </x:c>
      <x:c r="O77" t="str">
        <x:v>Deal 120% Strength weapon damage.</x:v>
      </x:c>
      <x:c r="P77" t="n">
        <x:v>3</x:v>
      </x:c>
      <x:c r="Q77" t="str">
        <x:v>Sundering Wing</x:v>
      </x:c>
      <x:c r="R77" t="n">
        <x:v>125</x:v>
      </x:c>
      <x:c r="S77" t="n">
        <x:v>1</x:v>
      </x:c>
      <x:c r="T77" t="str">
        <x:v>Deal 125% Strength weapon damage. If Armour is broken and Health is damaged, apply 2 Fracture stacks.</x:v>
      </x:c>
      <x:c r="U77" t="n">
        <x:v>0</x:v>
      </x:c>
      <x:c r="V77" t="n">
        <x:v>1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str">
        <x:v>Highest direct Strength profile.</x:v>
      </x:c>
      <x:c r="AF77" t="str">
        <x:v>Every weapon grants both listed skills. No weapon-granted skill costs 4 EN. Restoration uses a 1-turn cooldown; Fortify/Ward use 2 turns; dual Bastion/Aegis uses 3 turns.</x:v>
      </x:c>
    </x:row>
    <x:row r="78">
      <x:c r="A78" t="str">
        <x:v>WPN-074</x:v>
      </x:c>
      <x:c r="B78" t="str">
        <x:v>Sturdy Greatblade</x:v>
      </x:c>
      <x:c r="C78" t="str">
        <x:v>Green</x:v>
      </x:c>
      <x:c r="D78" t="str">
        <x:v>Greatblade</x:v>
      </x:c>
      <x:c r="E78" t="str">
        <x:v>2H</x:v>
      </x:c>
      <x:c r="F78" t="str">
        <x:v>Knight and Brute</x:v>
      </x:c>
      <x:c r="G78" t="str">
        <x:v>Physical Strength</x:v>
      </x:c>
      <x:c r="H78" t="str">
        <x:v>Might</x:v>
      </x:c>
      <x:c r="I78" t="n">
        <x:v>8</x:v>
      </x:c>
      <x:c r="J78" t="n">
        <x:v>10</x:v>
      </x:c>
      <x:c r="K78" t="n">
        <x:v>2</x:v>
      </x:c>
      <x:c r="L78" t="str">
        <x:v>Greatwing Slash</x:v>
      </x:c>
      <x:c r="M78" t="n">
        <x:v>120</x:v>
      </x:c>
      <x:c r="N78" t="n">
        <x:v>0</x:v>
      </x:c>
      <x:c r="O78" t="str">
        <x:v>Deal 120% Strength weapon damage.</x:v>
      </x:c>
      <x:c r="P78" t="n">
        <x:v>3</x:v>
      </x:c>
      <x:c r="Q78" t="str">
        <x:v>Sundering Wing</x:v>
      </x:c>
      <x:c r="R78" t="n">
        <x:v>125</x:v>
      </x:c>
      <x:c r="S78" t="n">
        <x:v>1</x:v>
      </x:c>
      <x:c r="T78" t="str">
        <x:v>Deal 125% Strength weapon damage. If Armour is broken and Health is damaged, apply 2 Fracture stacks.</x:v>
      </x:c>
      <x:c r="U78" t="n">
        <x:v>0</x:v>
      </x:c>
      <x:c r="V78" t="n">
        <x:v>1</x:v>
      </x:c>
      <x:c r="W78" t="n">
        <x:v>0</x:v>
      </x:c>
      <x:c r="X78" t="n">
        <x:v>1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str">
        <x:v>Highest direct Strength profile.</x:v>
      </x:c>
      <x:c r="AF78" t="str">
        <x:v>Every weapon grants both listed skills. No weapon-granted skill costs 4 EN. Restoration uses a 1-turn cooldown; Fortify/Ward use 2 turns; dual Bastion/Aegis uses 3 turns.</x:v>
      </x:c>
    </x:row>
    <x:row r="79">
      <x:c r="A79" t="str">
        <x:v>WPN-075</x:v>
      </x:c>
      <x:c r="B79" t="str">
        <x:v>Tempered Greatblade</x:v>
      </x:c>
      <x:c r="C79" t="str">
        <x:v>Blue</x:v>
      </x:c>
      <x:c r="D79" t="str">
        <x:v>Greatblade</x:v>
      </x:c>
      <x:c r="E79" t="str">
        <x:v>2H</x:v>
      </x:c>
      <x:c r="F79" t="str">
        <x:v>Knight and Brute</x:v>
      </x:c>
      <x:c r="G79" t="str">
        <x:v>Physical Strength</x:v>
      </x:c>
      <x:c r="H79" t="str">
        <x:v>Might</x:v>
      </x:c>
      <x:c r="I79" t="n">
        <x:v>9</x:v>
      </x:c>
      <x:c r="J79" t="n">
        <x:v>12</x:v>
      </x:c>
      <x:c r="K79" t="n">
        <x:v>2</x:v>
      </x:c>
      <x:c r="L79" t="str">
        <x:v>Greatwing Slash</x:v>
      </x:c>
      <x:c r="M79" t="n">
        <x:v>120</x:v>
      </x:c>
      <x:c r="N79" t="n">
        <x:v>0</x:v>
      </x:c>
      <x:c r="O79" t="str">
        <x:v>Deal 120% Strength weapon damage.</x:v>
      </x:c>
      <x:c r="P79" t="n">
        <x:v>3</x:v>
      </x:c>
      <x:c r="Q79" t="str">
        <x:v>Sundering Wing</x:v>
      </x:c>
      <x:c r="R79" t="n">
        <x:v>125</x:v>
      </x:c>
      <x:c r="S79" t="n">
        <x:v>1</x:v>
      </x:c>
      <x:c r="T79" t="str">
        <x:v>Deal 125% Strength weapon damage. If Armour is broken and Health is damaged, apply 2 Fracture stacks.</x:v>
      </x:c>
      <x:c r="U79" t="n">
        <x:v>0</x:v>
      </x:c>
      <x:c r="V79" t="n">
        <x:v>2</x:v>
      </x:c>
      <x:c r="W79" t="n">
        <x:v>0</x:v>
      </x:c>
      <x:c r="X79" t="n">
        <x:v>1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str">
        <x:v>Highest direct Strength profile.</x:v>
      </x:c>
      <x:c r="AF79" t="str">
        <x:v>Every weapon grants both listed skills. No weapon-granted skill costs 4 EN. Restoration uses a 1-turn cooldown; Fortify/Ward use 2 turns; dual Bastion/Aegis uses 3 turns.</x:v>
      </x:c>
    </x:row>
    <x:row r="80">
      <x:c r="A80" t="str">
        <x:v>WPN-076</x:v>
      </x:c>
      <x:c r="B80" t="str">
        <x:v>Masterwork Greatblade</x:v>
      </x:c>
      <x:c r="C80" t="str">
        <x:v>Purple</x:v>
      </x:c>
      <x:c r="D80" t="str">
        <x:v>Greatblade</x:v>
      </x:c>
      <x:c r="E80" t="str">
        <x:v>2H</x:v>
      </x:c>
      <x:c r="F80" t="str">
        <x:v>Knight and Brute</x:v>
      </x:c>
      <x:c r="G80" t="str">
        <x:v>Physical Strength</x:v>
      </x:c>
      <x:c r="H80" t="str">
        <x:v>Might</x:v>
      </x:c>
      <x:c r="I80" t="n">
        <x:v>11</x:v>
      </x:c>
      <x:c r="J80" t="n">
        <x:v>15</x:v>
      </x:c>
      <x:c r="K80" t="n">
        <x:v>2</x:v>
      </x:c>
      <x:c r="L80" t="str">
        <x:v>Greatwing Slash</x:v>
      </x:c>
      <x:c r="M80" t="n">
        <x:v>120</x:v>
      </x:c>
      <x:c r="N80" t="n">
        <x:v>0</x:v>
      </x:c>
      <x:c r="O80" t="str">
        <x:v>Deal 120% Strength weapon damage.</x:v>
      </x:c>
      <x:c r="P80" t="n">
        <x:v>3</x:v>
      </x:c>
      <x:c r="Q80" t="str">
        <x:v>Sundering Wing</x:v>
      </x:c>
      <x:c r="R80" t="n">
        <x:v>125</x:v>
      </x:c>
      <x:c r="S80" t="n">
        <x:v>1</x:v>
      </x:c>
      <x:c r="T80" t="str">
        <x:v>Deal 125% Strength weapon damage. If Armour is broken and Health is damaged, apply 2 Fracture stacks.</x:v>
      </x:c>
      <x:c r="U80" t="n">
        <x:v>1</x:v>
      </x:c>
      <x:c r="V80" t="n">
        <x:v>3</x:v>
      </x:c>
      <x:c r="W80" t="n">
        <x:v>0</x:v>
      </x:c>
      <x:c r="X80" t="n">
        <x:v>1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1</x:v>
      </x:c>
      <x:c r="AD80" t="n">
        <x:v>0</x:v>
      </x:c>
      <x:c r="AE80" t="str">
        <x:v>Highest direct Strength profile.</x:v>
      </x:c>
      <x:c r="AF80" t="str">
        <x:v>Every weapon grants both listed skills. No weapon-granted skill costs 4 EN. Restoration uses a 1-turn cooldown; Fortify/Ward use 2 turns; dual Bastion/Aegis uses 3 turns.</x:v>
      </x:c>
    </x:row>
    <x:row r="81">
      <x:c r="A81" t="str">
        <x:v>WPN-077</x:v>
      </x:c>
      <x:c r="B81" t="str">
        <x:v>Regal Greatblade</x:v>
      </x:c>
      <x:c r="C81" t="str">
        <x:v>Gold</x:v>
      </x:c>
      <x:c r="D81" t="str">
        <x:v>Greatblade</x:v>
      </x:c>
      <x:c r="E81" t="str">
        <x:v>2H</x:v>
      </x:c>
      <x:c r="F81" t="str">
        <x:v>Knight and Brute</x:v>
      </x:c>
      <x:c r="G81" t="str">
        <x:v>Physical Strength</x:v>
      </x:c>
      <x:c r="H81" t="str">
        <x:v>Might</x:v>
      </x:c>
      <x:c r="I81" t="n">
        <x:v>14</x:v>
      </x:c>
      <x:c r="J81" t="n">
        <x:v>18</x:v>
      </x:c>
      <x:c r="K81" t="n">
        <x:v>2</x:v>
      </x:c>
      <x:c r="L81" t="str">
        <x:v>Greatwing Slash</x:v>
      </x:c>
      <x:c r="M81" t="n">
        <x:v>120</x:v>
      </x:c>
      <x:c r="N81" t="n">
        <x:v>0</x:v>
      </x:c>
      <x:c r="O81" t="str">
        <x:v>Deal 120% Strength weapon damage.</x:v>
      </x:c>
      <x:c r="P81" t="n">
        <x:v>3</x:v>
      </x:c>
      <x:c r="Q81" t="str">
        <x:v>Sundering Wing</x:v>
      </x:c>
      <x:c r="R81" t="n">
        <x:v>125</x:v>
      </x:c>
      <x:c r="S81" t="n">
        <x:v>1</x:v>
      </x:c>
      <x:c r="T81" t="str">
        <x:v>Deal 125% Strength weapon damage. If Armour is broken and Health is damaged, apply 2 Fracture stacks.</x:v>
      </x:c>
      <x:c r="U81" t="n">
        <x:v>1</x:v>
      </x:c>
      <x:c r="V81" t="n">
        <x:v>4</x:v>
      </x:c>
      <x:c r="W81" t="n">
        <x:v>0</x:v>
      </x:c>
      <x:c r="X81" t="n">
        <x:v>2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2</x:v>
      </x:c>
      <x:c r="AD81" t="n">
        <x:v>0</x:v>
      </x:c>
      <x:c r="AE81" t="str">
        <x:v>Highest direct Strength profile.</x:v>
      </x:c>
      <x:c r="AF81" t="str">
        <x:v>Every weapon grants both listed skills. No weapon-granted skill costs 4 EN. Restoration uses a 1-turn cooldown; Fortify/Ward use 2 turns; dual Bastion/Aegis uses 3 turns.</x:v>
      </x:c>
    </x:row>
    <x:row r="82">
      <x:c r="A82" t="str">
        <x:v>WPN-078</x:v>
      </x:c>
      <x:c r="B82" t="str">
        <x:v>Mythic Greatblade</x:v>
      </x:c>
      <x:c r="C82" t="str">
        <x:v>Orange</x:v>
      </x:c>
      <x:c r="D82" t="str">
        <x:v>Greatblade</x:v>
      </x:c>
      <x:c r="E82" t="str">
        <x:v>2H</x:v>
      </x:c>
      <x:c r="F82" t="str">
        <x:v>Knight and Brute</x:v>
      </x:c>
      <x:c r="G82" t="str">
        <x:v>Physical Strength</x:v>
      </x:c>
      <x:c r="H82" t="str">
        <x:v>Might</x:v>
      </x:c>
      <x:c r="I82" t="n">
        <x:v>17</x:v>
      </x:c>
      <x:c r="J82" t="n">
        <x:v>22</x:v>
      </x:c>
      <x:c r="K82" t="n">
        <x:v>2</x:v>
      </x:c>
      <x:c r="L82" t="str">
        <x:v>Greatwing Slash</x:v>
      </x:c>
      <x:c r="M82" t="n">
        <x:v>120</x:v>
      </x:c>
      <x:c r="N82" t="n">
        <x:v>0</x:v>
      </x:c>
      <x:c r="O82" t="str">
        <x:v>Deal 120% Strength weapon damage.</x:v>
      </x:c>
      <x:c r="P82" t="n">
        <x:v>3</x:v>
      </x:c>
      <x:c r="Q82" t="str">
        <x:v>Sundering Wing</x:v>
      </x:c>
      <x:c r="R82" t="n">
        <x:v>125</x:v>
      </x:c>
      <x:c r="S82" t="n">
        <x:v>1</x:v>
      </x:c>
      <x:c r="T82" t="str">
        <x:v>Deal 125% Strength weapon damage. If Armour is broken and Health is damaged, apply 2 Fracture stacks.</x:v>
      </x:c>
      <x:c r="U82" t="n">
        <x:v>2</x:v>
      </x:c>
      <x:c r="V82" t="n">
        <x:v>5</x:v>
      </x:c>
      <x:c r="W82" t="n">
        <x:v>0</x:v>
      </x:c>
      <x:c r="X82" t="n">
        <x:v>2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3</x:v>
      </x:c>
      <x:c r="AD82" t="n">
        <x:v>0</x:v>
      </x:c>
      <x:c r="AE82" t="str">
        <x:v>Highest direct Strength profile.</x:v>
      </x:c>
      <x:c r="AF82" t="str">
        <x:v>Every weapon grants both listed skills. No weapon-granted skill costs 4 EN. Restoration uses a 1-turn cooldown; Fortify/Ward use 2 turns; dual Bastion/Aegis uses 3 turns.</x:v>
      </x:c>
    </x:row>
    <x:row r="83">
      <x:c r="A83" t="str">
        <x:v>WPN-079</x:v>
      </x:c>
      <x:c r="B83" t="str">
        <x:v>Greatbow</x:v>
      </x:c>
      <x:c r="C83" t="str">
        <x:v>Grey</x:v>
      </x:c>
      <x:c r="D83" t="str">
        <x:v>Greatbow</x:v>
      </x:c>
      <x:c r="E83" t="str">
        <x:v>2H</x:v>
      </x:c>
      <x:c r="F83" t="str">
        <x:v>Brute and Knight</x:v>
      </x:c>
      <x:c r="G83" t="str">
        <x:v>Physical Finesse</x:v>
      </x:c>
      <x:c r="H83" t="str">
        <x:v>Dexterity</x:v>
      </x:c>
      <x:c r="I83" t="n">
        <x:v>5</x:v>
      </x:c>
      <x:c r="J83" t="n">
        <x:v>8</x:v>
      </x:c>
      <x:c r="K83" t="n">
        <x:v>2</x:v>
      </x:c>
      <x:c r="L83" t="str">
        <x:v>Piercing Flight</x:v>
      </x:c>
      <x:c r="M83" t="n">
        <x:v>120</x:v>
      </x:c>
      <x:c r="N83" t="n">
        <x:v>0</x:v>
      </x:c>
      <x:c r="O83" t="str">
        <x:v>Deal 120% Finesse weapon damage.</x:v>
      </x:c>
      <x:c r="P83" t="n">
        <x:v>3</x:v>
      </x:c>
      <x:c r="Q83" t="str">
        <x:v>Raptor’s Draw</x:v>
      </x:c>
      <x:c r="R83" t="n">
        <x:v>140</x:v>
      </x:c>
      <x:c r="S83" t="n">
        <x:v>1</x:v>
      </x:c>
      <x:c r="T83" t="str">
        <x:v>Deal 140% Finesse weapon damage with +10 Precision.</x:v>
      </x:c>
      <x:c r="U83" t="n">
        <x:v>0</x:v>
      </x:c>
      <x:c r="V83" t="n">
        <x:v>0</x:v>
      </x:c>
      <x:c r="W83" t="n">
        <x:v>1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str">
        <x:v>High ranged finesse damage.</x:v>
      </x:c>
      <x:c r="AF83" t="str">
        <x:v>Every weapon grants both listed skills. No weapon-granted skill costs 4 EN. Restoration uses a 1-turn cooldown; Fortify/Ward use 2 turns; dual Bastion/Aegis uses 3 turns.</x:v>
      </x:c>
    </x:row>
    <x:row r="84">
      <x:c r="A84" t="str">
        <x:v>WPN-080</x:v>
      </x:c>
      <x:c r="B84" t="str">
        <x:v>Sturdy Greatbow</x:v>
      </x:c>
      <x:c r="C84" t="str">
        <x:v>Green</x:v>
      </x:c>
      <x:c r="D84" t="str">
        <x:v>Greatbow</x:v>
      </x:c>
      <x:c r="E84" t="str">
        <x:v>2H</x:v>
      </x:c>
      <x:c r="F84" t="str">
        <x:v>Brute and Knight</x:v>
      </x:c>
      <x:c r="G84" t="str">
        <x:v>Physical Finesse</x:v>
      </x:c>
      <x:c r="H84" t="str">
        <x:v>Dexterity</x:v>
      </x:c>
      <x:c r="I84" t="n">
        <x:v>6</x:v>
      </x:c>
      <x:c r="J84" t="n">
        <x:v>10</x:v>
      </x:c>
      <x:c r="K84" t="n">
        <x:v>2</x:v>
      </x:c>
      <x:c r="L84" t="str">
        <x:v>Piercing Flight</x:v>
      </x:c>
      <x:c r="M84" t="n">
        <x:v>120</x:v>
      </x:c>
      <x:c r="N84" t="n">
        <x:v>0</x:v>
      </x:c>
      <x:c r="O84" t="str">
        <x:v>Deal 120% Finesse weapon damage.</x:v>
      </x:c>
      <x:c r="P84" t="n">
        <x:v>3</x:v>
      </x:c>
      <x:c r="Q84" t="str">
        <x:v>Raptor’s Draw</x:v>
      </x:c>
      <x:c r="R84" t="n">
        <x:v>140</x:v>
      </x:c>
      <x:c r="S84" t="n">
        <x:v>1</x:v>
      </x:c>
      <x:c r="T84" t="str">
        <x:v>Deal 140% Finesse weapon damage with +10 Precision.</x:v>
      </x:c>
      <x:c r="U84" t="n">
        <x:v>0</x:v>
      </x:c>
      <x:c r="V84" t="n">
        <x:v>0</x:v>
      </x:c>
      <x:c r="W84" t="n">
        <x:v>1</x:v>
      </x:c>
      <x:c r="X84" t="n">
        <x:v>0</x:v>
      </x:c>
      <x:c r="Y84" t="n">
        <x:v>0</x:v>
      </x:c>
      <x:c r="Z84" t="n">
        <x:v>0</x:v>
      </x:c>
      <x:c r="AA84" t="n">
        <x:v>1</x:v>
      </x:c>
      <x:c r="AB84" t="n">
        <x:v>0</x:v>
      </x:c>
      <x:c r="AC84" t="n">
        <x:v>0</x:v>
      </x:c>
      <x:c r="AD84" t="n">
        <x:v>0</x:v>
      </x:c>
      <x:c r="AE84" t="str">
        <x:v>High ranged finesse damage.</x:v>
      </x:c>
      <x:c r="AF84" t="str">
        <x:v>Every weapon grants both listed skills. No weapon-granted skill costs 4 EN. Restoration uses a 1-turn cooldown; Fortify/Ward use 2 turns; dual Bastion/Aegis uses 3 turns.</x:v>
      </x:c>
    </x:row>
    <x:row r="85">
      <x:c r="A85" t="str">
        <x:v>WPN-081</x:v>
      </x:c>
      <x:c r="B85" t="str">
        <x:v>Tempered Greatbow</x:v>
      </x:c>
      <x:c r="C85" t="str">
        <x:v>Blue</x:v>
      </x:c>
      <x:c r="D85" t="str">
        <x:v>Greatbow</x:v>
      </x:c>
      <x:c r="E85" t="str">
        <x:v>2H</x:v>
      </x:c>
      <x:c r="F85" t="str">
        <x:v>Brute and Knight</x:v>
      </x:c>
      <x:c r="G85" t="str">
        <x:v>Physical Finesse</x:v>
      </x:c>
      <x:c r="H85" t="str">
        <x:v>Dexterity</x:v>
      </x:c>
      <x:c r="I85" t="n">
        <x:v>8</x:v>
      </x:c>
      <x:c r="J85" t="n">
        <x:v>12</x:v>
      </x:c>
      <x:c r="K85" t="n">
        <x:v>2</x:v>
      </x:c>
      <x:c r="L85" t="str">
        <x:v>Piercing Flight</x:v>
      </x:c>
      <x:c r="M85" t="n">
        <x:v>120</x:v>
      </x:c>
      <x:c r="N85" t="n">
        <x:v>0</x:v>
      </x:c>
      <x:c r="O85" t="str">
        <x:v>Deal 120% Finesse weapon damage.</x:v>
      </x:c>
      <x:c r="P85" t="n">
        <x:v>3</x:v>
      </x:c>
      <x:c r="Q85" t="str">
        <x:v>Raptor’s Draw</x:v>
      </x:c>
      <x:c r="R85" t="n">
        <x:v>140</x:v>
      </x:c>
      <x:c r="S85" t="n">
        <x:v>1</x:v>
      </x:c>
      <x:c r="T85" t="str">
        <x:v>Deal 140% Finesse weapon damage with +10 Precision.</x:v>
      </x:c>
      <x:c r="U85" t="n">
        <x:v>0</x:v>
      </x:c>
      <x:c r="V85" t="n">
        <x:v>0</x:v>
      </x:c>
      <x:c r="W85" t="n">
        <x:v>2</x:v>
      </x:c>
      <x:c r="X85" t="n">
        <x:v>0</x:v>
      </x:c>
      <x:c r="Y85" t="n">
        <x:v>0</x:v>
      </x:c>
      <x:c r="Z85" t="n">
        <x:v>0</x:v>
      </x:c>
      <x:c r="AA85" t="n">
        <x:v>1</x:v>
      </x:c>
      <x:c r="AB85" t="n">
        <x:v>1</x:v>
      </x:c>
      <x:c r="AC85" t="n">
        <x:v>0</x:v>
      </x:c>
      <x:c r="AD85" t="n">
        <x:v>0</x:v>
      </x:c>
      <x:c r="AE85" t="str">
        <x:v>High ranged finesse damage.</x:v>
      </x:c>
      <x:c r="AF85" t="str">
        <x:v>Every weapon grants both listed skills. No weapon-granted skill costs 4 EN. Restoration uses a 1-turn cooldown; Fortify/Ward use 2 turns; dual Bastion/Aegis uses 3 turns.</x:v>
      </x:c>
    </x:row>
    <x:row r="86">
      <x:c r="A86" t="str">
        <x:v>WPN-082</x:v>
      </x:c>
      <x:c r="B86" t="str">
        <x:v>Masterwork Greatbow</x:v>
      </x:c>
      <x:c r="C86" t="str">
        <x:v>Purple</x:v>
      </x:c>
      <x:c r="D86" t="str">
        <x:v>Greatbow</x:v>
      </x:c>
      <x:c r="E86" t="str">
        <x:v>2H</x:v>
      </x:c>
      <x:c r="F86" t="str">
        <x:v>Brute and Knight</x:v>
      </x:c>
      <x:c r="G86" t="str">
        <x:v>Physical Finesse</x:v>
      </x:c>
      <x:c r="H86" t="str">
        <x:v>Dexterity</x:v>
      </x:c>
      <x:c r="I86" t="n">
        <x:v>10</x:v>
      </x:c>
      <x:c r="J86" t="n">
        <x:v>15</x:v>
      </x:c>
      <x:c r="K86" t="n">
        <x:v>2</x:v>
      </x:c>
      <x:c r="L86" t="str">
        <x:v>Piercing Flight</x:v>
      </x:c>
      <x:c r="M86" t="n">
        <x:v>120</x:v>
      </x:c>
      <x:c r="N86" t="n">
        <x:v>0</x:v>
      </x:c>
      <x:c r="O86" t="str">
        <x:v>Deal 120% Finesse weapon damage.</x:v>
      </x:c>
      <x:c r="P86" t="n">
        <x:v>3</x:v>
      </x:c>
      <x:c r="Q86" t="str">
        <x:v>Raptor’s Draw</x:v>
      </x:c>
      <x:c r="R86" t="n">
        <x:v>140</x:v>
      </x:c>
      <x:c r="S86" t="n">
        <x:v>1</x:v>
      </x:c>
      <x:c r="T86" t="str">
        <x:v>Deal 140% Finesse weapon damage with +10 Precision.</x:v>
      </x:c>
      <x:c r="U86" t="n">
        <x:v>1</x:v>
      </x:c>
      <x:c r="V86" t="n">
        <x:v>0</x:v>
      </x:c>
      <x:c r="W86" t="n">
        <x:v>3</x:v>
      </x:c>
      <x:c r="X86" t="n">
        <x:v>0</x:v>
      </x:c>
      <x:c r="Y86" t="n">
        <x:v>0</x:v>
      </x:c>
      <x:c r="Z86" t="n">
        <x:v>0</x:v>
      </x:c>
      <x:c r="AA86" t="n">
        <x:v>1</x:v>
      </x:c>
      <x:c r="AB86" t="n">
        <x:v>2</x:v>
      </x:c>
      <x:c r="AC86" t="n">
        <x:v>0</x:v>
      </x:c>
      <x:c r="AD86" t="n">
        <x:v>0</x:v>
      </x:c>
      <x:c r="AE86" t="str">
        <x:v>High ranged finesse damage.</x:v>
      </x:c>
      <x:c r="AF86" t="str">
        <x:v>Every weapon grants both listed skills. No weapon-granted skill costs 4 EN. Restoration uses a 1-turn cooldown; Fortify/Ward use 2 turns; dual Bastion/Aegis uses 3 turns.</x:v>
      </x:c>
    </x:row>
    <x:row r="87">
      <x:c r="A87" t="str">
        <x:v>WPN-083</x:v>
      </x:c>
      <x:c r="B87" t="str">
        <x:v>Regal Greatbow</x:v>
      </x:c>
      <x:c r="C87" t="str">
        <x:v>Gold</x:v>
      </x:c>
      <x:c r="D87" t="str">
        <x:v>Greatbow</x:v>
      </x:c>
      <x:c r="E87" t="str">
        <x:v>2H</x:v>
      </x:c>
      <x:c r="F87" t="str">
        <x:v>Brute and Knight</x:v>
      </x:c>
      <x:c r="G87" t="str">
        <x:v>Physical Finesse</x:v>
      </x:c>
      <x:c r="H87" t="str">
        <x:v>Dexterity</x:v>
      </x:c>
      <x:c r="I87" t="n">
        <x:v>12</x:v>
      </x:c>
      <x:c r="J87" t="n">
        <x:v>18</x:v>
      </x:c>
      <x:c r="K87" t="n">
        <x:v>2</x:v>
      </x:c>
      <x:c r="L87" t="str">
        <x:v>Piercing Flight</x:v>
      </x:c>
      <x:c r="M87" t="n">
        <x:v>120</x:v>
      </x:c>
      <x:c r="N87" t="n">
        <x:v>0</x:v>
      </x:c>
      <x:c r="O87" t="str">
        <x:v>Deal 120% Finesse weapon damage.</x:v>
      </x:c>
      <x:c r="P87" t="n">
        <x:v>3</x:v>
      </x:c>
      <x:c r="Q87" t="str">
        <x:v>Raptor’s Draw</x:v>
      </x:c>
      <x:c r="R87" t="n">
        <x:v>140</x:v>
      </x:c>
      <x:c r="S87" t="n">
        <x:v>1</x:v>
      </x:c>
      <x:c r="T87" t="str">
        <x:v>Deal 140% Finesse weapon damage with +10 Precision.</x:v>
      </x:c>
      <x:c r="U87" t="n">
        <x:v>1</x:v>
      </x:c>
      <x:c r="V87" t="n">
        <x:v>0</x:v>
      </x:c>
      <x:c r="W87" t="n">
        <x:v>4</x:v>
      </x:c>
      <x:c r="X87" t="n">
        <x:v>0</x:v>
      </x:c>
      <x:c r="Y87" t="n">
        <x:v>0</x:v>
      </x:c>
      <x:c r="Z87" t="n">
        <x:v>0</x:v>
      </x:c>
      <x:c r="AA87" t="n">
        <x:v>2</x:v>
      </x:c>
      <x:c r="AB87" t="n">
        <x:v>3</x:v>
      </x:c>
      <x:c r="AC87" t="n">
        <x:v>0</x:v>
      </x:c>
      <x:c r="AD87" t="n">
        <x:v>0</x:v>
      </x:c>
      <x:c r="AE87" t="str">
        <x:v>High ranged finesse damage.</x:v>
      </x:c>
      <x:c r="AF87" t="str">
        <x:v>Every weapon grants both listed skills. No weapon-granted skill costs 4 EN. Restoration uses a 1-turn cooldown; Fortify/Ward use 2 turns; dual Bastion/Aegis uses 3 turns.</x:v>
      </x:c>
    </x:row>
    <x:row r="88">
      <x:c r="A88" t="str">
        <x:v>WPN-084</x:v>
      </x:c>
      <x:c r="B88" t="str">
        <x:v>Mythic Greatbow</x:v>
      </x:c>
      <x:c r="C88" t="str">
        <x:v>Orange</x:v>
      </x:c>
      <x:c r="D88" t="str">
        <x:v>Greatbow</x:v>
      </x:c>
      <x:c r="E88" t="str">
        <x:v>2H</x:v>
      </x:c>
      <x:c r="F88" t="str">
        <x:v>Brute and Knight</x:v>
      </x:c>
      <x:c r="G88" t="str">
        <x:v>Physical Finesse</x:v>
      </x:c>
      <x:c r="H88" t="str">
        <x:v>Dexterity</x:v>
      </x:c>
      <x:c r="I88" t="n">
        <x:v>14</x:v>
      </x:c>
      <x:c r="J88" t="n">
        <x:v>22</x:v>
      </x:c>
      <x:c r="K88" t="n">
        <x:v>2</x:v>
      </x:c>
      <x:c r="L88" t="str">
        <x:v>Piercing Flight</x:v>
      </x:c>
      <x:c r="M88" t="n">
        <x:v>120</x:v>
      </x:c>
      <x:c r="N88" t="n">
        <x:v>0</x:v>
      </x:c>
      <x:c r="O88" t="str">
        <x:v>Deal 120% Finesse weapon damage.</x:v>
      </x:c>
      <x:c r="P88" t="n">
        <x:v>3</x:v>
      </x:c>
      <x:c r="Q88" t="str">
        <x:v>Raptor’s Draw</x:v>
      </x:c>
      <x:c r="R88" t="n">
        <x:v>140</x:v>
      </x:c>
      <x:c r="S88" t="n">
        <x:v>1</x:v>
      </x:c>
      <x:c r="T88" t="str">
        <x:v>Deal 140% Finesse weapon damage with +10 Precision.</x:v>
      </x:c>
      <x:c r="U88" t="n">
        <x:v>2</x:v>
      </x:c>
      <x:c r="V88" t="n">
        <x:v>0</x:v>
      </x:c>
      <x:c r="W88" t="n">
        <x:v>5</x:v>
      </x:c>
      <x:c r="X88" t="n">
        <x:v>0</x:v>
      </x:c>
      <x:c r="Y88" t="n">
        <x:v>0</x:v>
      </x:c>
      <x:c r="Z88" t="n">
        <x:v>0</x:v>
      </x:c>
      <x:c r="AA88" t="n">
        <x:v>2</x:v>
      </x:c>
      <x:c r="AB88" t="n">
        <x:v>4</x:v>
      </x:c>
      <x:c r="AC88" t="n">
        <x:v>0</x:v>
      </x:c>
      <x:c r="AD88" t="n">
        <x:v>0</x:v>
      </x:c>
      <x:c r="AE88" t="str">
        <x:v>High ranged finesse damage.</x:v>
      </x:c>
      <x:c r="AF88" t="str">
        <x:v>Every weapon grants both listed skills. No weapon-granted skill costs 4 EN. Restoration uses a 1-turn cooldown; Fortify/Ward use 2 turns; dual Bastion/Aegis uses 3 turns.</x:v>
      </x:c>
    </x:row>
    <x:row r="89">
      <x:c r="A89" t="str">
        <x:v>WPN-085</x:v>
      </x:c>
      <x:c r="B89" t="str">
        <x:v>War Scythe</x:v>
      </x:c>
      <x:c r="C89" t="str">
        <x:v>Grey</x:v>
      </x:c>
      <x:c r="D89" t="str">
        <x:v>War Scythe</x:v>
      </x:c>
      <x:c r="E89" t="str">
        <x:v>2H</x:v>
      </x:c>
      <x:c r="F89" t="str">
        <x:v>Inquisitor and Brute</x:v>
      </x:c>
      <x:c r="G89" t="str">
        <x:v>Physical Strength</x:v>
      </x:c>
      <x:c r="H89" t="str">
        <x:v>Might</x:v>
      </x:c>
      <x:c r="I89" t="n">
        <x:v>5</x:v>
      </x:c>
      <x:c r="J89" t="n">
        <x:v>7</x:v>
      </x:c>
      <x:c r="K89" t="n">
        <x:v>2</x:v>
      </x:c>
      <x:c r="L89" t="str">
        <x:v>Reaping Arc</x:v>
      </x:c>
      <x:c r="M89" t="n">
        <x:v>100</x:v>
      </x:c>
      <x:c r="N89" t="n">
        <x:v>0</x:v>
      </x:c>
      <x:c r="O89" t="str">
        <x:v>Deal 100% Strength weapon damage and heal Health equal to 20% of Health damage dealt.</x:v>
      </x:c>
      <x:c r="P89" t="n">
        <x:v>3</x:v>
      </x:c>
      <x:c r="Q89" t="str">
        <x:v>Death’s Harvest</x:v>
      </x:c>
      <x:c r="R89" t="n">
        <x:v>125</x:v>
      </x:c>
      <x:c r="S89" t="n">
        <x:v>1</x:v>
      </x:c>
      <x:c r="T89" t="str">
        <x:v>Deal 125% Strength weapon damage. Gain +20 Skill Power if the target is below 30% Health.</x:v>
      </x:c>
      <x:c r="U89" t="n">
        <x:v>0</x:v>
      </x:c>
      <x:c r="V89" t="n">
        <x:v>1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str">
        <x:v>Execution and recovery identity.</x:v>
      </x:c>
      <x:c r="AF89" t="str">
        <x:v>Every weapon grants both listed skills. No weapon-granted skill costs 4 EN. Restoration uses a 1-turn cooldown; Fortify/Ward use 2 turns; dual Bastion/Aegis uses 3 turns.</x:v>
      </x:c>
    </x:row>
    <x:row r="90">
      <x:c r="A90" t="str">
        <x:v>WPN-086</x:v>
      </x:c>
      <x:c r="B90" t="str">
        <x:v>Sturdy War Scythe</x:v>
      </x:c>
      <x:c r="C90" t="str">
        <x:v>Green</x:v>
      </x:c>
      <x:c r="D90" t="str">
        <x:v>War Scythe</x:v>
      </x:c>
      <x:c r="E90" t="str">
        <x:v>2H</x:v>
      </x:c>
      <x:c r="F90" t="str">
        <x:v>Inquisitor and Brute</x:v>
      </x:c>
      <x:c r="G90" t="str">
        <x:v>Physical Strength</x:v>
      </x:c>
      <x:c r="H90" t="str">
        <x:v>Might</x:v>
      </x:c>
      <x:c r="I90" t="n">
        <x:v>6</x:v>
      </x:c>
      <x:c r="J90" t="n">
        <x:v>9</x:v>
      </x:c>
      <x:c r="K90" t="n">
        <x:v>2</x:v>
      </x:c>
      <x:c r="L90" t="str">
        <x:v>Reaping Arc</x:v>
      </x:c>
      <x:c r="M90" t="n">
        <x:v>100</x:v>
      </x:c>
      <x:c r="N90" t="n">
        <x:v>0</x:v>
      </x:c>
      <x:c r="O90" t="str">
        <x:v>Deal 100% Strength weapon damage and heal Health equal to 20% of Health damage dealt.</x:v>
      </x:c>
      <x:c r="P90" t="n">
        <x:v>3</x:v>
      </x:c>
      <x:c r="Q90" t="str">
        <x:v>Death’s Harvest</x:v>
      </x:c>
      <x:c r="R90" t="n">
        <x:v>125</x:v>
      </x:c>
      <x:c r="S90" t="n">
        <x:v>1</x:v>
      </x:c>
      <x:c r="T90" t="str">
        <x:v>Deal 125% Strength weapon damage. Gain +20 Skill Power if the target is below 30% Health.</x:v>
      </x:c>
      <x:c r="U90" t="n">
        <x:v>1</x:v>
      </x:c>
      <x:c r="V90" t="n">
        <x:v>1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str">
        <x:v>Execution and recovery identity.</x:v>
      </x:c>
      <x:c r="AF90" t="str">
        <x:v>Every weapon grants both listed skills. No weapon-granted skill costs 4 EN. Restoration uses a 1-turn cooldown; Fortify/Ward use 2 turns; dual Bastion/Aegis uses 3 turns.</x:v>
      </x:c>
    </x:row>
    <x:row r="91">
      <x:c r="A91" t="str">
        <x:v>WPN-087</x:v>
      </x:c>
      <x:c r="B91" t="str">
        <x:v>Tempered War Scythe</x:v>
      </x:c>
      <x:c r="C91" t="str">
        <x:v>Blue</x:v>
      </x:c>
      <x:c r="D91" t="str">
        <x:v>War Scythe</x:v>
      </x:c>
      <x:c r="E91" t="str">
        <x:v>2H</x:v>
      </x:c>
      <x:c r="F91" t="str">
        <x:v>Inquisitor and Brute</x:v>
      </x:c>
      <x:c r="G91" t="str">
        <x:v>Physical Strength</x:v>
      </x:c>
      <x:c r="H91" t="str">
        <x:v>Might</x:v>
      </x:c>
      <x:c r="I91" t="n">
        <x:v>8</x:v>
      </x:c>
      <x:c r="J91" t="n">
        <x:v>11</x:v>
      </x:c>
      <x:c r="K91" t="n">
        <x:v>2</x:v>
      </x:c>
      <x:c r="L91" t="str">
        <x:v>Reaping Arc</x:v>
      </x:c>
      <x:c r="M91" t="n">
        <x:v>100</x:v>
      </x:c>
      <x:c r="N91" t="n">
        <x:v>0</x:v>
      </x:c>
      <x:c r="O91" t="str">
        <x:v>Deal 100% Strength weapon damage and heal Health equal to 20% of Health damage dealt.</x:v>
      </x:c>
      <x:c r="P91" t="n">
        <x:v>3</x:v>
      </x:c>
      <x:c r="Q91" t="str">
        <x:v>Death’s Harvest</x:v>
      </x:c>
      <x:c r="R91" t="n">
        <x:v>125</x:v>
      </x:c>
      <x:c r="S91" t="n">
        <x:v>1</x:v>
      </x:c>
      <x:c r="T91" t="str">
        <x:v>Deal 125% Strength weapon damage. Gain +20 Skill Power if the target is below 30% Health.</x:v>
      </x:c>
      <x:c r="U91" t="n">
        <x:v>1</x:v>
      </x:c>
      <x:c r="V91" t="n">
        <x:v>2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str">
        <x:v>Execution and recovery identity.</x:v>
      </x:c>
      <x:c r="AF91" t="str">
        <x:v>Every weapon grants both listed skills. No weapon-granted skill costs 4 EN. Restoration uses a 1-turn cooldown; Fortify/Ward use 2 turns; dual Bastion/Aegis uses 3 turns.</x:v>
      </x:c>
    </x:row>
    <x:row r="92">
      <x:c r="A92" t="str">
        <x:v>WPN-088</x:v>
      </x:c>
      <x:c r="B92" t="str">
        <x:v>Masterwork War Scythe</x:v>
      </x:c>
      <x:c r="C92" t="str">
        <x:v>Purple</x:v>
      </x:c>
      <x:c r="D92" t="str">
        <x:v>War Scythe</x:v>
      </x:c>
      <x:c r="E92" t="str">
        <x:v>2H</x:v>
      </x:c>
      <x:c r="F92" t="str">
        <x:v>Inquisitor and Brute</x:v>
      </x:c>
      <x:c r="G92" t="str">
        <x:v>Physical Strength</x:v>
      </x:c>
      <x:c r="H92" t="str">
        <x:v>Might</x:v>
      </x:c>
      <x:c r="I92" t="n">
        <x:v>10</x:v>
      </x:c>
      <x:c r="J92" t="n">
        <x:v>13</x:v>
      </x:c>
      <x:c r="K92" t="n">
        <x:v>2</x:v>
      </x:c>
      <x:c r="L92" t="str">
        <x:v>Reaping Arc</x:v>
      </x:c>
      <x:c r="M92" t="n">
        <x:v>100</x:v>
      </x:c>
      <x:c r="N92" t="n">
        <x:v>0</x:v>
      </x:c>
      <x:c r="O92" t="str">
        <x:v>Deal 100% Strength weapon damage and heal Health equal to 20% of Health damage dealt.</x:v>
      </x:c>
      <x:c r="P92" t="n">
        <x:v>3</x:v>
      </x:c>
      <x:c r="Q92" t="str">
        <x:v>Death’s Harvest</x:v>
      </x:c>
      <x:c r="R92" t="n">
        <x:v>125</x:v>
      </x:c>
      <x:c r="S92" t="n">
        <x:v>1</x:v>
      </x:c>
      <x:c r="T92" t="str">
        <x:v>Deal 125% Strength weapon damage. Gain +20 Skill Power if the target is below 30% Health.</x:v>
      </x:c>
      <x:c r="U92" t="n">
        <x:v>1</x:v>
      </x:c>
      <x:c r="V92" t="n">
        <x:v>3</x:v>
      </x:c>
      <x:c r="W92" t="n">
        <x:v>0</x:v>
      </x:c>
      <x:c r="X92" t="n">
        <x:v>1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1</x:v>
      </x:c>
      <x:c r="AD92" t="n">
        <x:v>0</x:v>
      </x:c>
      <x:c r="AE92" t="str">
        <x:v>Execution and recovery identity.</x:v>
      </x:c>
      <x:c r="AF92" t="str">
        <x:v>Every weapon grants both listed skills. No weapon-granted skill costs 4 EN. Restoration uses a 1-turn cooldown; Fortify/Ward use 2 turns; dual Bastion/Aegis uses 3 turns.</x:v>
      </x:c>
    </x:row>
    <x:row r="93">
      <x:c r="A93" t="str">
        <x:v>WPN-089</x:v>
      </x:c>
      <x:c r="B93" t="str">
        <x:v>Regal War Scythe</x:v>
      </x:c>
      <x:c r="C93" t="str">
        <x:v>Gold</x:v>
      </x:c>
      <x:c r="D93" t="str">
        <x:v>War Scythe</x:v>
      </x:c>
      <x:c r="E93" t="str">
        <x:v>2H</x:v>
      </x:c>
      <x:c r="F93" t="str">
        <x:v>Inquisitor and Brute</x:v>
      </x:c>
      <x:c r="G93" t="str">
        <x:v>Physical Strength</x:v>
      </x:c>
      <x:c r="H93" t="str">
        <x:v>Might</x:v>
      </x:c>
      <x:c r="I93" t="n">
        <x:v>12</x:v>
      </x:c>
      <x:c r="J93" t="n">
        <x:v>16</x:v>
      </x:c>
      <x:c r="K93" t="n">
        <x:v>2</x:v>
      </x:c>
      <x:c r="L93" t="str">
        <x:v>Reaping Arc</x:v>
      </x:c>
      <x:c r="M93" t="n">
        <x:v>100</x:v>
      </x:c>
      <x:c r="N93" t="n">
        <x:v>0</x:v>
      </x:c>
      <x:c r="O93" t="str">
        <x:v>Deal 100% Strength weapon damage and heal Health equal to 20% of Health damage dealt.</x:v>
      </x:c>
      <x:c r="P93" t="n">
        <x:v>3</x:v>
      </x:c>
      <x:c r="Q93" t="str">
        <x:v>Death’s Harvest</x:v>
      </x:c>
      <x:c r="R93" t="n">
        <x:v>125</x:v>
      </x:c>
      <x:c r="S93" t="n">
        <x:v>1</x:v>
      </x:c>
      <x:c r="T93" t="str">
        <x:v>Deal 125% Strength weapon damage. Gain +20 Skill Power if the target is below 30% Health.</x:v>
      </x:c>
      <x:c r="U93" t="n">
        <x:v>2</x:v>
      </x:c>
      <x:c r="V93" t="n">
        <x:v>4</x:v>
      </x:c>
      <x:c r="W93" t="n">
        <x:v>0</x:v>
      </x:c>
      <x:c r="X93" t="n">
        <x:v>1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2</x:v>
      </x:c>
      <x:c r="AD93" t="n">
        <x:v>0</x:v>
      </x:c>
      <x:c r="AE93" t="str">
        <x:v>Execution and recovery identity.</x:v>
      </x:c>
      <x:c r="AF93" t="str">
        <x:v>Every weapon grants both listed skills. No weapon-granted skill costs 4 EN. Restoration uses a 1-turn cooldown; Fortify/Ward use 2 turns; dual Bastion/Aegis uses 3 turns.</x:v>
      </x:c>
    </x:row>
    <x:row r="94">
      <x:c r="A94" t="str">
        <x:v>WPN-090</x:v>
      </x:c>
      <x:c r="B94" t="str">
        <x:v>Mythic War Scythe</x:v>
      </x:c>
      <x:c r="C94" t="str">
        <x:v>Orange</x:v>
      </x:c>
      <x:c r="D94" t="str">
        <x:v>War Scythe</x:v>
      </x:c>
      <x:c r="E94" t="str">
        <x:v>2H</x:v>
      </x:c>
      <x:c r="F94" t="str">
        <x:v>Inquisitor and Brute</x:v>
      </x:c>
      <x:c r="G94" t="str">
        <x:v>Physical Strength</x:v>
      </x:c>
      <x:c r="H94" t="str">
        <x:v>Might</x:v>
      </x:c>
      <x:c r="I94" t="n">
        <x:v>14</x:v>
      </x:c>
      <x:c r="J94" t="n">
        <x:v>19</x:v>
      </x:c>
      <x:c r="K94" t="n">
        <x:v>2</x:v>
      </x:c>
      <x:c r="L94" t="str">
        <x:v>Reaping Arc</x:v>
      </x:c>
      <x:c r="M94" t="n">
        <x:v>100</x:v>
      </x:c>
      <x:c r="N94" t="n">
        <x:v>0</x:v>
      </x:c>
      <x:c r="O94" t="str">
        <x:v>Deal 100% Strength weapon damage and heal Health equal to 20% of Health damage dealt.</x:v>
      </x:c>
      <x:c r="P94" t="n">
        <x:v>3</x:v>
      </x:c>
      <x:c r="Q94" t="str">
        <x:v>Death’s Harvest</x:v>
      </x:c>
      <x:c r="R94" t="n">
        <x:v>125</x:v>
      </x:c>
      <x:c r="S94" t="n">
        <x:v>1</x:v>
      </x:c>
      <x:c r="T94" t="str">
        <x:v>Deal 125% Strength weapon damage. Gain +20 Skill Power if the target is below 30% Health.</x:v>
      </x:c>
      <x:c r="U94" t="n">
        <x:v>2</x:v>
      </x:c>
      <x:c r="V94" t="n">
        <x:v>5</x:v>
      </x:c>
      <x:c r="W94" t="n">
        <x:v>0</x:v>
      </x:c>
      <x:c r="X94" t="n">
        <x:v>2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3</x:v>
      </x:c>
      <x:c r="AD94" t="n">
        <x:v>0</x:v>
      </x:c>
      <x:c r="AE94" t="str">
        <x:v>Execution and recovery identity.</x:v>
      </x:c>
      <x:c r="AF94" t="str">
        <x:v>Every weapon grants both listed skills. No weapon-granted skill costs 4 EN. Restoration uses a 1-turn cooldown; Fortify/Ward use 2 turns; dual Bastion/Aegis uses 3 turns.</x:v>
      </x:c>
    </x:row>
    <x:row r="95">
      <x:c r="A95" t="str">
        <x:v>WPN-091</x:v>
      </x:c>
      <x:c r="B95" t="str">
        <x:v>Runic Grimoire</x:v>
      </x:c>
      <x:c r="C95" t="str">
        <x:v>Grey</x:v>
      </x:c>
      <x:c r="D95" t="str">
        <x:v>Runic Grimoire</x:v>
      </x:c>
      <x:c r="E95" t="str">
        <x:v>2H</x:v>
      </x:c>
      <x:c r="F95" t="str">
        <x:v>Mage and Siren</x:v>
      </x:c>
      <x:c r="G95" t="str">
        <x:v>Magical</x:v>
      </x:c>
      <x:c r="H95" t="str">
        <x:v>Focus</x:v>
      </x:c>
      <x:c r="I95" t="n">
        <x:v>3</x:v>
      </x:c>
      <x:c r="J95" t="n">
        <x:v>5</x:v>
      </x:c>
      <x:c r="K95" t="n">
        <x:v>2</x:v>
      </x:c>
      <x:c r="L95" t="str">
        <x:v>Inscribed Burst</x:v>
      </x:c>
      <x:c r="M95" t="n">
        <x:v>100</x:v>
      </x:c>
      <x:c r="N95" t="n">
        <x:v>0</x:v>
      </x:c>
      <x:c r="O95" t="str">
        <x:v>Deal 100% Magic weapon damage and resolve the Grimoire’s selected rune rider.</x:v>
      </x:c>
      <x:c r="P95" t="n">
        <x:v>3</x:v>
      </x:c>
      <x:c r="Q95" t="str">
        <x:v>Runic Bastion</x:v>
      </x:c>
      <x:c r="R95" t="n">
        <x:v>0</x:v>
      </x:c>
      <x:c r="S95" t="n">
        <x:v>3</x:v>
      </x:c>
      <x:c r="T95" t="str">
        <x:v>Gain 5 Fortified Armour (add 5 to current Armour and temporary Maximum Armour) and 7 Ward Magic Armour (add 7 to current Magic Armour and temporary Maximum Magic Armour) for 2 turns.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1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str">
        <x:v>Spell utility and named runes.</x:v>
      </x:c>
      <x:c r="AF95" t="str">
        <x:v>Every weapon grants both listed skills. No weapon-granted skill costs 4 EN. Restoration uses a 1-turn cooldown; Fortify/Ward use 2 turns; dual Bastion/Aegis uses 3 turns.</x:v>
      </x:c>
    </x:row>
    <x:row r="96">
      <x:c r="A96" t="str">
        <x:v>WPN-092</x:v>
      </x:c>
      <x:c r="B96" t="str">
        <x:v>Sturdy Runic Grimoire</x:v>
      </x:c>
      <x:c r="C96" t="str">
        <x:v>Green</x:v>
      </x:c>
      <x:c r="D96" t="str">
        <x:v>Runic Grimoire</x:v>
      </x:c>
      <x:c r="E96" t="str">
        <x:v>2H</x:v>
      </x:c>
      <x:c r="F96" t="str">
        <x:v>Mage and Siren</x:v>
      </x:c>
      <x:c r="G96" t="str">
        <x:v>Magical</x:v>
      </x:c>
      <x:c r="H96" t="str">
        <x:v>Focus</x:v>
      </x:c>
      <x:c r="I96" t="n">
        <x:v>4</x:v>
      </x:c>
      <x:c r="J96" t="n">
        <x:v>6</x:v>
      </x:c>
      <x:c r="K96" t="n">
        <x:v>2</x:v>
      </x:c>
      <x:c r="L96" t="str">
        <x:v>Inscribed Burst</x:v>
      </x:c>
      <x:c r="M96" t="n">
        <x:v>100</x:v>
      </x:c>
      <x:c r="N96" t="n">
        <x:v>0</x:v>
      </x:c>
      <x:c r="O96" t="str">
        <x:v>Deal 100% Magic weapon damage and resolve the Grimoire’s selected rune rider.</x:v>
      </x:c>
      <x:c r="P96" t="n">
        <x:v>3</x:v>
      </x:c>
      <x:c r="Q96" t="str">
        <x:v>Runic Bastion</x:v>
      </x:c>
      <x:c r="R96" t="n">
        <x:v>0</x:v>
      </x:c>
      <x:c r="S96" t="n">
        <x:v>3</x:v>
      </x:c>
      <x:c r="T96" t="str">
        <x:v>Gain 5 Fortified Armour (add 5 to current Armour and temporary Maximum Armour) and 7 Ward Magic Armour (add 7 to current Magic Armour and temporary Maximum Magic Armour) for 2 turns.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1</x:v>
      </x:c>
      <x:c r="Z96" t="n">
        <x:v>1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str">
        <x:v>Spell utility and named runes.</x:v>
      </x:c>
      <x:c r="AF96" t="str">
        <x:v>Every weapon grants both listed skills. No weapon-granted skill costs 4 EN. Restoration uses a 1-turn cooldown; Fortify/Ward use 2 turns; dual Bastion/Aegis uses 3 turns.</x:v>
      </x:c>
    </x:row>
    <x:row r="97">
      <x:c r="A97" t="str">
        <x:v>WPN-093</x:v>
      </x:c>
      <x:c r="B97" t="str">
        <x:v>Tempered Runic Grimoire</x:v>
      </x:c>
      <x:c r="C97" t="str">
        <x:v>Blue</x:v>
      </x:c>
      <x:c r="D97" t="str">
        <x:v>Runic Grimoire</x:v>
      </x:c>
      <x:c r="E97" t="str">
        <x:v>2H</x:v>
      </x:c>
      <x:c r="F97" t="str">
        <x:v>Mage and Siren</x:v>
      </x:c>
      <x:c r="G97" t="str">
        <x:v>Magical</x:v>
      </x:c>
      <x:c r="H97" t="str">
        <x:v>Focus</x:v>
      </x:c>
      <x:c r="I97" t="n">
        <x:v>5</x:v>
      </x:c>
      <x:c r="J97" t="n">
        <x:v>8</x:v>
      </x:c>
      <x:c r="K97" t="n">
        <x:v>2</x:v>
      </x:c>
      <x:c r="L97" t="str">
        <x:v>Inscribed Burst</x:v>
      </x:c>
      <x:c r="M97" t="n">
        <x:v>100</x:v>
      </x:c>
      <x:c r="N97" t="n">
        <x:v>0</x:v>
      </x:c>
      <x:c r="O97" t="str">
        <x:v>Deal 100% Magic weapon damage and resolve the Grimoire’s selected rune rider.</x:v>
      </x:c>
      <x:c r="P97" t="n">
        <x:v>3</x:v>
      </x:c>
      <x:c r="Q97" t="str">
        <x:v>Runic Bastion</x:v>
      </x:c>
      <x:c r="R97" t="n">
        <x:v>0</x:v>
      </x:c>
      <x:c r="S97" t="n">
        <x:v>3</x:v>
      </x:c>
      <x:c r="T97" t="str">
        <x:v>Gain 5 Fortified Armour (add 5 to current Armour and temporary Maximum Armour) and 7 Ward Magic Armour (add 7 to current Magic Armour and temporary Maximum Magic Armour) for 2 turns.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2</x:v>
      </x:c>
      <x:c r="Z97" t="n">
        <x:v>1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str">
        <x:v>Spell utility and named runes.</x:v>
      </x:c>
      <x:c r="AF97" t="str">
        <x:v>Every weapon grants both listed skills. No weapon-granted skill costs 4 EN. Restoration uses a 1-turn cooldown; Fortify/Ward use 2 turns; dual Bastion/Aegis uses 3 turns.</x:v>
      </x:c>
    </x:row>
    <x:row r="98">
      <x:c r="A98" t="str">
        <x:v>WPN-094</x:v>
      </x:c>
      <x:c r="B98" t="str">
        <x:v>Masterwork Runic Grimoire</x:v>
      </x:c>
      <x:c r="C98" t="str">
        <x:v>Purple</x:v>
      </x:c>
      <x:c r="D98" t="str">
        <x:v>Runic Grimoire</x:v>
      </x:c>
      <x:c r="E98" t="str">
        <x:v>2H</x:v>
      </x:c>
      <x:c r="F98" t="str">
        <x:v>Mage and Siren</x:v>
      </x:c>
      <x:c r="G98" t="str">
        <x:v>Magical</x:v>
      </x:c>
      <x:c r="H98" t="str">
        <x:v>Focus</x:v>
      </x:c>
      <x:c r="I98" t="n">
        <x:v>6</x:v>
      </x:c>
      <x:c r="J98" t="n">
        <x:v>10</x:v>
      </x:c>
      <x:c r="K98" t="n">
        <x:v>2</x:v>
      </x:c>
      <x:c r="L98" t="str">
        <x:v>Inscribed Burst</x:v>
      </x:c>
      <x:c r="M98" t="n">
        <x:v>100</x:v>
      </x:c>
      <x:c r="N98" t="n">
        <x:v>0</x:v>
      </x:c>
      <x:c r="O98" t="str">
        <x:v>Deal 100% Magic weapon damage and resolve the Grimoire’s selected rune rider.</x:v>
      </x:c>
      <x:c r="P98" t="n">
        <x:v>3</x:v>
      </x:c>
      <x:c r="Q98" t="str">
        <x:v>Runic Bastion</x:v>
      </x:c>
      <x:c r="R98" t="n">
        <x:v>0</x:v>
      </x:c>
      <x:c r="S98" t="n">
        <x:v>3</x:v>
      </x:c>
      <x:c r="T98" t="str">
        <x:v>Gain 5 Fortified Armour (add 5 to current Armour and temporary Maximum Armour) and 7 Ward Magic Armour (add 7 to current Magic Armour and temporary Maximum Magic Armour) for 2 turns.</x:v>
      </x:c>
      <x:c r="U98" t="n">
        <x:v>1</x:v>
      </x:c>
      <x:c r="V98" t="n">
        <x:v>0</x:v>
      </x:c>
      <x:c r="W98" t="n">
        <x:v>0</x:v>
      </x:c>
      <x:c r="X98" t="n">
        <x:v>0</x:v>
      </x:c>
      <x:c r="Y98" t="n">
        <x:v>3</x:v>
      </x:c>
      <x:c r="Z98" t="n">
        <x:v>1</x:v>
      </x:c>
      <x:c r="AA98" t="n">
        <x:v>0</x:v>
      </x:c>
      <x:c r="AB98" t="n">
        <x:v>0</x:v>
      </x:c>
      <x:c r="AC98" t="n">
        <x:v>0</x:v>
      </x:c>
      <x:c r="AD98" t="n">
        <x:v>1</x:v>
      </x:c>
      <x:c r="AE98" t="str">
        <x:v>Spell utility and named runes.</x:v>
      </x:c>
      <x:c r="AF98" t="str">
        <x:v>Every weapon grants both listed skills. No weapon-granted skill costs 4 EN. Restoration uses a 1-turn cooldown; Fortify/Ward use 2 turns; dual Bastion/Aegis uses 3 turns.</x:v>
      </x:c>
    </x:row>
    <x:row r="99">
      <x:c r="A99" t="str">
        <x:v>WPN-095</x:v>
      </x:c>
      <x:c r="B99" t="str">
        <x:v>Regal Runic Grimoire</x:v>
      </x:c>
      <x:c r="C99" t="str">
        <x:v>Gold</x:v>
      </x:c>
      <x:c r="D99" t="str">
        <x:v>Runic Grimoire</x:v>
      </x:c>
      <x:c r="E99" t="str">
        <x:v>2H</x:v>
      </x:c>
      <x:c r="F99" t="str">
        <x:v>Mage and Siren</x:v>
      </x:c>
      <x:c r="G99" t="str">
        <x:v>Magical</x:v>
      </x:c>
      <x:c r="H99" t="str">
        <x:v>Focus</x:v>
      </x:c>
      <x:c r="I99" t="n">
        <x:v>7</x:v>
      </x:c>
      <x:c r="J99" t="n">
        <x:v>12</x:v>
      </x:c>
      <x:c r="K99" t="n">
        <x:v>2</x:v>
      </x:c>
      <x:c r="L99" t="str">
        <x:v>Inscribed Burst</x:v>
      </x:c>
      <x:c r="M99" t="n">
        <x:v>100</x:v>
      </x:c>
      <x:c r="N99" t="n">
        <x:v>0</x:v>
      </x:c>
      <x:c r="O99" t="str">
        <x:v>Deal 100% Magic weapon damage and resolve the Grimoire’s selected rune rider.</x:v>
      </x:c>
      <x:c r="P99" t="n">
        <x:v>3</x:v>
      </x:c>
      <x:c r="Q99" t="str">
        <x:v>Runic Bastion</x:v>
      </x:c>
      <x:c r="R99" t="n">
        <x:v>0</x:v>
      </x:c>
      <x:c r="S99" t="n">
        <x:v>3</x:v>
      </x:c>
      <x:c r="T99" t="str">
        <x:v>Gain 5 Fortified Armour (add 5 to current Armour and temporary Maximum Armour) and 7 Ward Magic Armour (add 7 to current Magic Armour and temporary Maximum Magic Armour) for 2 turns.</x:v>
      </x:c>
      <x:c r="U99" t="n">
        <x:v>1</x:v>
      </x:c>
      <x:c r="V99" t="n">
        <x:v>0</x:v>
      </x:c>
      <x:c r="W99" t="n">
        <x:v>0</x:v>
      </x:c>
      <x:c r="X99" t="n">
        <x:v>0</x:v>
      </x:c>
      <x:c r="Y99" t="n">
        <x:v>4</x:v>
      </x:c>
      <x:c r="Z99" t="n">
        <x:v>2</x:v>
      </x:c>
      <x:c r="AA99" t="n">
        <x:v>0</x:v>
      </x:c>
      <x:c r="AB99" t="n">
        <x:v>0</x:v>
      </x:c>
      <x:c r="AC99" t="n">
        <x:v>0</x:v>
      </x:c>
      <x:c r="AD99" t="n">
        <x:v>2</x:v>
      </x:c>
      <x:c r="AE99" t="str">
        <x:v>Spell utility and named runes.</x:v>
      </x:c>
      <x:c r="AF99" t="str">
        <x:v>Every weapon grants both listed skills. No weapon-granted skill costs 4 EN. Restoration uses a 1-turn cooldown; Fortify/Ward use 2 turns; dual Bastion/Aegis uses 3 turns.</x:v>
      </x:c>
    </x:row>
    <x:row r="100">
      <x:c r="A100" t="str">
        <x:v>WPN-096</x:v>
      </x:c>
      <x:c r="B100" t="str">
        <x:v>Mythic Runic Grimoire</x:v>
      </x:c>
      <x:c r="C100" t="str">
        <x:v>Orange</x:v>
      </x:c>
      <x:c r="D100" t="str">
        <x:v>Runic Grimoire</x:v>
      </x:c>
      <x:c r="E100" t="str">
        <x:v>2H</x:v>
      </x:c>
      <x:c r="F100" t="str">
        <x:v>Mage and Siren</x:v>
      </x:c>
      <x:c r="G100" t="str">
        <x:v>Magical</x:v>
      </x:c>
      <x:c r="H100" t="str">
        <x:v>Focus</x:v>
      </x:c>
      <x:c r="I100" t="n">
        <x:v>8</x:v>
      </x:c>
      <x:c r="J100" t="n">
        <x:v>14</x:v>
      </x:c>
      <x:c r="K100" t="n">
        <x:v>2</x:v>
      </x:c>
      <x:c r="L100" t="str">
        <x:v>Inscribed Burst</x:v>
      </x:c>
      <x:c r="M100" t="n">
        <x:v>100</x:v>
      </x:c>
      <x:c r="N100" t="n">
        <x:v>0</x:v>
      </x:c>
      <x:c r="O100" t="str">
        <x:v>Deal 100% Magic weapon damage and resolve the Grimoire’s selected rune rider.</x:v>
      </x:c>
      <x:c r="P100" t="n">
        <x:v>3</x:v>
      </x:c>
      <x:c r="Q100" t="str">
        <x:v>Runic Bastion</x:v>
      </x:c>
      <x:c r="R100" t="n">
        <x:v>0</x:v>
      </x:c>
      <x:c r="S100" t="n">
        <x:v>3</x:v>
      </x:c>
      <x:c r="T100" t="str">
        <x:v>Gain 5 Fortified Armour (add 5 to current Armour and temporary Maximum Armour) and 7 Ward Magic Armour (add 7 to current Magic Armour and temporary Maximum Magic Armour) for 2 turns.</x:v>
      </x:c>
      <x:c r="U100" t="n">
        <x:v>2</x:v>
      </x:c>
      <x:c r="V100" t="n">
        <x:v>0</x:v>
      </x:c>
      <x:c r="W100" t="n">
        <x:v>0</x:v>
      </x:c>
      <x:c r="X100" t="n">
        <x:v>0</x:v>
      </x:c>
      <x:c r="Y100" t="n">
        <x:v>5</x:v>
      </x:c>
      <x:c r="Z100" t="n">
        <x:v>2</x:v>
      </x:c>
      <x:c r="AA100" t="n">
        <x:v>0</x:v>
      </x:c>
      <x:c r="AB100" t="n">
        <x:v>0</x:v>
      </x:c>
      <x:c r="AC100" t="n">
        <x:v>0</x:v>
      </x:c>
      <x:c r="AD100" t="n">
        <x:v>3</x:v>
      </x:c>
      <x:c r="AE100" t="str">
        <x:v>Spell utility and named runes.</x:v>
      </x:c>
      <x:c r="AF100" t="str">
        <x:v>Every weapon grants both listed skills. No weapon-granted skill costs 4 EN. Restoration uses a 1-turn cooldown; Fortify/Ward use 2 turns; dual Bastion/Aegis uses 3 turns.</x:v>
      </x:c>
    </x:row>
    <x:row r="101">
      <x:c r="A101" t="str">
        <x:v>WPN-097</x:v>
      </x:c>
      <x:c r="B101" t="str">
        <x:v>Bard Song</x:v>
      </x:c>
      <x:c r="C101" t="str">
        <x:v>Grey</x:v>
      </x:c>
      <x:c r="D101" t="str">
        <x:v>Bard Song</x:v>
      </x:c>
      <x:c r="E101" t="str">
        <x:v>2H</x:v>
      </x:c>
      <x:c r="F101" t="str">
        <x:v>Bard only</x:v>
      </x:c>
      <x:c r="G101" t="str">
        <x:v>Magical</x:v>
      </x:c>
      <x:c r="H101" t="str">
        <x:v>Focus</x:v>
      </x:c>
      <x:c r="I101" t="n">
        <x:v>2</x:v>
      </x:c>
      <x:c r="J101" t="n">
        <x:v>4</x:v>
      </x:c>
      <x:c r="K101" t="n">
        <x:v>2</x:v>
      </x:c>
      <x:c r="L101" t="str">
        <x:v>Rallying Chorus</x:v>
      </x:c>
      <x:c r="M101" t="n">
        <x:v>70</x:v>
      </x:c>
      <x:c r="N101" t="n">
        <x:v>0</x:v>
      </x:c>
      <x:c r="O101" t="str">
        <x:v>Deal 70% Magic weapon damage, then choose Might, Dexterity, or Focus and gain Minor Up for 2 turns.</x:v>
      </x:c>
      <x:c r="P101" t="n">
        <x:v>3</x:v>
      </x:c>
      <x:c r="Q101" t="str">
        <x:v>Resonant Refrain</x:v>
      </x:c>
      <x:c r="R101" t="n">
        <x:v>90</x:v>
      </x:c>
      <x:c r="S101" t="n">
        <x:v>1</x:v>
      </x:c>
      <x:c r="T101" t="str">
        <x:v>Deal 90% Magic weapon damage, restore 4 Magic Armour, and gain Minor Resolve Up for 2 turns.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1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str">
        <x:v>Support-oriented magic damage.</x:v>
      </x:c>
      <x:c r="AF101" t="str">
        <x:v>Every weapon grants both listed skills. No weapon-granted skill costs 4 EN. Restoration uses a 1-turn cooldown; Fortify/Ward use 2 turns; dual Bastion/Aegis uses 3 turns.</x:v>
      </x:c>
    </x:row>
    <x:row r="102">
      <x:c r="A102" t="str">
        <x:v>WPN-098</x:v>
      </x:c>
      <x:c r="B102" t="str">
        <x:v>Sturdy Bard Song</x:v>
      </x:c>
      <x:c r="C102" t="str">
        <x:v>Green</x:v>
      </x:c>
      <x:c r="D102" t="str">
        <x:v>Bard Song</x:v>
      </x:c>
      <x:c r="E102" t="str">
        <x:v>2H</x:v>
      </x:c>
      <x:c r="F102" t="str">
        <x:v>Bard only</x:v>
      </x:c>
      <x:c r="G102" t="str">
        <x:v>Magical</x:v>
      </x:c>
      <x:c r="H102" t="str">
        <x:v>Focus</x:v>
      </x:c>
      <x:c r="I102" t="n">
        <x:v>3</x:v>
      </x:c>
      <x:c r="J102" t="n">
        <x:v>5</x:v>
      </x:c>
      <x:c r="K102" t="n">
        <x:v>2</x:v>
      </x:c>
      <x:c r="L102" t="str">
        <x:v>Rallying Chorus</x:v>
      </x:c>
      <x:c r="M102" t="n">
        <x:v>70</x:v>
      </x:c>
      <x:c r="N102" t="n">
        <x:v>0</x:v>
      </x:c>
      <x:c r="O102" t="str">
        <x:v>Deal 70% Magic weapon damage, then choose Might, Dexterity, or Focus and gain Minor Up for 2 turns.</x:v>
      </x:c>
      <x:c r="P102" t="n">
        <x:v>3</x:v>
      </x:c>
      <x:c r="Q102" t="str">
        <x:v>Resonant Refrain</x:v>
      </x:c>
      <x:c r="R102" t="n">
        <x:v>90</x:v>
      </x:c>
      <x:c r="S102" t="n">
        <x:v>1</x:v>
      </x:c>
      <x:c r="T102" t="str">
        <x:v>Deal 90% Magic weapon damage, restore 4 Magic Armour, and gain Minor Resolve Up for 2 turns.</x:v>
      </x:c>
      <x:c r="U102" t="n">
        <x:v>0</x:v>
      </x:c>
      <x:c r="V102" t="n">
        <x:v>0</x:v>
      </x:c>
      <x:c r="W102" t="n">
        <x:v>1</x:v>
      </x:c>
      <x:c r="X102" t="n">
        <x:v>0</x:v>
      </x:c>
      <x:c r="Y102" t="n">
        <x:v>1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str">
        <x:v>Support-oriented magic damage.</x:v>
      </x:c>
      <x:c r="AF102" t="str">
        <x:v>Every weapon grants both listed skills. No weapon-granted skill costs 4 EN. Restoration uses a 1-turn cooldown; Fortify/Ward use 2 turns; dual Bastion/Aegis uses 3 turns.</x:v>
      </x:c>
    </x:row>
    <x:row r="103">
      <x:c r="A103" t="str">
        <x:v>WPN-099</x:v>
      </x:c>
      <x:c r="B103" t="str">
        <x:v>Tempered Bard Song</x:v>
      </x:c>
      <x:c r="C103" t="str">
        <x:v>Blue</x:v>
      </x:c>
      <x:c r="D103" t="str">
        <x:v>Bard Song</x:v>
      </x:c>
      <x:c r="E103" t="str">
        <x:v>2H</x:v>
      </x:c>
      <x:c r="F103" t="str">
        <x:v>Bard only</x:v>
      </x:c>
      <x:c r="G103" t="str">
        <x:v>Magical</x:v>
      </x:c>
      <x:c r="H103" t="str">
        <x:v>Focus</x:v>
      </x:c>
      <x:c r="I103" t="n">
        <x:v>3</x:v>
      </x:c>
      <x:c r="J103" t="n">
        <x:v>6</x:v>
      </x:c>
      <x:c r="K103" t="n">
        <x:v>2</x:v>
      </x:c>
      <x:c r="L103" t="str">
        <x:v>Rallying Chorus</x:v>
      </x:c>
      <x:c r="M103" t="n">
        <x:v>70</x:v>
      </x:c>
      <x:c r="N103" t="n">
        <x:v>0</x:v>
      </x:c>
      <x:c r="O103" t="str">
        <x:v>Deal 70% Magic weapon damage, then choose Might, Dexterity, or Focus and gain Minor Up for 2 turns.</x:v>
      </x:c>
      <x:c r="P103" t="n">
        <x:v>3</x:v>
      </x:c>
      <x:c r="Q103" t="str">
        <x:v>Resonant Refrain</x:v>
      </x:c>
      <x:c r="R103" t="n">
        <x:v>90</x:v>
      </x:c>
      <x:c r="S103" t="n">
        <x:v>1</x:v>
      </x:c>
      <x:c r="T103" t="str">
        <x:v>Deal 90% Magic weapon damage, restore 4 Magic Armour, and gain Minor Resolve Up for 2 turns.</x:v>
      </x:c>
      <x:c r="U103" t="n">
        <x:v>0</x:v>
      </x:c>
      <x:c r="V103" t="n">
        <x:v>0</x:v>
      </x:c>
      <x:c r="W103" t="n">
        <x:v>1</x:v>
      </x:c>
      <x:c r="X103" t="n">
        <x:v>0</x:v>
      </x:c>
      <x:c r="Y103" t="n">
        <x:v>2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str">
        <x:v>Support-oriented magic damage.</x:v>
      </x:c>
      <x:c r="AF103" t="str">
        <x:v>Every weapon grants both listed skills. No weapon-granted skill costs 4 EN. Restoration uses a 1-turn cooldown; Fortify/Ward use 2 turns; dual Bastion/Aegis uses 3 turns.</x:v>
      </x:c>
    </x:row>
    <x:row r="104">
      <x:c r="A104" t="str">
        <x:v>WPN-100</x:v>
      </x:c>
      <x:c r="B104" t="str">
        <x:v>Masterwork Bard Song</x:v>
      </x:c>
      <x:c r="C104" t="str">
        <x:v>Purple</x:v>
      </x:c>
      <x:c r="D104" t="str">
        <x:v>Bard Song</x:v>
      </x:c>
      <x:c r="E104" t="str">
        <x:v>2H</x:v>
      </x:c>
      <x:c r="F104" t="str">
        <x:v>Bard only</x:v>
      </x:c>
      <x:c r="G104" t="str">
        <x:v>Magical</x:v>
      </x:c>
      <x:c r="H104" t="str">
        <x:v>Focus</x:v>
      </x:c>
      <x:c r="I104" t="n">
        <x:v>4</x:v>
      </x:c>
      <x:c r="J104" t="n">
        <x:v>8</x:v>
      </x:c>
      <x:c r="K104" t="n">
        <x:v>2</x:v>
      </x:c>
      <x:c r="L104" t="str">
        <x:v>Rallying Chorus</x:v>
      </x:c>
      <x:c r="M104" t="n">
        <x:v>70</x:v>
      </x:c>
      <x:c r="N104" t="n">
        <x:v>0</x:v>
      </x:c>
      <x:c r="O104" t="str">
        <x:v>Deal 70% Magic weapon damage, then choose Might, Dexterity, or Focus and gain Minor Up for 2 turns.</x:v>
      </x:c>
      <x:c r="P104" t="n">
        <x:v>3</x:v>
      </x:c>
      <x:c r="Q104" t="str">
        <x:v>Resonant Refrain</x:v>
      </x:c>
      <x:c r="R104" t="n">
        <x:v>90</x:v>
      </x:c>
      <x:c r="S104" t="n">
        <x:v>1</x:v>
      </x:c>
      <x:c r="T104" t="str">
        <x:v>Deal 90% Magic weapon damage, restore 4 Magic Armour, and gain Minor Resolve Up for 2 turns.</x:v>
      </x:c>
      <x:c r="U104" t="n">
        <x:v>0</x:v>
      </x:c>
      <x:c r="V104" t="n">
        <x:v>0</x:v>
      </x:c>
      <x:c r="W104" t="n">
        <x:v>1</x:v>
      </x:c>
      <x:c r="X104" t="n">
        <x:v>0</x:v>
      </x:c>
      <x:c r="Y104" t="n">
        <x:v>3</x:v>
      </x:c>
      <x:c r="Z104" t="n">
        <x:v>1</x:v>
      </x:c>
      <x:c r="AA104" t="n">
        <x:v>0</x:v>
      </x:c>
      <x:c r="AB104" t="n">
        <x:v>0</x:v>
      </x:c>
      <x:c r="AC104" t="n">
        <x:v>0</x:v>
      </x:c>
      <x:c r="AD104" t="n">
        <x:v>1</x:v>
      </x:c>
      <x:c r="AE104" t="str">
        <x:v>Support-oriented magic damage.</x:v>
      </x:c>
      <x:c r="AF104" t="str">
        <x:v>Every weapon grants both listed skills. No weapon-granted skill costs 4 EN. Restoration uses a 1-turn cooldown; Fortify/Ward use 2 turns; dual Bastion/Aegis uses 3 turns.</x:v>
      </x:c>
    </x:row>
    <x:row r="105">
      <x:c r="A105" t="str">
        <x:v>WPN-101</x:v>
      </x:c>
      <x:c r="B105" t="str">
        <x:v>Regal Bard Song</x:v>
      </x:c>
      <x:c r="C105" t="str">
        <x:v>Gold</x:v>
      </x:c>
      <x:c r="D105" t="str">
        <x:v>Bard Song</x:v>
      </x:c>
      <x:c r="E105" t="str">
        <x:v>2H</x:v>
      </x:c>
      <x:c r="F105" t="str">
        <x:v>Bard only</x:v>
      </x:c>
      <x:c r="G105" t="str">
        <x:v>Magical</x:v>
      </x:c>
      <x:c r="H105" t="str">
        <x:v>Focus</x:v>
      </x:c>
      <x:c r="I105" t="n">
        <x:v>5</x:v>
      </x:c>
      <x:c r="J105" t="n">
        <x:v>9</x:v>
      </x:c>
      <x:c r="K105" t="n">
        <x:v>2</x:v>
      </x:c>
      <x:c r="L105" t="str">
        <x:v>Rallying Chorus</x:v>
      </x:c>
      <x:c r="M105" t="n">
        <x:v>70</x:v>
      </x:c>
      <x:c r="N105" t="n">
        <x:v>0</x:v>
      </x:c>
      <x:c r="O105" t="str">
        <x:v>Deal 70% Magic weapon damage, then choose Might, Dexterity, or Focus and gain Minor Up for 2 turns.</x:v>
      </x:c>
      <x:c r="P105" t="n">
        <x:v>3</x:v>
      </x:c>
      <x:c r="Q105" t="str">
        <x:v>Resonant Refrain</x:v>
      </x:c>
      <x:c r="R105" t="n">
        <x:v>90</x:v>
      </x:c>
      <x:c r="S105" t="n">
        <x:v>1</x:v>
      </x:c>
      <x:c r="T105" t="str">
        <x:v>Deal 90% Magic weapon damage, restore 4 Magic Armour, and gain Minor Resolve Up for 2 turns.</x:v>
      </x:c>
      <x:c r="U105" t="n">
        <x:v>0</x:v>
      </x:c>
      <x:c r="V105" t="n">
        <x:v>0</x:v>
      </x:c>
      <x:c r="W105" t="n">
        <x:v>2</x:v>
      </x:c>
      <x:c r="X105" t="n">
        <x:v>0</x:v>
      </x:c>
      <x:c r="Y105" t="n">
        <x:v>4</x:v>
      </x:c>
      <x:c r="Z105" t="n">
        <x:v>1</x:v>
      </x:c>
      <x:c r="AA105" t="n">
        <x:v>0</x:v>
      </x:c>
      <x:c r="AB105" t="n">
        <x:v>0</x:v>
      </x:c>
      <x:c r="AC105" t="n">
        <x:v>0</x:v>
      </x:c>
      <x:c r="AD105" t="n">
        <x:v>2</x:v>
      </x:c>
      <x:c r="AE105" t="str">
        <x:v>Support-oriented magic damage.</x:v>
      </x:c>
      <x:c r="AF105" t="str">
        <x:v>Every weapon grants both listed skills. No weapon-granted skill costs 4 EN. Restoration uses a 1-turn cooldown; Fortify/Ward use 2 turns; dual Bastion/Aegis uses 3 turns.</x:v>
      </x:c>
    </x:row>
    <x:row r="106">
      <x:c r="A106" t="str">
        <x:v>WPN-102</x:v>
      </x:c>
      <x:c r="B106" t="str">
        <x:v>Mythic Bard Song</x:v>
      </x:c>
      <x:c r="C106" t="str">
        <x:v>Orange</x:v>
      </x:c>
      <x:c r="D106" t="str">
        <x:v>Bard Song</x:v>
      </x:c>
      <x:c r="E106" t="str">
        <x:v>2H</x:v>
      </x:c>
      <x:c r="F106" t="str">
        <x:v>Bard only</x:v>
      </x:c>
      <x:c r="G106" t="str">
        <x:v>Magical</x:v>
      </x:c>
      <x:c r="H106" t="str">
        <x:v>Focus</x:v>
      </x:c>
      <x:c r="I106" t="n">
        <x:v>6</x:v>
      </x:c>
      <x:c r="J106" t="n">
        <x:v>11</x:v>
      </x:c>
      <x:c r="K106" t="n">
        <x:v>2</x:v>
      </x:c>
      <x:c r="L106" t="str">
        <x:v>Rallying Chorus</x:v>
      </x:c>
      <x:c r="M106" t="n">
        <x:v>70</x:v>
      </x:c>
      <x:c r="N106" t="n">
        <x:v>0</x:v>
      </x:c>
      <x:c r="O106" t="str">
        <x:v>Deal 70% Magic weapon damage, then choose Might, Dexterity, or Focus and gain Minor Up for 2 turns.</x:v>
      </x:c>
      <x:c r="P106" t="n">
        <x:v>3</x:v>
      </x:c>
      <x:c r="Q106" t="str">
        <x:v>Resonant Refrain</x:v>
      </x:c>
      <x:c r="R106" t="n">
        <x:v>90</x:v>
      </x:c>
      <x:c r="S106" t="n">
        <x:v>1</x:v>
      </x:c>
      <x:c r="T106" t="str">
        <x:v>Deal 90% Magic weapon damage, restore 4 Magic Armour, and gain Minor Resolve Up for 2 turns.</x:v>
      </x:c>
      <x:c r="U106" t="n">
        <x:v>0</x:v>
      </x:c>
      <x:c r="V106" t="n">
        <x:v>0</x:v>
      </x:c>
      <x:c r="W106" t="n">
        <x:v>2</x:v>
      </x:c>
      <x:c r="X106" t="n">
        <x:v>0</x:v>
      </x:c>
      <x:c r="Y106" t="n">
        <x:v>5</x:v>
      </x:c>
      <x:c r="Z106" t="n">
        <x:v>2</x:v>
      </x:c>
      <x:c r="AA106" t="n">
        <x:v>0</x:v>
      </x:c>
      <x:c r="AB106" t="n">
        <x:v>0</x:v>
      </x:c>
      <x:c r="AC106" t="n">
        <x:v>0</x:v>
      </x:c>
      <x:c r="AD106" t="n">
        <x:v>3</x:v>
      </x:c>
      <x:c r="AE106" t="str">
        <x:v>Support-oriented magic damage.</x:v>
      </x:c>
      <x:c r="AF106" t="str">
        <x:v>Every weapon grants both listed skills. No weapon-granted skill costs 4 EN. Restoration uses a 1-turn cooldown; Fortify/Ward use 2 turns; dual Bastion/Aegis uses 3 turns.</x:v>
      </x:c>
    </x:row>
    <x:row r="107">
      <x:c r="A107" t="str">
        <x:v>WPN-103</x:v>
      </x:c>
      <x:c r="B107" t="str">
        <x:v>Lament Song</x:v>
      </x:c>
      <x:c r="C107" t="str">
        <x:v>Grey</x:v>
      </x:c>
      <x:c r="D107" t="str">
        <x:v>Lament Song</x:v>
      </x:c>
      <x:c r="E107" t="str">
        <x:v>2H</x:v>
      </x:c>
      <x:c r="F107" t="str">
        <x:v>Bard and Siren</x:v>
      </x:c>
      <x:c r="G107" t="str">
        <x:v>Magical</x:v>
      </x:c>
      <x:c r="H107" t="str">
        <x:v>Focus</x:v>
      </x:c>
      <x:c r="I107" t="n">
        <x:v>2</x:v>
      </x:c>
      <x:c r="J107" t="n">
        <x:v>4</x:v>
      </x:c>
      <x:c r="K107" t="n">
        <x:v>2</x:v>
      </x:c>
      <x:c r="L107" t="str">
        <x:v>Mourning Note</x:v>
      </x:c>
      <x:c r="M107" t="n">
        <x:v>85</x:v>
      </x:c>
      <x:c r="N107" t="n">
        <x:v>0</x:v>
      </x:c>
      <x:c r="O107" t="str">
        <x:v>Deal 85% Magic weapon damage. If Magic Armour is broken and Health is damaged, apply Minor Resolve Down for 2 turns.</x:v>
      </x:c>
      <x:c r="P107" t="n">
        <x:v>3</x:v>
      </x:c>
      <x:c r="Q107" t="str">
        <x:v>Dirge of Fracture</x:v>
      </x:c>
      <x:c r="R107" t="n">
        <x:v>100</x:v>
      </x:c>
      <x:c r="S107" t="n">
        <x:v>1</x:v>
      </x:c>
      <x:c r="T107" t="str">
        <x:v>Deal 100% Magic weapon damage. If Magic Armour is broken and Health is damaged, apply Moderate Resolve Down for 1 turn.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1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str">
        <x:v>Debuff-oriented magic damage.</x:v>
      </x:c>
      <x:c r="AF107" t="str">
        <x:v>Every weapon grants both listed skills. No weapon-granted skill costs 4 EN. Restoration uses a 1-turn cooldown; Fortify/Ward use 2 turns; dual Bastion/Aegis uses 3 turns.</x:v>
      </x:c>
    </x:row>
    <x:row r="108">
      <x:c r="A108" t="str">
        <x:v>WPN-104</x:v>
      </x:c>
      <x:c r="B108" t="str">
        <x:v>Sturdy Lament Song</x:v>
      </x:c>
      <x:c r="C108" t="str">
        <x:v>Green</x:v>
      </x:c>
      <x:c r="D108" t="str">
        <x:v>Lament Song</x:v>
      </x:c>
      <x:c r="E108" t="str">
        <x:v>2H</x:v>
      </x:c>
      <x:c r="F108" t="str">
        <x:v>Bard and Siren</x:v>
      </x:c>
      <x:c r="G108" t="str">
        <x:v>Magical</x:v>
      </x:c>
      <x:c r="H108" t="str">
        <x:v>Focus</x:v>
      </x:c>
      <x:c r="I108" t="n">
        <x:v>3</x:v>
      </x:c>
      <x:c r="J108" t="n">
        <x:v>5</x:v>
      </x:c>
      <x:c r="K108" t="n">
        <x:v>2</x:v>
      </x:c>
      <x:c r="L108" t="str">
        <x:v>Mourning Note</x:v>
      </x:c>
      <x:c r="M108" t="n">
        <x:v>85</x:v>
      </x:c>
      <x:c r="N108" t="n">
        <x:v>0</x:v>
      </x:c>
      <x:c r="O108" t="str">
        <x:v>Deal 85% Magic weapon damage. If Magic Armour is broken and Health is damaged, apply Minor Resolve Down for 2 turns.</x:v>
      </x:c>
      <x:c r="P108" t="n">
        <x:v>3</x:v>
      </x:c>
      <x:c r="Q108" t="str">
        <x:v>Dirge of Fracture</x:v>
      </x:c>
      <x:c r="R108" t="n">
        <x:v>100</x:v>
      </x:c>
      <x:c r="S108" t="n">
        <x:v>1</x:v>
      </x:c>
      <x:c r="T108" t="str">
        <x:v>Deal 100% Magic weapon damage. If Magic Armour is broken and Health is damaged, apply Moderate Resolve Down for 1 turn.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1</x:v>
      </x:c>
      <x:c r="Z108" t="n">
        <x:v>1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str">
        <x:v>Debuff-oriented magic damage.</x:v>
      </x:c>
      <x:c r="AF108" t="str">
        <x:v>Every weapon grants both listed skills. No weapon-granted skill costs 4 EN. Restoration uses a 1-turn cooldown; Fortify/Ward use 2 turns; dual Bastion/Aegis uses 3 turns.</x:v>
      </x:c>
    </x:row>
    <x:row r="109">
      <x:c r="A109" t="str">
        <x:v>WPN-105</x:v>
      </x:c>
      <x:c r="B109" t="str">
        <x:v>Tempered Lament Song</x:v>
      </x:c>
      <x:c r="C109" t="str">
        <x:v>Blue</x:v>
      </x:c>
      <x:c r="D109" t="str">
        <x:v>Lament Song</x:v>
      </x:c>
      <x:c r="E109" t="str">
        <x:v>2H</x:v>
      </x:c>
      <x:c r="F109" t="str">
        <x:v>Bard and Siren</x:v>
      </x:c>
      <x:c r="G109" t="str">
        <x:v>Magical</x:v>
      </x:c>
      <x:c r="H109" t="str">
        <x:v>Focus</x:v>
      </x:c>
      <x:c r="I109" t="n">
        <x:v>3</x:v>
      </x:c>
      <x:c r="J109" t="n">
        <x:v>6</x:v>
      </x:c>
      <x:c r="K109" t="n">
        <x:v>2</x:v>
      </x:c>
      <x:c r="L109" t="str">
        <x:v>Mourning Note</x:v>
      </x:c>
      <x:c r="M109" t="n">
        <x:v>85</x:v>
      </x:c>
      <x:c r="N109" t="n">
        <x:v>0</x:v>
      </x:c>
      <x:c r="O109" t="str">
        <x:v>Deal 85% Magic weapon damage. If Magic Armour is broken and Health is damaged, apply Minor Resolve Down for 2 turns.</x:v>
      </x:c>
      <x:c r="P109" t="n">
        <x:v>3</x:v>
      </x:c>
      <x:c r="Q109" t="str">
        <x:v>Dirge of Fracture</x:v>
      </x:c>
      <x:c r="R109" t="n">
        <x:v>100</x:v>
      </x:c>
      <x:c r="S109" t="n">
        <x:v>1</x:v>
      </x:c>
      <x:c r="T109" t="str">
        <x:v>Deal 100% Magic weapon damage. If Magic Armour is broken and Health is damaged, apply Moderate Resolve Down for 1 turn.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2</x:v>
      </x:c>
      <x:c r="Z109" t="n">
        <x:v>1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str">
        <x:v>Debuff-oriented magic damage.</x:v>
      </x:c>
      <x:c r="AF109" t="str">
        <x:v>Every weapon grants both listed skills. No weapon-granted skill costs 4 EN. Restoration uses a 1-turn cooldown; Fortify/Ward use 2 turns; dual Bastion/Aegis uses 3 turns.</x:v>
      </x:c>
    </x:row>
    <x:row r="110">
      <x:c r="A110" t="str">
        <x:v>WPN-106</x:v>
      </x:c>
      <x:c r="B110" t="str">
        <x:v>Masterwork Lament Song</x:v>
      </x:c>
      <x:c r="C110" t="str">
        <x:v>Purple</x:v>
      </x:c>
      <x:c r="D110" t="str">
        <x:v>Lament Song</x:v>
      </x:c>
      <x:c r="E110" t="str">
        <x:v>2H</x:v>
      </x:c>
      <x:c r="F110" t="str">
        <x:v>Bard and Siren</x:v>
      </x:c>
      <x:c r="G110" t="str">
        <x:v>Magical</x:v>
      </x:c>
      <x:c r="H110" t="str">
        <x:v>Focus</x:v>
      </x:c>
      <x:c r="I110" t="n">
        <x:v>4</x:v>
      </x:c>
      <x:c r="J110" t="n">
        <x:v>8</x:v>
      </x:c>
      <x:c r="K110" t="n">
        <x:v>2</x:v>
      </x:c>
      <x:c r="L110" t="str">
        <x:v>Mourning Note</x:v>
      </x:c>
      <x:c r="M110" t="n">
        <x:v>85</x:v>
      </x:c>
      <x:c r="N110" t="n">
        <x:v>0</x:v>
      </x:c>
      <x:c r="O110" t="str">
        <x:v>Deal 85% Magic weapon damage. If Magic Armour is broken and Health is damaged, apply Minor Resolve Down for 2 turns.</x:v>
      </x:c>
      <x:c r="P110" t="n">
        <x:v>3</x:v>
      </x:c>
      <x:c r="Q110" t="str">
        <x:v>Dirge of Fracture</x:v>
      </x:c>
      <x:c r="R110" t="n">
        <x:v>100</x:v>
      </x:c>
      <x:c r="S110" t="n">
        <x:v>1</x:v>
      </x:c>
      <x:c r="T110" t="str">
        <x:v>Deal 100% Magic weapon damage. If Magic Armour is broken and Health is damaged, apply Moderate Resolve Down for 1 turn.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3</x:v>
      </x:c>
      <x:c r="Z110" t="n">
        <x:v>1</x:v>
      </x:c>
      <x:c r="AA110" t="n">
        <x:v>1</x:v>
      </x:c>
      <x:c r="AB110" t="n">
        <x:v>0</x:v>
      </x:c>
      <x:c r="AC110" t="n">
        <x:v>0</x:v>
      </x:c>
      <x:c r="AD110" t="n">
        <x:v>1</x:v>
      </x:c>
      <x:c r="AE110" t="str">
        <x:v>Debuff-oriented magic damage.</x:v>
      </x:c>
      <x:c r="AF110" t="str">
        <x:v>Every weapon grants both listed skills. No weapon-granted skill costs 4 EN. Restoration uses a 1-turn cooldown; Fortify/Ward use 2 turns; dual Bastion/Aegis uses 3 turns.</x:v>
      </x:c>
    </x:row>
    <x:row r="111">
      <x:c r="A111" t="str">
        <x:v>WPN-107</x:v>
      </x:c>
      <x:c r="B111" t="str">
        <x:v>Regal Lament Song</x:v>
      </x:c>
      <x:c r="C111" t="str">
        <x:v>Gold</x:v>
      </x:c>
      <x:c r="D111" t="str">
        <x:v>Lament Song</x:v>
      </x:c>
      <x:c r="E111" t="str">
        <x:v>2H</x:v>
      </x:c>
      <x:c r="F111" t="str">
        <x:v>Bard and Siren</x:v>
      </x:c>
      <x:c r="G111" t="str">
        <x:v>Magical</x:v>
      </x:c>
      <x:c r="H111" t="str">
        <x:v>Focus</x:v>
      </x:c>
      <x:c r="I111" t="n">
        <x:v>5</x:v>
      </x:c>
      <x:c r="J111" t="n">
        <x:v>9</x:v>
      </x:c>
      <x:c r="K111" t="n">
        <x:v>2</x:v>
      </x:c>
      <x:c r="L111" t="str">
        <x:v>Mourning Note</x:v>
      </x:c>
      <x:c r="M111" t="n">
        <x:v>85</x:v>
      </x:c>
      <x:c r="N111" t="n">
        <x:v>0</x:v>
      </x:c>
      <x:c r="O111" t="str">
        <x:v>Deal 85% Magic weapon damage. If Magic Armour is broken and Health is damaged, apply Minor Resolve Down for 2 turns.</x:v>
      </x:c>
      <x:c r="P111" t="n">
        <x:v>3</x:v>
      </x:c>
      <x:c r="Q111" t="str">
        <x:v>Dirge of Fracture</x:v>
      </x:c>
      <x:c r="R111" t="n">
        <x:v>100</x:v>
      </x:c>
      <x:c r="S111" t="n">
        <x:v>1</x:v>
      </x:c>
      <x:c r="T111" t="str">
        <x:v>Deal 100% Magic weapon damage. If Magic Armour is broken and Health is damaged, apply Moderate Resolve Down for 1 turn.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4</x:v>
      </x:c>
      <x:c r="Z111" t="n">
        <x:v>2</x:v>
      </x:c>
      <x:c r="AA111" t="n">
        <x:v>1</x:v>
      </x:c>
      <x:c r="AB111" t="n">
        <x:v>0</x:v>
      </x:c>
      <x:c r="AC111" t="n">
        <x:v>0</x:v>
      </x:c>
      <x:c r="AD111" t="n">
        <x:v>2</x:v>
      </x:c>
      <x:c r="AE111" t="str">
        <x:v>Debuff-oriented magic damage.</x:v>
      </x:c>
      <x:c r="AF111" t="str">
        <x:v>Every weapon grants both listed skills. No weapon-granted skill costs 4 EN. Restoration uses a 1-turn cooldown; Fortify/Ward use 2 turns; dual Bastion/Aegis uses 3 turns.</x:v>
      </x:c>
    </x:row>
    <x:row r="112">
      <x:c r="A112" t="str">
        <x:v>WPN-108</x:v>
      </x:c>
      <x:c r="B112" t="str">
        <x:v>Mythic Lament Song</x:v>
      </x:c>
      <x:c r="C112" t="str">
        <x:v>Orange</x:v>
      </x:c>
      <x:c r="D112" t="str">
        <x:v>Lament Song</x:v>
      </x:c>
      <x:c r="E112" t="str">
        <x:v>2H</x:v>
      </x:c>
      <x:c r="F112" t="str">
        <x:v>Bard and Siren</x:v>
      </x:c>
      <x:c r="G112" t="str">
        <x:v>Magical</x:v>
      </x:c>
      <x:c r="H112" t="str">
        <x:v>Focus</x:v>
      </x:c>
      <x:c r="I112" t="n">
        <x:v>6</x:v>
      </x:c>
      <x:c r="J112" t="n">
        <x:v>11</x:v>
      </x:c>
      <x:c r="K112" t="n">
        <x:v>2</x:v>
      </x:c>
      <x:c r="L112" t="str">
        <x:v>Mourning Note</x:v>
      </x:c>
      <x:c r="M112" t="n">
        <x:v>85</x:v>
      </x:c>
      <x:c r="N112" t="n">
        <x:v>0</x:v>
      </x:c>
      <x:c r="O112" t="str">
        <x:v>Deal 85% Magic weapon damage. If Magic Armour is broken and Health is damaged, apply Minor Resolve Down for 2 turns.</x:v>
      </x:c>
      <x:c r="P112" t="n">
        <x:v>3</x:v>
      </x:c>
      <x:c r="Q112" t="str">
        <x:v>Dirge of Fracture</x:v>
      </x:c>
      <x:c r="R112" t="n">
        <x:v>100</x:v>
      </x:c>
      <x:c r="S112" t="n">
        <x:v>1</x:v>
      </x:c>
      <x:c r="T112" t="str">
        <x:v>Deal 100% Magic weapon damage. If Magic Armour is broken and Health is damaged, apply Moderate Resolve Down for 1 turn.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5</x:v>
      </x:c>
      <x:c r="Z112" t="n">
        <x:v>2</x:v>
      </x:c>
      <x:c r="AA112" t="n">
        <x:v>2</x:v>
      </x:c>
      <x:c r="AB112" t="n">
        <x:v>0</x:v>
      </x:c>
      <x:c r="AC112" t="n">
        <x:v>0</x:v>
      </x:c>
      <x:c r="AD112" t="n">
        <x:v>3</x:v>
      </x:c>
      <x:c r="AE112" t="str">
        <x:v>Debuff-oriented magic damage.</x:v>
      </x:c>
      <x:c r="AF112" t="str">
        <x:v>Every weapon grants both listed skills. No weapon-granted skill costs 4 EN. Restoration uses a 1-turn cooldown; Fortify/Ward use 2 turns; dual Bastion/Aegis uses 3 turns.</x:v>
      </x:c>
    </x:row>
    <x:row r="113">
      <x:c r="A113" s="41" t="str">
        <x:v>WPN-B01</x:v>
      </x:c>
      <x:c r="B113" s="41" t="str">
        <x:v>Tail Wand</x:v>
      </x:c>
      <x:c r="C113" s="41" t="str">
        <x:v>Basic</x:v>
      </x:c>
      <x:c r="D113" s="41" t="str">
        <x:v>Tail Wand</x:v>
      </x:c>
      <x:c r="E113" s="41" t="str">
        <x:v>1H</x:v>
      </x:c>
      <x:c r="F113" s="41" t="str">
        <x:v>Mage and Siren</x:v>
      </x:c>
      <x:c r="G113" s="41" t="str">
        <x:v>Magical</x:v>
      </x:c>
      <x:c r="H113" s="41" t="str">
        <x:v>Focus</x:v>
      </x:c>
      <x:c r="I113" s="41" t="n">
        <x:v>1</x:v>
      </x:c>
      <x:c r="J113" s="41" t="n">
        <x:v>2</x:v>
      </x:c>
      <x:c r="K113" s="41" t="n">
        <x:v>1</x:v>
      </x:c>
      <x:c r="L113" s="41" t="str">
        <x:v>Basic Attack</x:v>
      </x:c>
      <x:c r="M113" s="41" t="n">
        <x:v>100</x:v>
      </x:c>
      <x:c r="N113" s="41" t="n">
        <x:v>0</x:v>
      </x:c>
      <x:c r="O113" s="41" t="str">
        <x:v>Deal 100% Magic weapon damage using Focus.</x:v>
      </x:c>
      <x:c r="P113" s="41"/>
      <x:c r="Q113" s="41"/>
      <x:c r="R113" s="41"/>
      <x:c r="S113" s="41"/>
      <x:c r="T113" s="41" t="str">
        <x:v>No additional skill.</x:v>
      </x:c>
      <x:c r="U113" s="41" t="n">
        <x:v>0</x:v>
      </x:c>
      <x:c r="V113" s="41" t="n">
        <x:v>0</x:v>
      </x:c>
      <x:c r="W113" s="41" t="n">
        <x:v>0</x:v>
      </x:c>
      <x:c r="X113" s="41" t="n">
        <x:v>0</x:v>
      </x:c>
      <x:c r="Y113" s="41" t="n">
        <x:v>0</x:v>
      </x:c>
      <x:c r="Z113" s="41" t="n">
        <x:v>0</x:v>
      </x:c>
      <x:c r="AA113" s="41" t="n">
        <x:v>0</x:v>
      </x:c>
      <x:c r="AB113" s="41" t="n">
        <x:v>0</x:v>
      </x:c>
      <x:c r="AC113" s="41" t="n">
        <x:v>0</x:v>
      </x:c>
      <x:c r="AD113" s="41" t="n">
        <x:v>0</x:v>
      </x:c>
      <x:c r="AE113" s="41" t="str">
        <x:v>Starter magical implement.</x:v>
      </x:c>
      <x:c r="AF113" s="41" t="str">
        <x:v>Starting weapon. Grants no extra weapon skills. Its Basic Attack replaces the universal basic attack and costs 1 EN, using 100% of the weapon's damage range plus the listed scaling stat. Design reference: https://divinity.fandom.com/wiki/Attributes_and_Abilities_%28Original_Sin_2%29</x:v>
      </x:c>
    </x:row>
    <x:row r="114">
      <x:c r="A114" s="41" t="str">
        <x:v>WPN-B02</x:v>
      </x:c>
      <x:c r="B114" s="41" t="str">
        <x:v>Beak Stab</x:v>
      </x:c>
      <x:c r="C114" s="41" t="str">
        <x:v>Basic</x:v>
      </x:c>
      <x:c r="D114" s="41" t="str">
        <x:v>Beak Stab</x:v>
      </x:c>
      <x:c r="E114" s="41" t="str">
        <x:v>Natural</x:v>
      </x:c>
      <x:c r="F114" s="41" t="str">
        <x:v>Knight and Brute</x:v>
      </x:c>
      <x:c r="G114" s="41" t="str">
        <x:v>Physical Strength</x:v>
      </x:c>
      <x:c r="H114" s="41" t="str">
        <x:v>Might</x:v>
      </x:c>
      <x:c r="I114" s="41" t="n">
        <x:v>2</x:v>
      </x:c>
      <x:c r="J114" s="41" t="n">
        <x:v>3</x:v>
      </x:c>
      <x:c r="K114" s="41" t="n">
        <x:v>1</x:v>
      </x:c>
      <x:c r="L114" s="41" t="str">
        <x:v>Basic Attack</x:v>
      </x:c>
      <x:c r="M114" s="41" t="n">
        <x:v>100</x:v>
      </x:c>
      <x:c r="N114" s="41" t="n">
        <x:v>0</x:v>
      </x:c>
      <x:c r="O114" s="41" t="str">
        <x:v>Deal 100% Strength weapon damage using Might.</x:v>
      </x:c>
      <x:c r="P114" s="41"/>
      <x:c r="Q114" s="41"/>
      <x:c r="R114" s="41"/>
      <x:c r="S114" s="41"/>
      <x:c r="T114" s="41" t="str">
        <x:v>No additional skill.</x:v>
      </x:c>
      <x:c r="U114" s="41" t="n">
        <x:v>0</x:v>
      </x:c>
      <x:c r="V114" s="41" t="n">
        <x:v>0</x:v>
      </x:c>
      <x:c r="W114" s="41" t="n">
        <x:v>0</x:v>
      </x:c>
      <x:c r="X114" s="41" t="n">
        <x:v>0</x:v>
      </x:c>
      <x:c r="Y114" s="41" t="n">
        <x:v>0</x:v>
      </x:c>
      <x:c r="Z114" s="41" t="n">
        <x:v>0</x:v>
      </x:c>
      <x:c r="AA114" s="41" t="n">
        <x:v>0</x:v>
      </x:c>
      <x:c r="AB114" s="41" t="n">
        <x:v>0</x:v>
      </x:c>
      <x:c r="AC114" s="41" t="n">
        <x:v>0</x:v>
      </x:c>
      <x:c r="AD114" s="41" t="n">
        <x:v>0</x:v>
      </x:c>
      <x:c r="AE114" s="41" t="str">
        <x:v>Starter heavy physical strike.</x:v>
      </x:c>
      <x:c r="AF114" s="41" t="str">
        <x:v>Starting weapon. Grants no extra weapon skills. Its Basic Attack replaces the universal basic attack and costs 1 EN, using 100% of the weapon's damage range plus the listed scaling stat. Design reference: https://divinity.fandom.com/wiki/Attributes_and_Abilities_%28Original_Sin_2%29</x:v>
      </x:c>
    </x:row>
    <x:row r="115">
      <x:c r="A115" s="41" t="str">
        <x:v>WPN-B03</x:v>
      </x:c>
      <x:c r="B115" s="41" t="str">
        <x:v>Broken Song</x:v>
      </x:c>
      <x:c r="C115" s="41" t="str">
        <x:v>Basic</x:v>
      </x:c>
      <x:c r="D115" s="41" t="str">
        <x:v>Broken Song</x:v>
      </x:c>
      <x:c r="E115" s="41" t="str">
        <x:v>Natural</x:v>
      </x:c>
      <x:c r="F115" s="41" t="str">
        <x:v>Bard only</x:v>
      </x:c>
      <x:c r="G115" s="41" t="str">
        <x:v>Magical</x:v>
      </x:c>
      <x:c r="H115" s="41" t="str">
        <x:v>Focus</x:v>
      </x:c>
      <x:c r="I115" s="41" t="n">
        <x:v>1</x:v>
      </x:c>
      <x:c r="J115" s="41" t="n">
        <x:v>2</x:v>
      </x:c>
      <x:c r="K115" s="41" t="n">
        <x:v>1</x:v>
      </x:c>
      <x:c r="L115" s="41" t="str">
        <x:v>Basic Attack</x:v>
      </x:c>
      <x:c r="M115" s="41" t="n">
        <x:v>100</x:v>
      </x:c>
      <x:c r="N115" s="41" t="n">
        <x:v>0</x:v>
      </x:c>
      <x:c r="O115" s="41" t="str">
        <x:v>Deal 100% Magic weapon damage using Focus.</x:v>
      </x:c>
      <x:c r="P115" s="41"/>
      <x:c r="Q115" s="41"/>
      <x:c r="R115" s="41"/>
      <x:c r="S115" s="41"/>
      <x:c r="T115" s="41" t="str">
        <x:v>No additional skill.</x:v>
      </x:c>
      <x:c r="U115" s="41" t="n">
        <x:v>0</x:v>
      </x:c>
      <x:c r="V115" s="41" t="n">
        <x:v>0</x:v>
      </x:c>
      <x:c r="W115" s="41" t="n">
        <x:v>0</x:v>
      </x:c>
      <x:c r="X115" s="41" t="n">
        <x:v>0</x:v>
      </x:c>
      <x:c r="Y115" s="41" t="n">
        <x:v>0</x:v>
      </x:c>
      <x:c r="Z115" s="41" t="n">
        <x:v>0</x:v>
      </x:c>
      <x:c r="AA115" s="41" t="n">
        <x:v>0</x:v>
      </x:c>
      <x:c r="AB115" s="41" t="n">
        <x:v>0</x:v>
      </x:c>
      <x:c r="AC115" s="41" t="n">
        <x:v>0</x:v>
      </x:c>
      <x:c r="AD115" s="41" t="n">
        <x:v>0</x:v>
      </x:c>
      <x:c r="AE115" s="41" t="str">
        <x:v>Starter resonant attack.</x:v>
      </x:c>
      <x:c r="AF115" s="41" t="str">
        <x:v>Starting weapon. Grants no extra weapon skills. Its Basic Attack replaces the universal basic attack and costs 1 EN, using 100% of the weapon's damage range plus the listed scaling stat. Design reference: https://divinity.fandom.com/wiki/Attributes_and_Abilities_%28Original_Sin_2%29</x:v>
      </x:c>
    </x:row>
    <x:row r="116">
      <x:c r="A116" s="41" t="str">
        <x:v>WPN-B04</x:v>
      </x:c>
      <x:c r="B116" s="41" t="str">
        <x:v>Talon Scratch</x:v>
      </x:c>
      <x:c r="C116" s="41" t="str">
        <x:v>Basic</x:v>
      </x:c>
      <x:c r="D116" s="41" t="str">
        <x:v>Talon Scratch</x:v>
      </x:c>
      <x:c r="E116" s="41" t="str">
        <x:v>Natural</x:v>
      </x:c>
      <x:c r="F116" s="41" t="str">
        <x:v>Rogue only</x:v>
      </x:c>
      <x:c r="G116" s="41" t="str">
        <x:v>Physical Finesse</x:v>
      </x:c>
      <x:c r="H116" s="41" t="str">
        <x:v>Dexterity</x:v>
      </x:c>
      <x:c r="I116" s="41" t="n">
        <x:v>1</x:v>
      </x:c>
      <x:c r="J116" s="41" t="n">
        <x:v>2</x:v>
      </x:c>
      <x:c r="K116" s="41" t="n">
        <x:v>1</x:v>
      </x:c>
      <x:c r="L116" s="41" t="str">
        <x:v>Basic Attack</x:v>
      </x:c>
      <x:c r="M116" s="41" t="n">
        <x:v>100</x:v>
      </x:c>
      <x:c r="N116" s="41" t="n">
        <x:v>0</x:v>
      </x:c>
      <x:c r="O116" s="41" t="str">
        <x:v>Deal 100% Finesse weapon damage using Dexterity.</x:v>
      </x:c>
      <x:c r="P116" s="41"/>
      <x:c r="Q116" s="41"/>
      <x:c r="R116" s="41"/>
      <x:c r="S116" s="41"/>
      <x:c r="T116" s="41" t="str">
        <x:v>No additional skill.</x:v>
      </x:c>
      <x:c r="U116" s="41" t="n">
        <x:v>0</x:v>
      </x:c>
      <x:c r="V116" s="41" t="n">
        <x:v>0</x:v>
      </x:c>
      <x:c r="W116" s="41" t="n">
        <x:v>0</x:v>
      </x:c>
      <x:c r="X116" s="41" t="n">
        <x:v>0</x:v>
      </x:c>
      <x:c r="Y116" s="41" t="n">
        <x:v>0</x:v>
      </x:c>
      <x:c r="Z116" s="41" t="n">
        <x:v>0</x:v>
      </x:c>
      <x:c r="AA116" s="41" t="n">
        <x:v>0</x:v>
      </x:c>
      <x:c r="AB116" s="41" t="n">
        <x:v>0</x:v>
      </x:c>
      <x:c r="AC116" s="41" t="n">
        <x:v>0</x:v>
      </x:c>
      <x:c r="AD116" s="41" t="n">
        <x:v>0</x:v>
      </x:c>
      <x:c r="AE116" s="41" t="str">
        <x:v>Starter finesse attack.</x:v>
      </x:c>
      <x:c r="AF116" s="41" t="str">
        <x:v>Starting weapon. Grants no extra weapon skills. Its Basic Attack replaces the universal basic attack and costs 1 EN, using 100% of the weapon's damage range plus the listed scaling stat. Design reference: https://divinity.fandom.com/wiki/Attributes_and_Abilities_%28Original_Sin_2%29</x:v>
      </x:c>
    </x:row>
    <x:row r="117">
      <x:c r="A117" s="41" t="str">
        <x:v>WPN-B05</x:v>
      </x:c>
      <x:c r="B117" s="41" t="str">
        <x:v>Plume Syphon</x:v>
      </x:c>
      <x:c r="C117" s="41" t="str">
        <x:v>Basic</x:v>
      </x:c>
      <x:c r="D117" s="41" t="str">
        <x:v>Plume Syphon</x:v>
      </x:c>
      <x:c r="E117" s="41" t="str">
        <x:v>Natural</x:v>
      </x:c>
      <x:c r="F117" s="41" t="str">
        <x:v>Inquisitor only</x:v>
      </x:c>
      <x:c r="G117" s="41" t="str">
        <x:v>Magical</x:v>
      </x:c>
      <x:c r="H117" s="41" t="str">
        <x:v>Focus</x:v>
      </x:c>
      <x:c r="I117" s="41" t="n">
        <x:v>1</x:v>
      </x:c>
      <x:c r="J117" s="41" t="n">
        <x:v>2</x:v>
      </x:c>
      <x:c r="K117" s="41" t="n">
        <x:v>1</x:v>
      </x:c>
      <x:c r="L117" s="41" t="str">
        <x:v>Basic Attack</x:v>
      </x:c>
      <x:c r="M117" s="41" t="n">
        <x:v>100</x:v>
      </x:c>
      <x:c r="N117" s="41" t="n">
        <x:v>0</x:v>
      </x:c>
      <x:c r="O117" s="41" t="str">
        <x:v>Deal 100% Magic weapon damage using Focus.</x:v>
      </x:c>
      <x:c r="P117" s="41"/>
      <x:c r="Q117" s="41"/>
      <x:c r="R117" s="41"/>
      <x:c r="S117" s="41"/>
      <x:c r="T117" s="41" t="str">
        <x:v>No additional skill.</x:v>
      </x:c>
      <x:c r="U117" s="41" t="n">
        <x:v>0</x:v>
      </x:c>
      <x:c r="V117" s="41" t="n">
        <x:v>0</x:v>
      </x:c>
      <x:c r="W117" s="41" t="n">
        <x:v>0</x:v>
      </x:c>
      <x:c r="X117" s="41" t="n">
        <x:v>0</x:v>
      </x:c>
      <x:c r="Y117" s="41" t="n">
        <x:v>0</x:v>
      </x:c>
      <x:c r="Z117" s="41" t="n">
        <x:v>0</x:v>
      </x:c>
      <x:c r="AA117" s="41" t="n">
        <x:v>0</x:v>
      </x:c>
      <x:c r="AB117" s="41" t="n">
        <x:v>0</x:v>
      </x:c>
      <x:c r="AC117" s="41" t="n">
        <x:v>0</x:v>
      </x:c>
      <x:c r="AD117" s="41" t="n">
        <x:v>0</x:v>
      </x:c>
      <x:c r="AE117" s="41" t="str">
        <x:v>Starter siphoning attack.</x:v>
      </x:c>
      <x:c r="AF117" s="41" t="str">
        <x:v>Starting weapon. Grants no extra weapon skills. Its Basic Attack replaces the universal basic attack and costs 1 EN, using 100% of the weapon's damage range plus the listed scaling stat. Design reference: https://divinity.fandom.com/wiki/Attributes_and_Abilities_%28Original_Sin_2%29</x:v>
      </x:c>
    </x:row>
  </x:sheetData>
  <x:mergeCells>
    <x:mergeCell ref="A1:AF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sheetData>
    <x:row r="1">
      <x:c r="A1" t="str">
        <x:v>Armour-Plumage Catalogue — Expanded Equipment Skills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</x:row>
    <x:row r="4">
      <x:c r="A4" t="str">
        <x:v>Item ID</x:v>
      </x:c>
      <x:c r="B4" t="str">
        <x:v>Item Name</x:v>
      </x:c>
      <x:c r="C4" t="str">
        <x:v>Rarity</x:v>
      </x:c>
      <x:c r="D4" t="str">
        <x:v>Set</x:v>
      </x:c>
      <x:c r="E4" t="str">
        <x:v>Slot</x:v>
      </x:c>
      <x:c r="F4" t="str">
        <x:v>Weight</x:v>
      </x:c>
      <x:c r="G4" t="str">
        <x:v>Best Suited</x:v>
      </x:c>
      <x:c r="H4" t="str">
        <x:v>Armour</x:v>
      </x:c>
      <x:c r="I4" t="str">
        <x:v>Magic Armour</x:v>
      </x:c>
      <x:c r="J4" t="str">
        <x:v>Vitality</x:v>
      </x:c>
      <x:c r="K4" t="str">
        <x:v>Might</x:v>
      </x:c>
      <x:c r="L4" t="str">
        <x:v>Dexterity</x:v>
      </x:c>
      <x:c r="M4" t="str">
        <x:v>Guard</x:v>
      </x:c>
      <x:c r="N4" t="str">
        <x:v>Focus</x:v>
      </x:c>
      <x:c r="O4" t="str">
        <x:v>Resolve</x:v>
      </x:c>
      <x:c r="P4" t="str">
        <x:v>Agility</x:v>
      </x:c>
      <x:c r="Q4" t="str">
        <x:v>Agility Penalty</x:v>
      </x:c>
      <x:c r="R4" t="str">
        <x:v>2-Piece Bonus</x:v>
      </x:c>
      <x:c r="S4" t="str">
        <x:v>3-Piece Bonus</x:v>
      </x:c>
      <x:c r="T4" t="str">
        <x:v>Eligible Infusions</x:v>
      </x:c>
      <x:c r="U4" t="str">
        <x:v>Identity</x:v>
      </x:c>
      <x:c r="V4" t="str">
        <x:v>Rules Note</x:v>
      </x:c>
      <x:c r="W4" t="str">
        <x:v>Status</x:v>
      </x:c>
      <x:c r="X4" t="str">
        <x:v>Skill Pool A (2 EN)</x:v>
      </x:c>
      <x:c r="Y4" t="str">
        <x:v>Skill Pool B (3 EN)</x:v>
      </x:c>
      <x:c r="Z4" t="str">
        <x:v>Default Granted Skill</x:v>
      </x:c>
      <x:c r="AA4" t="str">
        <x:v>Skill EN</x:v>
      </x:c>
      <x:c r="AB4" t="str">
        <x:v>Cooldown</x:v>
      </x:c>
      <x:c r="AC4" t="str">
        <x:v>Granted Skill Effect</x:v>
      </x:c>
    </x:row>
    <x:row r="5">
      <x:c r="A5" t="str">
        <x:v>ARM-001</x:v>
      </x:c>
      <x:c r="B5" t="str">
        <x:v>Ironfeather Harness</x:v>
      </x:c>
      <x:c r="C5" t="str">
        <x:v>Grey</x:v>
      </x:c>
      <x:c r="D5" t="str">
        <x:v>Ironfeather Bastion</x:v>
      </x:c>
      <x:c r="E5" t="str">
        <x:v>Armour/Plumage</x:v>
      </x:c>
      <x:c r="F5" t="str">
        <x:v>Heavy</x:v>
      </x:c>
      <x:c r="G5" t="str">
        <x:v>Knight, Brute, physical Inquisitor</x:v>
      </x:c>
      <x:c r="H5" t="n">
        <x:v>4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1</x:v>
      </x:c>
      <x:c r="N5" t="n">
        <x:v>0</x:v>
      </x:c>
      <x:c r="O5" t="n">
        <x:v>0</x:v>
      </x:c>
      <x:c r="P5" t="n">
        <x:v>0</x:v>
      </x:c>
      <x:c r="Q5" t="n">
        <x:v>-2</x:v>
      </x:c>
      <x:c r="R5" t="str">
        <x:v>While Armour remains, gain +2 Guard.</x:v>
      </x:c>
      <x:c r="S5" t="str">
        <x:v>First time Armour is depleted each combat, restore 1 Armour.</x:v>
      </x:c>
      <x:c r="T5" t="str">
        <x:v>Ember; Frost; Storm; Venom; Blood; Lunar; Solar</x:v>
      </x:c>
      <x:c r="U5" t="str">
        <x:v>Heavy physical protection; Armour-focused.</x:v>
      </x:c>
      <x:c r="V5" t="str">
        <x:v>Matching protection blocks its ailments. Restoration: 1-turn cooldown and no overflow. Fortify/Ward: heal and overflow with 2-turn cooldown. Dual Bastion/Aegis: 3-turn cooldown.</x:v>
      </x:c>
      <x:c r="W5" t="str">
        <x:v>Active</x:v>
      </x:c>
      <x:c r="X5" t="str">
        <x:v>Reinforce Plumage</x:v>
      </x:c>
      <x:c r="Y5" t="str">
        <x:v>Iron Fortify</x:v>
      </x:c>
      <x:c r="Z5" t="str">
        <x:v>None</x:v>
      </x:c>
      <x:c r="AA5" t="n">
        <x:v>0</x:v>
      </x:c>
      <x:c r="AB5" t="n">
        <x:v>0</x:v>
      </x:c>
      <x:c r="AC5" t="str">
        <x:v>No granted equipment skill at Grey rarity.</x:v>
      </x:c>
    </x:row>
    <x:row r="6">
      <x:c r="A6" t="str">
        <x:v>ARM-002</x:v>
      </x:c>
      <x:c r="B6" t="str">
        <x:v>Sturdy Ironfeather Harness</x:v>
      </x:c>
      <x:c r="C6" t="str">
        <x:v>Green</x:v>
      </x:c>
      <x:c r="D6" t="str">
        <x:v>Ironfeather Bastion</x:v>
      </x:c>
      <x:c r="E6" t="str">
        <x:v>Armour/Plumage</x:v>
      </x:c>
      <x:c r="F6" t="str">
        <x:v>Heavy</x:v>
      </x:c>
      <x:c r="G6" t="str">
        <x:v>Knight, Brute, physical Inquisitor</x:v>
      </x:c>
      <x:c r="H6" t="n">
        <x:v>6</x:v>
      </x:c>
      <x:c r="I6" t="n">
        <x:v>1</x:v>
      </x:c>
      <x:c r="J6" t="n">
        <x:v>1</x:v>
      </x:c>
      <x:c r="K6" t="n">
        <x:v>0</x:v>
      </x:c>
      <x:c r="L6" t="n">
        <x:v>0</x:v>
      </x:c>
      <x:c r="M6" t="n">
        <x:v>1</x:v>
      </x:c>
      <x:c r="N6" t="n">
        <x:v>0</x:v>
      </x:c>
      <x:c r="O6" t="n">
        <x:v>0</x:v>
      </x:c>
      <x:c r="P6" t="n">
        <x:v>0</x:v>
      </x:c>
      <x:c r="Q6" t="n">
        <x:v>-2</x:v>
      </x:c>
      <x:c r="R6" t="str">
        <x:v>While Armour remains, gain +2 Guard.</x:v>
      </x:c>
      <x:c r="S6" t="str">
        <x:v>First time Armour is depleted each combat, restore 1 Armour.</x:v>
      </x:c>
      <x:c r="T6" t="str">
        <x:v>Ember; Frost; Storm; Venom; Blood; Lunar; Solar</x:v>
      </x:c>
      <x:c r="U6" t="str">
        <x:v>Heavy physical protection; Armour-focused.</x:v>
      </x:c>
      <x:c r="V6" t="str">
        <x:v>Matching protection blocks its ailments. Restoration: 1-turn cooldown and no overflow. Fortify/Ward: heal and overflow with 2-turn cooldown. Dual Bastion/Aegis: 3-turn cooldown.</x:v>
      </x:c>
      <x:c r="W6" t="str">
        <x:v>Active</x:v>
      </x:c>
      <x:c r="X6" t="str">
        <x:v>Reinforce Plumage</x:v>
      </x:c>
      <x:c r="Y6" t="str">
        <x:v>Iron Fortify</x:v>
      </x:c>
      <x:c r="Z6" t="str">
        <x:v>Reinforce Plumage</x:v>
      </x:c>
      <x:c r="AA6" t="n">
        <x:v>2</x:v>
      </x:c>
      <x:c r="AB6" t="n">
        <x:v>1</x:v>
      </x:c>
      <x:c r="AC6" t="str">
        <x:v>Restore 4 Armour, capped at normal Maximum Armour.</x:v>
      </x:c>
    </x:row>
    <x:row r="7">
      <x:c r="A7" t="str">
        <x:v>ARM-003</x:v>
      </x:c>
      <x:c r="B7" t="str">
        <x:v>Tempered Ironfeather Harness</x:v>
      </x:c>
      <x:c r="C7" t="str">
        <x:v>Blue</x:v>
      </x:c>
      <x:c r="D7" t="str">
        <x:v>Ironfeather Bastion</x:v>
      </x:c>
      <x:c r="E7" t="str">
        <x:v>Armour/Plumage</x:v>
      </x:c>
      <x:c r="F7" t="str">
        <x:v>Heavy</x:v>
      </x:c>
      <x:c r="G7" t="str">
        <x:v>Knight, Brute, physical Inquisitor</x:v>
      </x:c>
      <x:c r="H7" t="n">
        <x:v>9</x:v>
      </x:c>
      <x:c r="I7" t="n">
        <x:v>1</x:v>
      </x:c>
      <x:c r="J7" t="n">
        <x:v>1</x:v>
      </x:c>
      <x:c r="K7" t="n">
        <x:v>0</x:v>
      </x:c>
      <x:c r="L7" t="n">
        <x:v>0</x:v>
      </x:c>
      <x:c r="M7" t="n">
        <x:v>2</x:v>
      </x:c>
      <x:c r="N7" t="n">
        <x:v>0</x:v>
      </x:c>
      <x:c r="O7" t="n">
        <x:v>0</x:v>
      </x:c>
      <x:c r="P7" t="n">
        <x:v>0</x:v>
      </x:c>
      <x:c r="Q7" t="n">
        <x:v>-2</x:v>
      </x:c>
      <x:c r="R7" t="str">
        <x:v>While Armour remains, gain +3 Guard.</x:v>
      </x:c>
      <x:c r="S7" t="str">
        <x:v>First time Armour is depleted each combat, restore 2 Armour.</x:v>
      </x:c>
      <x:c r="T7" t="str">
        <x:v>Ember; Frost; Storm; Venom; Blood; Lunar; Solar</x:v>
      </x:c>
      <x:c r="U7" t="str">
        <x:v>Heavy physical protection; Armour-focused.</x:v>
      </x:c>
      <x:c r="V7" t="str">
        <x:v>Matching protection blocks its ailments. Restoration: 1-turn cooldown and no overflow. Fortify/Ward: heal and overflow with 2-turn cooldown. Dual Bastion/Aegis: 3-turn cooldown.</x:v>
      </x:c>
      <x:c r="W7" t="str">
        <x:v>Active</x:v>
      </x:c>
      <x:c r="X7" t="str">
        <x:v>Reinforce Plumage</x:v>
      </x:c>
      <x:c r="Y7" t="str">
        <x:v>Iron Fortify</x:v>
      </x:c>
      <x:c r="Z7" t="str">
        <x:v>Reinforce Plumage</x:v>
      </x:c>
      <x:c r="AA7" t="n">
        <x:v>2</x:v>
      </x:c>
      <x:c r="AB7" t="n">
        <x:v>1</x:v>
      </x:c>
      <x:c r="AC7" t="str">
        <x:v>Restore 4 Armour, capped at normal Maximum Armour.</x:v>
      </x:c>
    </x:row>
    <x:row r="8">
      <x:c r="A8" t="str">
        <x:v>ARM-004</x:v>
      </x:c>
      <x:c r="B8" t="str">
        <x:v>Masterwork Ironfeather Harness</x:v>
      </x:c>
      <x:c r="C8" t="str">
        <x:v>Purple</x:v>
      </x:c>
      <x:c r="D8" t="str">
        <x:v>Ironfeather Bastion</x:v>
      </x:c>
      <x:c r="E8" t="str">
        <x:v>Armour/Plumage</x:v>
      </x:c>
      <x:c r="F8" t="str">
        <x:v>Heavy</x:v>
      </x:c>
      <x:c r="G8" t="str">
        <x:v>Knight, Brute, physical Inquisitor</x:v>
      </x:c>
      <x:c r="H8" t="n">
        <x:v>12</x:v>
      </x:c>
      <x:c r="I8" t="n">
        <x:v>1</x:v>
      </x:c>
      <x:c r="J8" t="n">
        <x:v>1</x:v>
      </x:c>
      <x:c r="K8" t="n">
        <x:v>1</x:v>
      </x:c>
      <x:c r="L8" t="n">
        <x:v>0</x:v>
      </x:c>
      <x:c r="M8" t="n">
        <x:v>3</x:v>
      </x:c>
      <x:c r="N8" t="n">
        <x:v>0</x:v>
      </x:c>
      <x:c r="O8" t="n">
        <x:v>0</x:v>
      </x:c>
      <x:c r="P8" t="n">
        <x:v>0</x:v>
      </x:c>
      <x:c r="Q8" t="n">
        <x:v>-2</x:v>
      </x:c>
      <x:c r="R8" t="str">
        <x:v>While Armour remains, gain +3 Guard.</x:v>
      </x:c>
      <x:c r="S8" t="str">
        <x:v>First time Armour is depleted each combat, restore 2 Armour.</x:v>
      </x:c>
      <x:c r="T8" t="str">
        <x:v>Ember; Frost; Storm; Venom; Blood; Lunar; Solar</x:v>
      </x:c>
      <x:c r="U8" t="str">
        <x:v>Heavy physical protection; Armour-focused.</x:v>
      </x:c>
      <x:c r="V8" t="str">
        <x:v>Matching protection blocks its ailments. Restoration: 1-turn cooldown and no overflow. Fortify/Ward: heal and overflow with 2-turn cooldown. Dual Bastion/Aegis: 3-turn cooldown.</x:v>
      </x:c>
      <x:c r="W8" t="str">
        <x:v>Active</x:v>
      </x:c>
      <x:c r="X8" t="str">
        <x:v>Reinforce Plumage</x:v>
      </x:c>
      <x:c r="Y8" t="str">
        <x:v>Iron Fortify</x:v>
      </x:c>
      <x:c r="Z8" t="str">
        <x:v>Iron Fortify</x:v>
      </x:c>
      <x:c r="AA8" t="n">
        <x:v>3</x:v>
      </x:c>
      <x:c r="AB8" t="n">
        <x:v>2</x:v>
      </x:c>
      <x:c r="AC8" t="str">
        <x:v>Gain 8 Fortified Armour (add 8 to current Armour and temporary Maximum Armour) for 2 turns.</x:v>
      </x:c>
    </x:row>
    <x:row r="9">
      <x:c r="A9" t="str">
        <x:v>ARM-005</x:v>
      </x:c>
      <x:c r="B9" t="str">
        <x:v>Regal Ironfeather Harness</x:v>
      </x:c>
      <x:c r="C9" t="str">
        <x:v>Gold</x:v>
      </x:c>
      <x:c r="D9" t="str">
        <x:v>Ironfeather Bastion</x:v>
      </x:c>
      <x:c r="E9" t="str">
        <x:v>Armour/Plumage</x:v>
      </x:c>
      <x:c r="F9" t="str">
        <x:v>Heavy</x:v>
      </x:c>
      <x:c r="G9" t="str">
        <x:v>Knight, Brute, physical Inquisitor</x:v>
      </x:c>
      <x:c r="H9" t="n">
        <x:v>16</x:v>
      </x:c>
      <x:c r="I9" t="n">
        <x:v>2</x:v>
      </x:c>
      <x:c r="J9" t="n">
        <x:v>2</x:v>
      </x:c>
      <x:c r="K9" t="n">
        <x:v>1</x:v>
      </x:c>
      <x:c r="L9" t="n">
        <x:v>0</x:v>
      </x:c>
      <x:c r="M9" t="n">
        <x:v>4</x:v>
      </x:c>
      <x:c r="N9" t="n">
        <x:v>0</x:v>
      </x:c>
      <x:c r="O9" t="n">
        <x:v>0</x:v>
      </x:c>
      <x:c r="P9" t="n">
        <x:v>0</x:v>
      </x:c>
      <x:c r="Q9" t="n">
        <x:v>-2</x:v>
      </x:c>
      <x:c r="R9" t="str">
        <x:v>While Armour remains, gain +4 Guard.</x:v>
      </x:c>
      <x:c r="S9" t="str">
        <x:v>First time Armour is depleted each combat, restore 3 Armour.</x:v>
      </x:c>
      <x:c r="T9" t="str">
        <x:v>Ember; Frost; Storm; Venom; Blood; Lunar; Solar</x:v>
      </x:c>
      <x:c r="U9" t="str">
        <x:v>Heavy physical protection; Armour-focused.</x:v>
      </x:c>
      <x:c r="V9" t="str">
        <x:v>Matching protection blocks its ailments. Restoration: 1-turn cooldown and no overflow. Fortify/Ward: heal and overflow with 2-turn cooldown. Dual Bastion/Aegis: 3-turn cooldown.</x:v>
      </x:c>
      <x:c r="W9" t="str">
        <x:v>Active</x:v>
      </x:c>
      <x:c r="X9" t="str">
        <x:v>Reinforce Plumage</x:v>
      </x:c>
      <x:c r="Y9" t="str">
        <x:v>Iron Fortify</x:v>
      </x:c>
      <x:c r="Z9" t="str">
        <x:v>Iron Fortify</x:v>
      </x:c>
      <x:c r="AA9" t="n">
        <x:v>3</x:v>
      </x:c>
      <x:c r="AB9" t="n">
        <x:v>2</x:v>
      </x:c>
      <x:c r="AC9" t="str">
        <x:v>Gain 8 Fortified Armour (add 8 to current Armour and temporary Maximum Armour) for 2 turns.</x:v>
      </x:c>
    </x:row>
    <x:row r="10">
      <x:c r="A10" t="str">
        <x:v>ARM-006</x:v>
      </x:c>
      <x:c r="B10" t="str">
        <x:v>Mythic Ironfeather Harness</x:v>
      </x:c>
      <x:c r="C10" t="str">
        <x:v>Orange</x:v>
      </x:c>
      <x:c r="D10" t="str">
        <x:v>Ironfeather Bastion</x:v>
      </x:c>
      <x:c r="E10" t="str">
        <x:v>Armour/Plumage</x:v>
      </x:c>
      <x:c r="F10" t="str">
        <x:v>Heavy</x:v>
      </x:c>
      <x:c r="G10" t="str">
        <x:v>Knight, Brute, physical Inquisitor</x:v>
      </x:c>
      <x:c r="H10" t="n">
        <x:v>21</x:v>
      </x:c>
      <x:c r="I10" t="n">
        <x:v>3</x:v>
      </x:c>
      <x:c r="J10" t="n">
        <x:v>2</x:v>
      </x:c>
      <x:c r="K10" t="n">
        <x:v>2</x:v>
      </x:c>
      <x:c r="L10" t="n">
        <x:v>0</x:v>
      </x:c>
      <x:c r="M10" t="n">
        <x:v>5</x:v>
      </x:c>
      <x:c r="N10" t="n">
        <x:v>0</x:v>
      </x:c>
      <x:c r="O10" t="n">
        <x:v>0</x:v>
      </x:c>
      <x:c r="P10" t="n">
        <x:v>0</x:v>
      </x:c>
      <x:c r="Q10" t="n">
        <x:v>-2</x:v>
      </x:c>
      <x:c r="R10" t="str">
        <x:v>While Armour remains, gain +5 Guard.</x:v>
      </x:c>
      <x:c r="S10" t="str">
        <x:v>First time Armour is depleted each combat, restore 4 Armour.</x:v>
      </x:c>
      <x:c r="T10" t="str">
        <x:v>Ember; Frost; Storm; Venom; Blood; Lunar; Solar</x:v>
      </x:c>
      <x:c r="U10" t="str">
        <x:v>Heavy physical protection; Armour-focused.</x:v>
      </x:c>
      <x:c r="V10" t="str">
        <x:v>Matching protection blocks its ailments. Restoration: 1-turn cooldown and no overflow. Fortify/Ward: heal and overflow with 2-turn cooldown. Dual Bastion/Aegis: 3-turn cooldown.</x:v>
      </x:c>
      <x:c r="W10" t="str">
        <x:v>Active</x:v>
      </x:c>
      <x:c r="X10" t="str">
        <x:v>Reinforce Plumage</x:v>
      </x:c>
      <x:c r="Y10" t="str">
        <x:v>Iron Fortify</x:v>
      </x:c>
      <x:c r="Z10" t="str">
        <x:v>Iron Fortify</x:v>
      </x:c>
      <x:c r="AA10" t="n">
        <x:v>3</x:v>
      </x:c>
      <x:c r="AB10" t="n">
        <x:v>2</x:v>
      </x:c>
      <x:c r="AC10" t="str">
        <x:v>Gain 8 Fortified Armour (add 8 to current Armour and temporary Maximum Armour) for 2 turns.</x:v>
      </x:c>
    </x:row>
    <x:row r="11">
      <x:c r="A11" t="str">
        <x:v>ARM-007</x:v>
      </x:c>
      <x:c r="B11" t="str">
        <x:v>Runewoven Mantle</x:v>
      </x:c>
      <x:c r="C11" t="str">
        <x:v>Grey</x:v>
      </x:c>
      <x:c r="D11" t="str">
        <x:v>Runewoven Aegis</x:v>
      </x:c>
      <x:c r="E11" t="str">
        <x:v>Armour/Plumage</x:v>
      </x:c>
      <x:c r="F11" t="str">
        <x:v>Medium</x:v>
      </x:c>
      <x:c r="G11" t="str">
        <x:v>Mage, Siren, magical Bard</x:v>
      </x:c>
      <x:c r="H11" t="n">
        <x:v>0</x:v>
      </x:c>
      <x:c r="I11" t="n">
        <x:v>4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1</x:v>
      </x:c>
      <x:c r="P11" t="n">
        <x:v>0</x:v>
      </x:c>
      <x:c r="Q11" t="n">
        <x:v>0</x:v>
      </x:c>
      <x:c r="R11" t="str">
        <x:v>While Magic Armour remains, gain +2 Resolve.</x:v>
      </x:c>
      <x:c r="S11" t="str">
        <x:v>First time Magic Armour is depleted each combat, restore 1 Magic Armour.</x:v>
      </x:c>
      <x:c r="T11" t="str">
        <x:v>Ember; Frost; Storm; Venom; Blood; Lunar; Solar</x:v>
      </x:c>
      <x:c r="U11" t="str">
        <x:v>Heavy magical protection; Magic Armour-focused.</x:v>
      </x:c>
      <x:c r="V11" t="str">
        <x:v>Matching protection blocks its ailments. Restoration: 1-turn cooldown and no overflow. Fortify/Ward: heal and overflow with 2-turn cooldown. Dual Bastion/Aegis: 3-turn cooldown.</x:v>
      </x:c>
      <x:c r="W11" t="str">
        <x:v>Active</x:v>
      </x:c>
      <x:c r="X11" t="str">
        <x:v>Mend Weave</x:v>
      </x:c>
      <x:c r="Y11" t="str">
        <x:v>Runic Ward</x:v>
      </x:c>
      <x:c r="Z11" t="str">
        <x:v>None</x:v>
      </x:c>
      <x:c r="AA11" t="n">
        <x:v>0</x:v>
      </x:c>
      <x:c r="AB11" t="n">
        <x:v>0</x:v>
      </x:c>
      <x:c r="AC11" t="str">
        <x:v>No granted equipment skill at Grey rarity.</x:v>
      </x:c>
    </x:row>
    <x:row r="12">
      <x:c r="A12" t="str">
        <x:v>ARM-008</x:v>
      </x:c>
      <x:c r="B12" t="str">
        <x:v>Sturdy Runewoven Mantle</x:v>
      </x:c>
      <x:c r="C12" t="str">
        <x:v>Green</x:v>
      </x:c>
      <x:c r="D12" t="str">
        <x:v>Runewoven Aegis</x:v>
      </x:c>
      <x:c r="E12" t="str">
        <x:v>Armour/Plumage</x:v>
      </x:c>
      <x:c r="F12" t="str">
        <x:v>Medium</x:v>
      </x:c>
      <x:c r="G12" t="str">
        <x:v>Mage, Siren, magical Bard</x:v>
      </x:c>
      <x:c r="H12" t="n">
        <x:v>0</x:v>
      </x:c>
      <x:c r="I12" t="n">
        <x:v>6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1</x:v>
      </x:c>
      <x:c r="O12" t="n">
        <x:v>1</x:v>
      </x:c>
      <x:c r="P12" t="n">
        <x:v>0</x:v>
      </x:c>
      <x:c r="Q12" t="n">
        <x:v>0</x:v>
      </x:c>
      <x:c r="R12" t="str">
        <x:v>While Magic Armour remains, gain +2 Resolve.</x:v>
      </x:c>
      <x:c r="S12" t="str">
        <x:v>First time Magic Armour is depleted each combat, restore 1 Magic Armour.</x:v>
      </x:c>
      <x:c r="T12" t="str">
        <x:v>Ember; Frost; Storm; Venom; Blood; Lunar; Solar</x:v>
      </x:c>
      <x:c r="U12" t="str">
        <x:v>Heavy magical protection; Magic Armour-focused.</x:v>
      </x:c>
      <x:c r="V12" t="str">
        <x:v>Matching protection blocks its ailments. Restoration: 1-turn cooldown and no overflow. Fortify/Ward: heal and overflow with 2-turn cooldown. Dual Bastion/Aegis: 3-turn cooldown.</x:v>
      </x:c>
      <x:c r="W12" t="str">
        <x:v>Active</x:v>
      </x:c>
      <x:c r="X12" t="str">
        <x:v>Mend Weave</x:v>
      </x:c>
      <x:c r="Y12" t="str">
        <x:v>Runic Ward</x:v>
      </x:c>
      <x:c r="Z12" t="str">
        <x:v>Mend Weave</x:v>
      </x:c>
      <x:c r="AA12" t="n">
        <x:v>2</x:v>
      </x:c>
      <x:c r="AB12" t="n">
        <x:v>1</x:v>
      </x:c>
      <x:c r="AC12" t="str">
        <x:v>Restore 4 Magic Armour, capped at normal Maximum Magic Armour.</x:v>
      </x:c>
    </x:row>
    <x:row r="13">
      <x:c r="A13" t="str">
        <x:v>ARM-009</x:v>
      </x:c>
      <x:c r="B13" t="str">
        <x:v>Tempered Runewoven Mantle</x:v>
      </x:c>
      <x:c r="C13" t="str">
        <x:v>Blue</x:v>
      </x:c>
      <x:c r="D13" t="str">
        <x:v>Runewoven Aegis</x:v>
      </x:c>
      <x:c r="E13" t="str">
        <x:v>Armour/Plumage</x:v>
      </x:c>
      <x:c r="F13" t="str">
        <x:v>Medium</x:v>
      </x:c>
      <x:c r="G13" t="str">
        <x:v>Mage, Siren, magical Bard</x:v>
      </x:c>
      <x:c r="H13" t="n">
        <x:v>1</x:v>
      </x:c>
      <x:c r="I13" t="n">
        <x:v>8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1</x:v>
      </x:c>
      <x:c r="O13" t="n">
        <x:v>2</x:v>
      </x:c>
      <x:c r="P13" t="n">
        <x:v>0</x:v>
      </x:c>
      <x:c r="Q13" t="n">
        <x:v>0</x:v>
      </x:c>
      <x:c r="R13" t="str">
        <x:v>While Magic Armour remains, gain +3 Resolve.</x:v>
      </x:c>
      <x:c r="S13" t="str">
        <x:v>First time Magic Armour is depleted each combat, restore 2 Magic Armour.</x:v>
      </x:c>
      <x:c r="T13" t="str">
        <x:v>Ember; Frost; Storm; Venom; Blood; Lunar; Solar</x:v>
      </x:c>
      <x:c r="U13" t="str">
        <x:v>Heavy magical protection; Magic Armour-focused.</x:v>
      </x:c>
      <x:c r="V13" t="str">
        <x:v>Matching protection blocks its ailments. Restoration: 1-turn cooldown and no overflow. Fortify/Ward: heal and overflow with 2-turn cooldown. Dual Bastion/Aegis: 3-turn cooldown.</x:v>
      </x:c>
      <x:c r="W13" t="str">
        <x:v>Active</x:v>
      </x:c>
      <x:c r="X13" t="str">
        <x:v>Mend Weave</x:v>
      </x:c>
      <x:c r="Y13" t="str">
        <x:v>Runic Ward</x:v>
      </x:c>
      <x:c r="Z13" t="str">
        <x:v>Mend Weave</x:v>
      </x:c>
      <x:c r="AA13" t="n">
        <x:v>2</x:v>
      </x:c>
      <x:c r="AB13" t="n">
        <x:v>1</x:v>
      </x:c>
      <x:c r="AC13" t="str">
        <x:v>Restore 4 Magic Armour, capped at normal Maximum Magic Armour.</x:v>
      </x:c>
    </x:row>
    <x:row r="14">
      <x:c r="A14" t="str">
        <x:v>ARM-010</x:v>
      </x:c>
      <x:c r="B14" t="str">
        <x:v>Masterwork Runewoven Mantle</x:v>
      </x:c>
      <x:c r="C14" t="str">
        <x:v>Purple</x:v>
      </x:c>
      <x:c r="D14" t="str">
        <x:v>Runewoven Aegis</x:v>
      </x:c>
      <x:c r="E14" t="str">
        <x:v>Armour/Plumage</x:v>
      </x:c>
      <x:c r="F14" t="str">
        <x:v>Medium</x:v>
      </x:c>
      <x:c r="G14" t="str">
        <x:v>Mage, Siren, magical Bard</x:v>
      </x:c>
      <x:c r="H14" t="n">
        <x:v>1</x:v>
      </x:c>
      <x:c r="I14" t="n">
        <x:v>11</x:v>
      </x:c>
      <x:c r="J14" t="n">
        <x:v>1</x:v>
      </x:c>
      <x:c r="K14" t="n">
        <x:v>0</x:v>
      </x:c>
      <x:c r="L14" t="n">
        <x:v>0</x:v>
      </x:c>
      <x:c r="M14" t="n">
        <x:v>0</x:v>
      </x:c>
      <x:c r="N14" t="n">
        <x:v>1</x:v>
      </x:c>
      <x:c r="O14" t="n">
        <x:v>3</x:v>
      </x:c>
      <x:c r="P14" t="n">
        <x:v>0</x:v>
      </x:c>
      <x:c r="Q14" t="n">
        <x:v>0</x:v>
      </x:c>
      <x:c r="R14" t="str">
        <x:v>While Magic Armour remains, gain +3 Resolve.</x:v>
      </x:c>
      <x:c r="S14" t="str">
        <x:v>First time Magic Armour is depleted each combat, restore 2 Magic Armour.</x:v>
      </x:c>
      <x:c r="T14" t="str">
        <x:v>Ember; Frost; Storm; Venom; Blood; Lunar; Solar</x:v>
      </x:c>
      <x:c r="U14" t="str">
        <x:v>Heavy magical protection; Magic Armour-focused.</x:v>
      </x:c>
      <x:c r="V14" t="str">
        <x:v>Matching protection blocks its ailments. Restoration: 1-turn cooldown and no overflow. Fortify/Ward: heal and overflow with 2-turn cooldown. Dual Bastion/Aegis: 3-turn cooldown.</x:v>
      </x:c>
      <x:c r="W14" t="str">
        <x:v>Active</x:v>
      </x:c>
      <x:c r="X14" t="str">
        <x:v>Mend Weave</x:v>
      </x:c>
      <x:c r="Y14" t="str">
        <x:v>Runic Ward</x:v>
      </x:c>
      <x:c r="Z14" t="str">
        <x:v>Runic Ward</x:v>
      </x:c>
      <x:c r="AA14" t="n">
        <x:v>3</x:v>
      </x:c>
      <x:c r="AB14" t="n">
        <x:v>2</x:v>
      </x:c>
      <x:c r="AC14" t="str">
        <x:v>Gain 8 Ward Magic Armour (add 8 to current Magic Armour and temporary Maximum Magic Armour) for 2 turns.</x:v>
      </x:c>
    </x:row>
    <x:row r="15">
      <x:c r="A15" t="str">
        <x:v>ARM-011</x:v>
      </x:c>
      <x:c r="B15" t="str">
        <x:v>Regal Runewoven Mantle</x:v>
      </x:c>
      <x:c r="C15" t="str">
        <x:v>Gold</x:v>
      </x:c>
      <x:c r="D15" t="str">
        <x:v>Runewoven Aegis</x:v>
      </x:c>
      <x:c r="E15" t="str">
        <x:v>Armour/Plumage</x:v>
      </x:c>
      <x:c r="F15" t="str">
        <x:v>Medium</x:v>
      </x:c>
      <x:c r="G15" t="str">
        <x:v>Mage, Siren, magical Bard</x:v>
      </x:c>
      <x:c r="H15" t="n">
        <x:v>2</x:v>
      </x:c>
      <x:c r="I15" t="n">
        <x:v>14</x:v>
      </x:c>
      <x:c r="J15" t="n">
        <x:v>1</x:v>
      </x:c>
      <x:c r="K15" t="n">
        <x:v>0</x:v>
      </x:c>
      <x:c r="L15" t="n">
        <x:v>0</x:v>
      </x:c>
      <x:c r="M15" t="n">
        <x:v>0</x:v>
      </x:c>
      <x:c r="N15" t="n">
        <x:v>2</x:v>
      </x:c>
      <x:c r="O15" t="n">
        <x:v>4</x:v>
      </x:c>
      <x:c r="P15" t="n">
        <x:v>0</x:v>
      </x:c>
      <x:c r="Q15" t="n">
        <x:v>0</x:v>
      </x:c>
      <x:c r="R15" t="str">
        <x:v>While Magic Armour remains, gain +4 Resolve.</x:v>
      </x:c>
      <x:c r="S15" t="str">
        <x:v>First time Magic Armour is depleted each combat, restore 3 Magic Armour.</x:v>
      </x:c>
      <x:c r="T15" t="str">
        <x:v>Ember; Frost; Storm; Venom; Blood; Lunar; Solar</x:v>
      </x:c>
      <x:c r="U15" t="str">
        <x:v>Heavy magical protection; Magic Armour-focused.</x:v>
      </x:c>
      <x:c r="V15" t="str">
        <x:v>Matching protection blocks its ailments. Restoration: 1-turn cooldown and no overflow. Fortify/Ward: heal and overflow with 2-turn cooldown. Dual Bastion/Aegis: 3-turn cooldown.</x:v>
      </x:c>
      <x:c r="W15" t="str">
        <x:v>Active</x:v>
      </x:c>
      <x:c r="X15" t="str">
        <x:v>Mend Weave</x:v>
      </x:c>
      <x:c r="Y15" t="str">
        <x:v>Runic Ward</x:v>
      </x:c>
      <x:c r="Z15" t="str">
        <x:v>Runic Ward</x:v>
      </x:c>
      <x:c r="AA15" t="n">
        <x:v>3</x:v>
      </x:c>
      <x:c r="AB15" t="n">
        <x:v>2</x:v>
      </x:c>
      <x:c r="AC15" t="str">
        <x:v>Gain 8 Ward Magic Armour (add 8 to current Magic Armour and temporary Maximum Magic Armour) for 2 turns.</x:v>
      </x:c>
    </x:row>
    <x:row r="16">
      <x:c r="A16" t="str">
        <x:v>ARM-012</x:v>
      </x:c>
      <x:c r="B16" t="str">
        <x:v>Mythic Runewoven Mantle</x:v>
      </x:c>
      <x:c r="C16" t="str">
        <x:v>Orange</x:v>
      </x:c>
      <x:c r="D16" t="str">
        <x:v>Runewoven Aegis</x:v>
      </x:c>
      <x:c r="E16" t="str">
        <x:v>Armour/Plumage</x:v>
      </x:c>
      <x:c r="F16" t="str">
        <x:v>Medium</x:v>
      </x:c>
      <x:c r="G16" t="str">
        <x:v>Mage, Siren, magical Bard</x:v>
      </x:c>
      <x:c r="H16" t="n">
        <x:v>3</x:v>
      </x:c>
      <x:c r="I16" t="n">
        <x:v>19</x:v>
      </x:c>
      <x:c r="J16" t="n">
        <x:v>2</x:v>
      </x:c>
      <x:c r="K16" t="n">
        <x:v>0</x:v>
      </x:c>
      <x:c r="L16" t="n">
        <x:v>0</x:v>
      </x:c>
      <x:c r="M16" t="n">
        <x:v>0</x:v>
      </x:c>
      <x:c r="N16" t="n">
        <x:v>2</x:v>
      </x:c>
      <x:c r="O16" t="n">
        <x:v>5</x:v>
      </x:c>
      <x:c r="P16" t="n">
        <x:v>0</x:v>
      </x:c>
      <x:c r="Q16" t="n">
        <x:v>0</x:v>
      </x:c>
      <x:c r="R16" t="str">
        <x:v>While Magic Armour remains, gain +5 Resolve.</x:v>
      </x:c>
      <x:c r="S16" t="str">
        <x:v>First time Magic Armour is depleted each combat, restore 4 Magic Armour.</x:v>
      </x:c>
      <x:c r="T16" t="str">
        <x:v>Ember; Frost; Storm; Venom; Blood; Lunar; Solar</x:v>
      </x:c>
      <x:c r="U16" t="str">
        <x:v>Heavy magical protection; Magic Armour-focused.</x:v>
      </x:c>
      <x:c r="V16" t="str">
        <x:v>Matching protection blocks its ailments. Restoration: 1-turn cooldown and no overflow. Fortify/Ward: heal and overflow with 2-turn cooldown. Dual Bastion/Aegis: 3-turn cooldown.</x:v>
      </x:c>
      <x:c r="W16" t="str">
        <x:v>Active</x:v>
      </x:c>
      <x:c r="X16" t="str">
        <x:v>Mend Weave</x:v>
      </x:c>
      <x:c r="Y16" t="str">
        <x:v>Runic Ward</x:v>
      </x:c>
      <x:c r="Z16" t="str">
        <x:v>Runic Ward</x:v>
      </x:c>
      <x:c r="AA16" t="n">
        <x:v>3</x:v>
      </x:c>
      <x:c r="AB16" t="n">
        <x:v>2</x:v>
      </x:c>
      <x:c r="AC16" t="str">
        <x:v>Gain 8 Ward Magic Armour (add 8 to current Magic Armour and temporary Maximum Magic Armour) for 2 turns.</x:v>
      </x:c>
    </x:row>
    <x:row r="17">
      <x:c r="A17" t="str">
        <x:v>ARM-013</x:v>
      </x:c>
      <x:c r="B17" t="str">
        <x:v>Layered Scale Plumage</x:v>
      </x:c>
      <x:c r="C17" t="str">
        <x:v>Grey</x:v>
      </x:c>
      <x:c r="D17" t="str">
        <x:v>Layered Scale</x:v>
      </x:c>
      <x:c r="E17" t="str">
        <x:v>Armour/Plumage</x:v>
      </x:c>
      <x:c r="F17" t="str">
        <x:v>Medium</x:v>
      </x:c>
      <x:c r="G17" t="str">
        <x:v>Generalist, Inquisitor, Bard</x:v>
      </x:c>
      <x:c r="H17" t="n">
        <x:v>2</x:v>
      </x:c>
      <x:c r="I17" t="n">
        <x:v>2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str">
        <x:v>Begin combat with +1 Maximum Armour and +1 Maximum Magic Armour.</x:v>
      </x:c>
      <x:c r="S17" t="str">
        <x:v>Once per combat when either protection pool is depleted, restore 1 to both pools.</x:v>
      </x:c>
      <x:c r="T17" t="str">
        <x:v>Ember; Frost; Storm; Venom; Blood; Lunar; Solar</x:v>
      </x:c>
      <x:c r="U17" t="str">
        <x:v>Balanced physical and magical protection.</x:v>
      </x:c>
      <x:c r="V17" t="str">
        <x:v>Matching protection blocks its ailments. Restoration: 1-turn cooldown and no overflow. Fortify/Ward: heal and overflow with 2-turn cooldown. Dual Bastion/Aegis: 3-turn cooldown.</x:v>
      </x:c>
      <x:c r="W17" t="str">
        <x:v>Active</x:v>
      </x:c>
      <x:c r="X17" t="str">
        <x:v>Rebalance Plates</x:v>
      </x:c>
      <x:c r="Y17" t="str">
        <x:v>Dual Bastion</x:v>
      </x:c>
      <x:c r="Z17" t="str">
        <x:v>None</x:v>
      </x:c>
      <x:c r="AA17" t="n">
        <x:v>0</x:v>
      </x:c>
      <x:c r="AB17" t="n">
        <x:v>0</x:v>
      </x:c>
      <x:c r="AC17" t="str">
        <x:v>No granted equipment skill at Grey rarity.</x:v>
      </x:c>
    </x:row>
    <x:row r="18">
      <x:c r="A18" t="str">
        <x:v>ARM-014</x:v>
      </x:c>
      <x:c r="B18" t="str">
        <x:v>Sturdy Layered Scale Plumage</x:v>
      </x:c>
      <x:c r="C18" t="str">
        <x:v>Green</x:v>
      </x:c>
      <x:c r="D18" t="str">
        <x:v>Layered Scale</x:v>
      </x:c>
      <x:c r="E18" t="str">
        <x:v>Armour/Plumage</x:v>
      </x:c>
      <x:c r="F18" t="str">
        <x:v>Medium</x:v>
      </x:c>
      <x:c r="G18" t="str">
        <x:v>Generalist, Inquisitor, Bard</x:v>
      </x:c>
      <x:c r="H18" t="n">
        <x:v>3</x:v>
      </x:c>
      <x:c r="I18" t="n">
        <x:v>3</x:v>
      </x:c>
      <x:c r="J18" t="n">
        <x:v>1</x:v>
      </x:c>
      <x:c r="K18" t="n">
        <x:v>0</x:v>
      </x:c>
      <x:c r="L18" t="n">
        <x:v>0</x:v>
      </x:c>
      <x:c r="M18" t="n">
        <x:v>1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str">
        <x:v>Begin combat with +1 Maximum Armour and +1 Maximum Magic Armour.</x:v>
      </x:c>
      <x:c r="S18" t="str">
        <x:v>Once per combat when either protection pool is depleted, restore 1 to both pools.</x:v>
      </x:c>
      <x:c r="T18" t="str">
        <x:v>Ember; Frost; Storm; Venom; Blood; Lunar; Solar</x:v>
      </x:c>
      <x:c r="U18" t="str">
        <x:v>Balanced physical and magical protection.</x:v>
      </x:c>
      <x:c r="V18" t="str">
        <x:v>Matching protection blocks its ailments. Restoration: 1-turn cooldown and no overflow. Fortify/Ward: heal and overflow with 2-turn cooldown. Dual Bastion/Aegis: 3-turn cooldown.</x:v>
      </x:c>
      <x:c r="W18" t="str">
        <x:v>Active</x:v>
      </x:c>
      <x:c r="X18" t="str">
        <x:v>Rebalance Plates</x:v>
      </x:c>
      <x:c r="Y18" t="str">
        <x:v>Dual Bastion</x:v>
      </x:c>
      <x:c r="Z18" t="str">
        <x:v>Rebalance Plates</x:v>
      </x:c>
      <x:c r="AA18" t="n">
        <x:v>2</x:v>
      </x:c>
      <x:c r="AB18" t="n">
        <x:v>1</x:v>
      </x:c>
      <x:c r="AC18" t="str">
        <x:v>Restore 3 Armour and 3 Magic Armour.</x:v>
      </x:c>
    </x:row>
    <x:row r="19">
      <x:c r="A19" t="str">
        <x:v>ARM-015</x:v>
      </x:c>
      <x:c r="B19" t="str">
        <x:v>Tempered Layered Scale Plumage</x:v>
      </x:c>
      <x:c r="C19" t="str">
        <x:v>Blue</x:v>
      </x:c>
      <x:c r="D19" t="str">
        <x:v>Layered Scale</x:v>
      </x:c>
      <x:c r="E19" t="str">
        <x:v>Armour/Plumage</x:v>
      </x:c>
      <x:c r="F19" t="str">
        <x:v>Medium</x:v>
      </x:c>
      <x:c r="G19" t="str">
        <x:v>Generalist, Inquisitor, Bard</x:v>
      </x:c>
      <x:c r="H19" t="n">
        <x:v>5</x:v>
      </x:c>
      <x:c r="I19" t="n">
        <x:v>4</x:v>
      </x:c>
      <x:c r="J19" t="n">
        <x:v>2</x:v>
      </x:c>
      <x:c r="K19" t="n">
        <x:v>0</x:v>
      </x:c>
      <x:c r="L19" t="n">
        <x:v>0</x:v>
      </x:c>
      <x:c r="M19" t="n">
        <x:v>1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str">
        <x:v>Begin combat with +2 Maximum Armour and +2 Maximum Magic Armour.</x:v>
      </x:c>
      <x:c r="S19" t="str">
        <x:v>Once per combat when either protection pool is depleted, restore 1 to both pools.</x:v>
      </x:c>
      <x:c r="T19" t="str">
        <x:v>Ember; Frost; Storm; Venom; Blood; Lunar; Solar</x:v>
      </x:c>
      <x:c r="U19" t="str">
        <x:v>Balanced physical and magical protection.</x:v>
      </x:c>
      <x:c r="V19" t="str">
        <x:v>Matching protection blocks its ailments. Restoration: 1-turn cooldown and no overflow. Fortify/Ward: heal and overflow with 2-turn cooldown. Dual Bastion/Aegis: 3-turn cooldown.</x:v>
      </x:c>
      <x:c r="W19" t="str">
        <x:v>Active</x:v>
      </x:c>
      <x:c r="X19" t="str">
        <x:v>Rebalance Plates</x:v>
      </x:c>
      <x:c r="Y19" t="str">
        <x:v>Dual Bastion</x:v>
      </x:c>
      <x:c r="Z19" t="str">
        <x:v>Rebalance Plates</x:v>
      </x:c>
      <x:c r="AA19" t="n">
        <x:v>2</x:v>
      </x:c>
      <x:c r="AB19" t="n">
        <x:v>1</x:v>
      </x:c>
      <x:c r="AC19" t="str">
        <x:v>Restore 3 Armour and 3 Magic Armour.</x:v>
      </x:c>
    </x:row>
    <x:row r="20">
      <x:c r="A20" t="str">
        <x:v>ARM-016</x:v>
      </x:c>
      <x:c r="B20" t="str">
        <x:v>Masterwork Layered Scale Plumage</x:v>
      </x:c>
      <x:c r="C20" t="str">
        <x:v>Purple</x:v>
      </x:c>
      <x:c r="D20" t="str">
        <x:v>Layered Scale</x:v>
      </x:c>
      <x:c r="E20" t="str">
        <x:v>Armour/Plumage</x:v>
      </x:c>
      <x:c r="F20" t="str">
        <x:v>Medium</x:v>
      </x:c>
      <x:c r="G20" t="str">
        <x:v>Generalist, Inquisitor, Bard</x:v>
      </x:c>
      <x:c r="H20" t="n">
        <x:v>6</x:v>
      </x:c>
      <x:c r="I20" t="n">
        <x:v>6</x:v>
      </x:c>
      <x:c r="J20" t="n">
        <x:v>3</x:v>
      </x:c>
      <x:c r="K20" t="n">
        <x:v>0</x:v>
      </x:c>
      <x:c r="L20" t="n">
        <x:v>0</x:v>
      </x:c>
      <x:c r="M20" t="n">
        <x:v>1</x:v>
      </x:c>
      <x:c r="N20" t="n">
        <x:v>0</x:v>
      </x:c>
      <x:c r="O20" t="n">
        <x:v>1</x:v>
      </x:c>
      <x:c r="P20" t="n">
        <x:v>0</x:v>
      </x:c>
      <x:c r="Q20" t="n">
        <x:v>0</x:v>
      </x:c>
      <x:c r="R20" t="str">
        <x:v>Begin combat with +2 Maximum Armour and +2 Maximum Magic Armour.</x:v>
      </x:c>
      <x:c r="S20" t="str">
        <x:v>Once per combat when either protection pool is depleted, restore 1 to both pools.</x:v>
      </x:c>
      <x:c r="T20" t="str">
        <x:v>Ember; Frost; Storm; Venom; Blood; Lunar; Solar</x:v>
      </x:c>
      <x:c r="U20" t="str">
        <x:v>Balanced physical and magical protection.</x:v>
      </x:c>
      <x:c r="V20" t="str">
        <x:v>Matching protection blocks its ailments. Restoration: 1-turn cooldown and no overflow. Fortify/Ward: heal and overflow with 2-turn cooldown. Dual Bastion/Aegis: 3-turn cooldown.</x:v>
      </x:c>
      <x:c r="W20" t="str">
        <x:v>Active</x:v>
      </x:c>
      <x:c r="X20" t="str">
        <x:v>Rebalance Plates</x:v>
      </x:c>
      <x:c r="Y20" t="str">
        <x:v>Dual Bastion</x:v>
      </x:c>
      <x:c r="Z20" t="str">
        <x:v>Dual Bastion</x:v>
      </x:c>
      <x:c r="AA20" t="n">
        <x:v>3</x:v>
      </x:c>
      <x:c r="AB20" t="n">
        <x:v>3</x:v>
      </x:c>
      <x:c r="AC20" t="str">
        <x:v>Gain 5 Fortified Armour (add 5 to current Armour and temporary Maximum Armour) and 5 Ward Magic Armour (add 5 to current Magic Armour and temporary Maximum Magic Armour) for 2 turns.</x:v>
      </x:c>
    </x:row>
    <x:row r="21">
      <x:c r="A21" t="str">
        <x:v>ARM-017</x:v>
      </x:c>
      <x:c r="B21" t="str">
        <x:v>Regal Layered Scale Plumage</x:v>
      </x:c>
      <x:c r="C21" t="str">
        <x:v>Gold</x:v>
      </x:c>
      <x:c r="D21" t="str">
        <x:v>Layered Scale</x:v>
      </x:c>
      <x:c r="E21" t="str">
        <x:v>Armour/Plumage</x:v>
      </x:c>
      <x:c r="F21" t="str">
        <x:v>Medium</x:v>
      </x:c>
      <x:c r="G21" t="str">
        <x:v>Generalist, Inquisitor, Bard</x:v>
      </x:c>
      <x:c r="H21" t="n">
        <x:v>8</x:v>
      </x:c>
      <x:c r="I21" t="n">
        <x:v>8</x:v>
      </x:c>
      <x:c r="J21" t="n">
        <x:v>4</x:v>
      </x:c>
      <x:c r="K21" t="n">
        <x:v>0</x:v>
      </x:c>
      <x:c r="L21" t="n">
        <x:v>0</x:v>
      </x:c>
      <x:c r="M21" t="n">
        <x:v>2</x:v>
      </x:c>
      <x:c r="N21" t="n">
        <x:v>0</x:v>
      </x:c>
      <x:c r="O21" t="n">
        <x:v>1</x:v>
      </x:c>
      <x:c r="P21" t="n">
        <x:v>0</x:v>
      </x:c>
      <x:c r="Q21" t="n">
        <x:v>0</x:v>
      </x:c>
      <x:c r="R21" t="str">
        <x:v>Begin combat with +3 Maximum Armour and +3 Maximum Magic Armour.</x:v>
      </x:c>
      <x:c r="S21" t="str">
        <x:v>Once per combat when either protection pool is depleted, restore 2 to both pools.</x:v>
      </x:c>
      <x:c r="T21" t="str">
        <x:v>Ember; Frost; Storm; Venom; Blood; Lunar; Solar</x:v>
      </x:c>
      <x:c r="U21" t="str">
        <x:v>Balanced physical and magical protection.</x:v>
      </x:c>
      <x:c r="V21" t="str">
        <x:v>Matching protection blocks its ailments. Restoration: 1-turn cooldown and no overflow. Fortify/Ward: heal and overflow with 2-turn cooldown. Dual Bastion/Aegis: 3-turn cooldown.</x:v>
      </x:c>
      <x:c r="W21" t="str">
        <x:v>Active</x:v>
      </x:c>
      <x:c r="X21" t="str">
        <x:v>Rebalance Plates</x:v>
      </x:c>
      <x:c r="Y21" t="str">
        <x:v>Dual Bastion</x:v>
      </x:c>
      <x:c r="Z21" t="str">
        <x:v>Dual Bastion</x:v>
      </x:c>
      <x:c r="AA21" t="n">
        <x:v>3</x:v>
      </x:c>
      <x:c r="AB21" t="n">
        <x:v>3</x:v>
      </x:c>
      <x:c r="AC21" t="str">
        <x:v>Gain 5 Fortified Armour (add 5 to current Armour and temporary Maximum Armour) and 5 Ward Magic Armour (add 5 to current Magic Armour and temporary Maximum Magic Armour) for 2 turns.</x:v>
      </x:c>
    </x:row>
    <x:row r="22">
      <x:c r="A22" t="str">
        <x:v>ARM-018</x:v>
      </x:c>
      <x:c r="B22" t="str">
        <x:v>Mythic Layered Scale Plumage</x:v>
      </x:c>
      <x:c r="C22" t="str">
        <x:v>Orange</x:v>
      </x:c>
      <x:c r="D22" t="str">
        <x:v>Layered Scale</x:v>
      </x:c>
      <x:c r="E22" t="str">
        <x:v>Armour/Plumage</x:v>
      </x:c>
      <x:c r="F22" t="str">
        <x:v>Medium</x:v>
      </x:c>
      <x:c r="G22" t="str">
        <x:v>Generalist, Inquisitor, Bard</x:v>
      </x:c>
      <x:c r="H22" t="n">
        <x:v>11</x:v>
      </x:c>
      <x:c r="I22" t="n">
        <x:v>11</x:v>
      </x:c>
      <x:c r="J22" t="n">
        <x:v>5</x:v>
      </x:c>
      <x:c r="K22" t="n">
        <x:v>0</x:v>
      </x:c>
      <x:c r="L22" t="n">
        <x:v>0</x:v>
      </x:c>
      <x:c r="M22" t="n">
        <x:v>2</x:v>
      </x:c>
      <x:c r="N22" t="n">
        <x:v>0</x:v>
      </x:c>
      <x:c r="O22" t="n">
        <x:v>2</x:v>
      </x:c>
      <x:c r="P22" t="n">
        <x:v>0</x:v>
      </x:c>
      <x:c r="Q22" t="n">
        <x:v>0</x:v>
      </x:c>
      <x:c r="R22" t="str">
        <x:v>Begin combat with +4 Maximum Armour and +4 Maximum Magic Armour.</x:v>
      </x:c>
      <x:c r="S22" t="str">
        <x:v>Once per combat when either protection pool is depleted, restore 2 to both pools.</x:v>
      </x:c>
      <x:c r="T22" t="str">
        <x:v>Ember; Frost; Storm; Venom; Blood; Lunar; Solar</x:v>
      </x:c>
      <x:c r="U22" t="str">
        <x:v>Balanced physical and magical protection.</x:v>
      </x:c>
      <x:c r="V22" t="str">
        <x:v>Matching protection blocks its ailments. Restoration: 1-turn cooldown and no overflow. Fortify/Ward: heal and overflow with 2-turn cooldown. Dual Bastion/Aegis: 3-turn cooldown.</x:v>
      </x:c>
      <x:c r="W22" t="str">
        <x:v>Active</x:v>
      </x:c>
      <x:c r="X22" t="str">
        <x:v>Rebalance Plates</x:v>
      </x:c>
      <x:c r="Y22" t="str">
        <x:v>Dual Bastion</x:v>
      </x:c>
      <x:c r="Z22" t="str">
        <x:v>Dual Bastion</x:v>
      </x:c>
      <x:c r="AA22" t="n">
        <x:v>3</x:v>
      </x:c>
      <x:c r="AB22" t="n">
        <x:v>3</x:v>
      </x:c>
      <x:c r="AC22" t="str">
        <x:v>Gain 5 Fortified Armour (add 5 to current Armour and temporary Maximum Armour) and 5 Ward Magic Armour (add 5 to current Magic Armour and temporary Maximum Magic Armour) for 2 turns.</x:v>
      </x:c>
    </x:row>
    <x:row r="23">
      <x:c r="A23" t="str">
        <x:v>ARM-019</x:v>
      </x:c>
      <x:c r="B23" t="str">
        <x:v>Shadowplume Vest</x:v>
      </x:c>
      <x:c r="C23" t="str">
        <x:v>Grey</x:v>
      </x:c>
      <x:c r="D23" t="str">
        <x:v>Shadowplume</x:v>
      </x:c>
      <x:c r="E23" t="str">
        <x:v>Armour/Plumage</x:v>
      </x:c>
      <x:c r="F23" t="str">
        <x:v>Light</x:v>
      </x:c>
      <x:c r="G23" t="str">
        <x:v>Rogue, Dexterity Bard, bow user</x:v>
      </x:c>
      <x:c r="H23" t="n">
        <x:v>1</x:v>
      </x:c>
      <x:c r="I23" t="n">
        <x:v>2</x:v>
      </x:c>
      <x:c r="J23" t="n">
        <x:v>0</x:v>
      </x:c>
      <x:c r="K23" t="n">
        <x:v>0</x:v>
      </x:c>
      <x:c r="L23" t="n">
        <x:v>1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str">
        <x:v>While both protection pools remain above zero, gain +2 Agility.</x:v>
      </x:c>
      <x:c r="S23" t="str">
        <x:v>First successful Dodge each combat restores 1 to the lower protection pool.</x:v>
      </x:c>
      <x:c r="T23" t="str">
        <x:v>Ember; Frost; Storm; Venom; Blood; Lunar; Solar</x:v>
      </x:c>
      <x:c r="U23" t="str">
        <x:v>Light finesse and mobility equipment.</x:v>
      </x:c>
      <x:c r="V23" t="str">
        <x:v>Matching protection blocks its ailments. Restoration: 1-turn cooldown and no overflow. Fortify/Ward: heal and overflow with 2-turn cooldown. Dual Bastion/Aegis: 3-turn cooldown.</x:v>
      </x:c>
      <x:c r="W23" t="str">
        <x:v>Active</x:v>
      </x:c>
      <x:c r="X23" t="str">
        <x:v>Featherstep</x:v>
      </x:c>
      <x:c r="Y23" t="str">
        <x:v>Vanishing Plumage</x:v>
      </x:c>
      <x:c r="Z23" t="str">
        <x:v>None</x:v>
      </x:c>
      <x:c r="AA23" t="n">
        <x:v>0</x:v>
      </x:c>
      <x:c r="AB23" t="n">
        <x:v>0</x:v>
      </x:c>
      <x:c r="AC23" t="str">
        <x:v>No granted equipment skill at Grey rarity.</x:v>
      </x:c>
    </x:row>
    <x:row r="24">
      <x:c r="A24" t="str">
        <x:v>ARM-020</x:v>
      </x:c>
      <x:c r="B24" t="str">
        <x:v>Sturdy Shadowplume Vest</x:v>
      </x:c>
      <x:c r="C24" t="str">
        <x:v>Green</x:v>
      </x:c>
      <x:c r="D24" t="str">
        <x:v>Shadowplume</x:v>
      </x:c>
      <x:c r="E24" t="str">
        <x:v>Armour/Plumage</x:v>
      </x:c>
      <x:c r="F24" t="str">
        <x:v>Light</x:v>
      </x:c>
      <x:c r="G24" t="str">
        <x:v>Rogue, Dexterity Bard, bow user</x:v>
      </x:c>
      <x:c r="H24" t="n">
        <x:v>2</x:v>
      </x:c>
      <x:c r="I24" t="n">
        <x:v>3</x:v>
      </x:c>
      <x:c r="J24" t="n">
        <x:v>0</x:v>
      </x:c>
      <x:c r="K24" t="n">
        <x:v>0</x:v>
      </x:c>
      <x:c r="L24" t="n">
        <x:v>1</x:v>
      </x:c>
      <x:c r="M24" t="n">
        <x:v>0</x:v>
      </x:c>
      <x:c r="N24" t="n">
        <x:v>0</x:v>
      </x:c>
      <x:c r="O24" t="n">
        <x:v>0</x:v>
      </x:c>
      <x:c r="P24" t="n">
        <x:v>1</x:v>
      </x:c>
      <x:c r="Q24" t="n">
        <x:v>0</x:v>
      </x:c>
      <x:c r="R24" t="str">
        <x:v>While both protection pools remain above zero, gain +2 Agility.</x:v>
      </x:c>
      <x:c r="S24" t="str">
        <x:v>First successful Dodge each combat restores 1 to the lower protection pool.</x:v>
      </x:c>
      <x:c r="T24" t="str">
        <x:v>Ember; Frost; Storm; Venom; Blood; Lunar; Solar</x:v>
      </x:c>
      <x:c r="U24" t="str">
        <x:v>Light finesse and mobility equipment.</x:v>
      </x:c>
      <x:c r="V24" t="str">
        <x:v>Matching protection blocks its ailments. Restoration: 1-turn cooldown and no overflow. Fortify/Ward: heal and overflow with 2-turn cooldown. Dual Bastion/Aegis: 3-turn cooldown.</x:v>
      </x:c>
      <x:c r="W24" t="str">
        <x:v>Active</x:v>
      </x:c>
      <x:c r="X24" t="str">
        <x:v>Featherstep</x:v>
      </x:c>
      <x:c r="Y24" t="str">
        <x:v>Vanishing Plumage</x:v>
      </x:c>
      <x:c r="Z24" t="str">
        <x:v>Featherstep</x:v>
      </x:c>
      <x:c r="AA24" t="n">
        <x:v>2</x:v>
      </x:c>
      <x:c r="AB24" t="n">
        <x:v>1</x:v>
      </x:c>
      <x:c r="AC24" t="str">
        <x:v>Gain Minor Agility Up for 2 turns and restore 2 Magic Armour.</x:v>
      </x:c>
    </x:row>
    <x:row r="25">
      <x:c r="A25" t="str">
        <x:v>ARM-021</x:v>
      </x:c>
      <x:c r="B25" t="str">
        <x:v>Tempered Shadowplume Vest</x:v>
      </x:c>
      <x:c r="C25" t="str">
        <x:v>Blue</x:v>
      </x:c>
      <x:c r="D25" t="str">
        <x:v>Shadowplume</x:v>
      </x:c>
      <x:c r="E25" t="str">
        <x:v>Armour/Plumage</x:v>
      </x:c>
      <x:c r="F25" t="str">
        <x:v>Light</x:v>
      </x:c>
      <x:c r="G25" t="str">
        <x:v>Rogue, Dexterity Bard, bow user</x:v>
      </x:c>
      <x:c r="H25" t="n">
        <x:v>3</x:v>
      </x:c>
      <x:c r="I25" t="n">
        <x:v>4</x:v>
      </x:c>
      <x:c r="J25" t="n">
        <x:v>0</x:v>
      </x:c>
      <x:c r="K25" t="n">
        <x:v>0</x:v>
      </x:c>
      <x:c r="L25" t="n">
        <x:v>2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0</x:v>
      </x:c>
      <x:c r="R25" t="str">
        <x:v>While both protection pools remain above zero, gain +3 Agility.</x:v>
      </x:c>
      <x:c r="S25" t="str">
        <x:v>First successful Dodge each combat restores 1 to the lower protection pool.</x:v>
      </x:c>
      <x:c r="T25" t="str">
        <x:v>Ember; Frost; Storm; Venom; Blood; Lunar; Solar</x:v>
      </x:c>
      <x:c r="U25" t="str">
        <x:v>Light finesse and mobility equipment.</x:v>
      </x:c>
      <x:c r="V25" t="str">
        <x:v>Matching protection blocks its ailments. Restoration: 1-turn cooldown and no overflow. Fortify/Ward: heal and overflow with 2-turn cooldown. Dual Bastion/Aegis: 3-turn cooldown.</x:v>
      </x:c>
      <x:c r="W25" t="str">
        <x:v>Active</x:v>
      </x:c>
      <x:c r="X25" t="str">
        <x:v>Featherstep</x:v>
      </x:c>
      <x:c r="Y25" t="str">
        <x:v>Vanishing Plumage</x:v>
      </x:c>
      <x:c r="Z25" t="str">
        <x:v>Featherstep</x:v>
      </x:c>
      <x:c r="AA25" t="n">
        <x:v>2</x:v>
      </x:c>
      <x:c r="AB25" t="n">
        <x:v>1</x:v>
      </x:c>
      <x:c r="AC25" t="str">
        <x:v>Gain Minor Agility Up for 2 turns and restore 2 Magic Armour.</x:v>
      </x:c>
    </x:row>
    <x:row r="26">
      <x:c r="A26" t="str">
        <x:v>ARM-022</x:v>
      </x:c>
      <x:c r="B26" t="str">
        <x:v>Masterwork Shadowplume Vest</x:v>
      </x:c>
      <x:c r="C26" t="str">
        <x:v>Purple</x:v>
      </x:c>
      <x:c r="D26" t="str">
        <x:v>Shadowplume</x:v>
      </x:c>
      <x:c r="E26" t="str">
        <x:v>Armour/Plumage</x:v>
      </x:c>
      <x:c r="F26" t="str">
        <x:v>Light</x:v>
      </x:c>
      <x:c r="G26" t="str">
        <x:v>Rogue, Dexterity Bard, bow user</x:v>
      </x:c>
      <x:c r="H26" t="n">
        <x:v>4</x:v>
      </x:c>
      <x:c r="I26" t="n">
        <x:v>6</x:v>
      </x:c>
      <x:c r="J26" t="n">
        <x:v>0</x:v>
      </x:c>
      <x:c r="K26" t="n">
        <x:v>0</x:v>
      </x:c>
      <x:c r="L26" t="n">
        <x:v>3</x:v>
      </x:c>
      <x:c r="M26" t="n">
        <x:v>0</x:v>
      </x:c>
      <x:c r="N26" t="n">
        <x:v>0</x:v>
      </x:c>
      <x:c r="O26" t="n">
        <x:v>1</x:v>
      </x:c>
      <x:c r="P26" t="n">
        <x:v>1</x:v>
      </x:c>
      <x:c r="Q26" t="n">
        <x:v>0</x:v>
      </x:c>
      <x:c r="R26" t="str">
        <x:v>While both protection pools remain above zero, gain +3 Agility.</x:v>
      </x:c>
      <x:c r="S26" t="str">
        <x:v>First successful Dodge each combat restores 1 to the lower protection pool.</x:v>
      </x:c>
      <x:c r="T26" t="str">
        <x:v>Ember; Frost; Storm; Venom; Blood; Lunar; Solar</x:v>
      </x:c>
      <x:c r="U26" t="str">
        <x:v>Light finesse and mobility equipment.</x:v>
      </x:c>
      <x:c r="V26" t="str">
        <x:v>Matching protection blocks its ailments. Restoration: 1-turn cooldown and no overflow. Fortify/Ward: heal and overflow with 2-turn cooldown. Dual Bastion/Aegis: 3-turn cooldown.</x:v>
      </x:c>
      <x:c r="W26" t="str">
        <x:v>Active</x:v>
      </x:c>
      <x:c r="X26" t="str">
        <x:v>Featherstep</x:v>
      </x:c>
      <x:c r="Y26" t="str">
        <x:v>Vanishing Plumage</x:v>
      </x:c>
      <x:c r="Z26" t="str">
        <x:v>Vanishing Plumage</x:v>
      </x:c>
      <x:c r="AA26" t="n">
        <x:v>3</x:v>
      </x:c>
      <x:c r="AB26" t="n">
        <x:v>2</x:v>
      </x:c>
      <x:c r="AC26" t="str">
        <x:v>Gain 5 Ward Magic Armour (add 5 to current Magic Armour and temporary Maximum Magic Armour) and Minor Agility Up for 2 turns.</x:v>
      </x:c>
    </x:row>
    <x:row r="27">
      <x:c r="A27" t="str">
        <x:v>ARM-023</x:v>
      </x:c>
      <x:c r="B27" t="str">
        <x:v>Regal Shadowplume Vest</x:v>
      </x:c>
      <x:c r="C27" t="str">
        <x:v>Gold</x:v>
      </x:c>
      <x:c r="D27" t="str">
        <x:v>Shadowplume</x:v>
      </x:c>
      <x:c r="E27" t="str">
        <x:v>Armour/Plumage</x:v>
      </x:c>
      <x:c r="F27" t="str">
        <x:v>Light</x:v>
      </x:c>
      <x:c r="G27" t="str">
        <x:v>Rogue, Dexterity Bard, bow user</x:v>
      </x:c>
      <x:c r="H27" t="n">
        <x:v>5</x:v>
      </x:c>
      <x:c r="I27" t="n">
        <x:v>8</x:v>
      </x:c>
      <x:c r="J27" t="n">
        <x:v>0</x:v>
      </x:c>
      <x:c r="K27" t="n">
        <x:v>0</x:v>
      </x:c>
      <x:c r="L27" t="n">
        <x:v>4</x:v>
      </x:c>
      <x:c r="M27" t="n">
        <x:v>0</x:v>
      </x:c>
      <x:c r="N27" t="n">
        <x:v>0</x:v>
      </x:c>
      <x:c r="O27" t="n">
        <x:v>1</x:v>
      </x:c>
      <x:c r="P27" t="n">
        <x:v>2</x:v>
      </x:c>
      <x:c r="Q27" t="n">
        <x:v>0</x:v>
      </x:c>
      <x:c r="R27" t="str">
        <x:v>While both protection pools remain above zero, gain +4 Agility.</x:v>
      </x:c>
      <x:c r="S27" t="str">
        <x:v>First successful Dodge each combat restores 2 to the lower protection pool.</x:v>
      </x:c>
      <x:c r="T27" t="str">
        <x:v>Ember; Frost; Storm; Venom; Blood; Lunar; Solar</x:v>
      </x:c>
      <x:c r="U27" t="str">
        <x:v>Light finesse and mobility equipment.</x:v>
      </x:c>
      <x:c r="V27" t="str">
        <x:v>Matching protection blocks its ailments. Restoration: 1-turn cooldown and no overflow. Fortify/Ward: heal and overflow with 2-turn cooldown. Dual Bastion/Aegis: 3-turn cooldown.</x:v>
      </x:c>
      <x:c r="W27" t="str">
        <x:v>Active</x:v>
      </x:c>
      <x:c r="X27" t="str">
        <x:v>Featherstep</x:v>
      </x:c>
      <x:c r="Y27" t="str">
        <x:v>Vanishing Plumage</x:v>
      </x:c>
      <x:c r="Z27" t="str">
        <x:v>Vanishing Plumage</x:v>
      </x:c>
      <x:c r="AA27" t="n">
        <x:v>3</x:v>
      </x:c>
      <x:c r="AB27" t="n">
        <x:v>2</x:v>
      </x:c>
      <x:c r="AC27" t="str">
        <x:v>Gain 5 Ward Magic Armour (add 5 to current Magic Armour and temporary Maximum Magic Armour) and Minor Agility Up for 2 turns.</x:v>
      </x:c>
    </x:row>
    <x:row r="28">
      <x:c r="A28" t="str">
        <x:v>ARM-024</x:v>
      </x:c>
      <x:c r="B28" t="str">
        <x:v>Mythic Shadowplume Vest</x:v>
      </x:c>
      <x:c r="C28" t="str">
        <x:v>Orange</x:v>
      </x:c>
      <x:c r="D28" t="str">
        <x:v>Shadowplume</x:v>
      </x:c>
      <x:c r="E28" t="str">
        <x:v>Armour/Plumage</x:v>
      </x:c>
      <x:c r="F28" t="str">
        <x:v>Light</x:v>
      </x:c>
      <x:c r="G28" t="str">
        <x:v>Rogue, Dexterity Bard, bow user</x:v>
      </x:c>
      <x:c r="H28" t="n">
        <x:v>7</x:v>
      </x:c>
      <x:c r="I28" t="n">
        <x:v>11</x:v>
      </x:c>
      <x:c r="J28" t="n">
        <x:v>0</x:v>
      </x:c>
      <x:c r="K28" t="n">
        <x:v>0</x:v>
      </x:c>
      <x:c r="L28" t="n">
        <x:v>5</x:v>
      </x:c>
      <x:c r="M28" t="n">
        <x:v>0</x:v>
      </x:c>
      <x:c r="N28" t="n">
        <x:v>0</x:v>
      </x:c>
      <x:c r="O28" t="n">
        <x:v>2</x:v>
      </x:c>
      <x:c r="P28" t="n">
        <x:v>2</x:v>
      </x:c>
      <x:c r="Q28" t="n">
        <x:v>0</x:v>
      </x:c>
      <x:c r="R28" t="str">
        <x:v>While both protection pools remain above zero, gain +5 Agility.</x:v>
      </x:c>
      <x:c r="S28" t="str">
        <x:v>First successful Dodge each combat restores 2 to the lower protection pool.</x:v>
      </x:c>
      <x:c r="T28" t="str">
        <x:v>Ember; Frost; Storm; Venom; Blood; Lunar; Solar</x:v>
      </x:c>
      <x:c r="U28" t="str">
        <x:v>Light finesse and mobility equipment.</x:v>
      </x:c>
      <x:c r="V28" t="str">
        <x:v>Matching protection blocks its ailments. Restoration: 1-turn cooldown and no overflow. Fortify/Ward: heal and overflow with 2-turn cooldown. Dual Bastion/Aegis: 3-turn cooldown.</x:v>
      </x:c>
      <x:c r="W28" t="str">
        <x:v>Active</x:v>
      </x:c>
      <x:c r="X28" t="str">
        <x:v>Featherstep</x:v>
      </x:c>
      <x:c r="Y28" t="str">
        <x:v>Vanishing Plumage</x:v>
      </x:c>
      <x:c r="Z28" t="str">
        <x:v>Vanishing Plumage</x:v>
      </x:c>
      <x:c r="AA28" t="n">
        <x:v>3</x:v>
      </x:c>
      <x:c r="AB28" t="n">
        <x:v>2</x:v>
      </x:c>
      <x:c r="AC28" t="str">
        <x:v>Gain 5 Ward Magic Armour (add 5 to current Magic Armour and temporary Maximum Magic Armour) and Minor Agility Up for 2 turns.</x:v>
      </x:c>
    </x:row>
    <x:row r="29">
      <x:c r="A29" t="str">
        <x:v>ARM-025</x:v>
      </x:c>
      <x:c r="B29" t="str">
        <x:v>Bone-Laced Warplumage</x:v>
      </x:c>
      <x:c r="C29" t="str">
        <x:v>Grey</x:v>
      </x:c>
      <x:c r="D29" t="str">
        <x:v>Bonecrest Warplate</x:v>
      </x:c>
      <x:c r="E29" t="str">
        <x:v>Armour/Plumage</x:v>
      </x:c>
      <x:c r="F29" t="str">
        <x:v>Medium</x:v>
      </x:c>
      <x:c r="G29" t="str">
        <x:v>Brute, offensive Knight, Might Inquisitor</x:v>
      </x:c>
      <x:c r="H29" t="n">
        <x:v>3</x:v>
      </x:c>
      <x:c r="I29" t="n">
        <x:v>1</x:v>
      </x:c>
      <x:c r="J29" t="n">
        <x:v>0</x:v>
      </x:c>
      <x:c r="K29" t="n">
        <x:v>1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str">
        <x:v>While Armour remains, gain +2 Might.</x:v>
      </x:c>
      <x:c r="S29" t="str">
        <x:v>First physical attack that breaks enemy Armour each combat gains +10 Skill Power.</x:v>
      </x:c>
      <x:c r="T29" t="str">
        <x:v>Ember; Frost; Storm; Venom; Blood; Lunar; Solar</x:v>
      </x:c>
      <x:c r="U29" t="str">
        <x:v>Aggressive physical armour and Armour-break synergy.</x:v>
      </x:c>
      <x:c r="V29" t="str">
        <x:v>Matching protection blocks its ailments. Restoration: 1-turn cooldown and no overflow. Fortify/Ward: heal and overflow with 2-turn cooldown. Dual Bastion/Aegis: 3-turn cooldown.</x:v>
      </x:c>
      <x:c r="W29" t="str">
        <x:v>Active</x:v>
      </x:c>
      <x:c r="X29" t="str">
        <x:v>Battle Brace</x:v>
      </x:c>
      <x:c r="Y29" t="str">
        <x:v>Warplate Surge</x:v>
      </x:c>
      <x:c r="Z29" t="str">
        <x:v>None</x:v>
      </x:c>
      <x:c r="AA29" t="n">
        <x:v>0</x:v>
      </x:c>
      <x:c r="AB29" t="n">
        <x:v>0</x:v>
      </x:c>
      <x:c r="AC29" t="str">
        <x:v>No granted equipment skill at Grey rarity.</x:v>
      </x:c>
    </x:row>
    <x:row r="30">
      <x:c r="A30" t="str">
        <x:v>ARM-026</x:v>
      </x:c>
      <x:c r="B30" t="str">
        <x:v>Sturdy Bone-Laced Warplumage</x:v>
      </x:c>
      <x:c r="C30" t="str">
        <x:v>Green</x:v>
      </x:c>
      <x:c r="D30" t="str">
        <x:v>Bonecrest Warplate</x:v>
      </x:c>
      <x:c r="E30" t="str">
        <x:v>Armour/Plumage</x:v>
      </x:c>
      <x:c r="F30" t="str">
        <x:v>Medium</x:v>
      </x:c>
      <x:c r="G30" t="str">
        <x:v>Brute, offensive Knight, Might Inquisitor</x:v>
      </x:c>
      <x:c r="H30" t="n">
        <x:v>5</x:v>
      </x:c>
      <x:c r="I30" t="n">
        <x:v>1</x:v>
      </x:c>
      <x:c r="J30" t="n">
        <x:v>0</x:v>
      </x:c>
      <x:c r="K30" t="n">
        <x:v>1</x:v>
      </x:c>
      <x:c r="L30" t="n">
        <x:v>0</x:v>
      </x:c>
      <x:c r="M30" t="n">
        <x:v>1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str">
        <x:v>While Armour remains, gain +2 Might.</x:v>
      </x:c>
      <x:c r="S30" t="str">
        <x:v>First physical attack that breaks enemy Armour each combat gains +10 Skill Power.</x:v>
      </x:c>
      <x:c r="T30" t="str">
        <x:v>Ember; Frost; Storm; Venom; Blood; Lunar; Solar</x:v>
      </x:c>
      <x:c r="U30" t="str">
        <x:v>Aggressive physical armour and Armour-break synergy.</x:v>
      </x:c>
      <x:c r="V30" t="str">
        <x:v>Matching protection blocks its ailments. Restoration: 1-turn cooldown and no overflow. Fortify/Ward: heal and overflow with 2-turn cooldown. Dual Bastion/Aegis: 3-turn cooldown.</x:v>
      </x:c>
      <x:c r="W30" t="str">
        <x:v>Active</x:v>
      </x:c>
      <x:c r="X30" t="str">
        <x:v>Battle Brace</x:v>
      </x:c>
      <x:c r="Y30" t="str">
        <x:v>Warplate Surge</x:v>
      </x:c>
      <x:c r="Z30" t="str">
        <x:v>Battle Brace</x:v>
      </x:c>
      <x:c r="AA30" t="n">
        <x:v>2</x:v>
      </x:c>
      <x:c r="AB30" t="n">
        <x:v>1</x:v>
      </x:c>
      <x:c r="AC30" t="str">
        <x:v>Restore 4 Armour, gain Minor Might Up for 1 turn, and remove 1 Fracture stack. Does not remove Shattered.</x:v>
      </x:c>
    </x:row>
    <x:row r="31">
      <x:c r="A31" t="str">
        <x:v>ARM-027</x:v>
      </x:c>
      <x:c r="B31" t="str">
        <x:v>Tempered Bone-Laced Warplumage</x:v>
      </x:c>
      <x:c r="C31" t="str">
        <x:v>Blue</x:v>
      </x:c>
      <x:c r="D31" t="str">
        <x:v>Bonecrest Warplate</x:v>
      </x:c>
      <x:c r="E31" t="str">
        <x:v>Armour/Plumage</x:v>
      </x:c>
      <x:c r="F31" t="str">
        <x:v>Medium</x:v>
      </x:c>
      <x:c r="G31" t="str">
        <x:v>Brute, offensive Knight, Might Inquisitor</x:v>
      </x:c>
      <x:c r="H31" t="n">
        <x:v>7</x:v>
      </x:c>
      <x:c r="I31" t="n">
        <x:v>2</x:v>
      </x:c>
      <x:c r="J31" t="n">
        <x:v>0</x:v>
      </x:c>
      <x:c r="K31" t="n">
        <x:v>2</x:v>
      </x:c>
      <x:c r="L31" t="n">
        <x:v>0</x:v>
      </x:c>
      <x:c r="M31" t="n">
        <x:v>1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str">
        <x:v>While Armour remains, gain +3 Might.</x:v>
      </x:c>
      <x:c r="S31" t="str">
        <x:v>First physical attack that breaks enemy Armour each combat gains +10 Skill Power.</x:v>
      </x:c>
      <x:c r="T31" t="str">
        <x:v>Ember; Frost; Storm; Venom; Blood; Lunar; Solar</x:v>
      </x:c>
      <x:c r="U31" t="str">
        <x:v>Aggressive physical armour and Armour-break synergy.</x:v>
      </x:c>
      <x:c r="V31" t="str">
        <x:v>Matching protection blocks its ailments. Restoration: 1-turn cooldown and no overflow. Fortify/Ward: heal and overflow with 2-turn cooldown. Dual Bastion/Aegis: 3-turn cooldown.</x:v>
      </x:c>
      <x:c r="W31" t="str">
        <x:v>Active</x:v>
      </x:c>
      <x:c r="X31" t="str">
        <x:v>Battle Brace</x:v>
      </x:c>
      <x:c r="Y31" t="str">
        <x:v>Warplate Surge</x:v>
      </x:c>
      <x:c r="Z31" t="str">
        <x:v>Battle Brace</x:v>
      </x:c>
      <x:c r="AA31" t="n">
        <x:v>2</x:v>
      </x:c>
      <x:c r="AB31" t="n">
        <x:v>1</x:v>
      </x:c>
      <x:c r="AC31" t="str">
        <x:v>Restore 4 Armour, gain Minor Might Up for 1 turn, and remove 1 Fracture stack. Does not remove Shattered.</x:v>
      </x:c>
    </x:row>
    <x:row r="32">
      <x:c r="A32" t="str">
        <x:v>ARM-028</x:v>
      </x:c>
      <x:c r="B32" t="str">
        <x:v>Masterwork Bone-Laced Warplumage</x:v>
      </x:c>
      <x:c r="C32" t="str">
        <x:v>Purple</x:v>
      </x:c>
      <x:c r="D32" t="str">
        <x:v>Bonecrest Warplate</x:v>
      </x:c>
      <x:c r="E32" t="str">
        <x:v>Armour/Plumage</x:v>
      </x:c>
      <x:c r="F32" t="str">
        <x:v>Medium</x:v>
      </x:c>
      <x:c r="G32" t="str">
        <x:v>Brute, offensive Knight, Might Inquisitor</x:v>
      </x:c>
      <x:c r="H32" t="n">
        <x:v>9</x:v>
      </x:c>
      <x:c r="I32" t="n">
        <x:v>3</x:v>
      </x:c>
      <x:c r="J32" t="n">
        <x:v>1</x:v>
      </x:c>
      <x:c r="K32" t="n">
        <x:v>3</x:v>
      </x:c>
      <x:c r="L32" t="n">
        <x:v>0</x:v>
      </x:c>
      <x:c r="M32" t="n">
        <x:v>1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str">
        <x:v>While Armour remains, gain +3 Might.</x:v>
      </x:c>
      <x:c r="S32" t="str">
        <x:v>First physical attack that breaks enemy Armour each combat gains +15 Skill Power.</x:v>
      </x:c>
      <x:c r="T32" t="str">
        <x:v>Ember; Frost; Storm; Venom; Blood; Lunar; Solar</x:v>
      </x:c>
      <x:c r="U32" t="str">
        <x:v>Aggressive physical armour and Armour-break synergy.</x:v>
      </x:c>
      <x:c r="V32" t="str">
        <x:v>Matching protection blocks its ailments. Restoration: 1-turn cooldown and no overflow. Fortify/Ward: heal and overflow with 2-turn cooldown. Dual Bastion/Aegis: 3-turn cooldown.</x:v>
      </x:c>
      <x:c r="W32" t="str">
        <x:v>Active</x:v>
      </x:c>
      <x:c r="X32" t="str">
        <x:v>Battle Brace</x:v>
      </x:c>
      <x:c r="Y32" t="str">
        <x:v>Warplate Surge</x:v>
      </x:c>
      <x:c r="Z32" t="str">
        <x:v>Warplate Surge</x:v>
      </x:c>
      <x:c r="AA32" t="n">
        <x:v>3</x:v>
      </x:c>
      <x:c r="AB32" t="n">
        <x:v>2</x:v>
      </x:c>
      <x:c r="AC32" t="str">
        <x:v>Gain 6 Fortified Armour (add 6 to current Armour and temporary Maximum Armour) and Minor Might Up for 2 turns.</x:v>
      </x:c>
    </x:row>
    <x:row r="33">
      <x:c r="A33" t="str">
        <x:v>ARM-029</x:v>
      </x:c>
      <x:c r="B33" t="str">
        <x:v>Regal Bone-Laced Warplumage</x:v>
      </x:c>
      <x:c r="C33" t="str">
        <x:v>Gold</x:v>
      </x:c>
      <x:c r="D33" t="str">
        <x:v>Bonecrest Warplate</x:v>
      </x:c>
      <x:c r="E33" t="str">
        <x:v>Armour/Plumage</x:v>
      </x:c>
      <x:c r="F33" t="str">
        <x:v>Medium</x:v>
      </x:c>
      <x:c r="G33" t="str">
        <x:v>Brute, offensive Knight, Might Inquisitor</x:v>
      </x:c>
      <x:c r="H33" t="n">
        <x:v>12</x:v>
      </x:c>
      <x:c r="I33" t="n">
        <x:v>4</x:v>
      </x:c>
      <x:c r="J33" t="n">
        <x:v>1</x:v>
      </x:c>
      <x:c r="K33" t="n">
        <x:v>4</x:v>
      </x:c>
      <x:c r="L33" t="n">
        <x:v>0</x:v>
      </x:c>
      <x:c r="M33" t="n">
        <x:v>2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str">
        <x:v>While Armour remains, gain +4 Might.</x:v>
      </x:c>
      <x:c r="S33" t="str">
        <x:v>First physical attack that breaks enemy Armour each combat gains +20 Skill Power.</x:v>
      </x:c>
      <x:c r="T33" t="str">
        <x:v>Ember; Frost; Storm; Venom; Blood; Lunar; Solar</x:v>
      </x:c>
      <x:c r="U33" t="str">
        <x:v>Aggressive physical armour and Armour-break synergy.</x:v>
      </x:c>
      <x:c r="V33" t="str">
        <x:v>Matching protection blocks its ailments. Restoration: 1-turn cooldown and no overflow. Fortify/Ward: heal and overflow with 2-turn cooldown. Dual Bastion/Aegis: 3-turn cooldown.</x:v>
      </x:c>
      <x:c r="W33" t="str">
        <x:v>Active</x:v>
      </x:c>
      <x:c r="X33" t="str">
        <x:v>Battle Brace</x:v>
      </x:c>
      <x:c r="Y33" t="str">
        <x:v>Warplate Surge</x:v>
      </x:c>
      <x:c r="Z33" t="str">
        <x:v>Warplate Surge</x:v>
      </x:c>
      <x:c r="AA33" t="n">
        <x:v>3</x:v>
      </x:c>
      <x:c r="AB33" t="n">
        <x:v>2</x:v>
      </x:c>
      <x:c r="AC33" t="str">
        <x:v>Gain 6 Fortified Armour (add 6 to current Armour and temporary Maximum Armour) and Minor Might Up for 2 turns.</x:v>
      </x:c>
    </x:row>
    <x:row r="34">
      <x:c r="A34" t="str">
        <x:v>ARM-030</x:v>
      </x:c>
      <x:c r="B34" t="str">
        <x:v>Mythic Bone-Laced Warplumage</x:v>
      </x:c>
      <x:c r="C34" t="str">
        <x:v>Orange</x:v>
      </x:c>
      <x:c r="D34" t="str">
        <x:v>Bonecrest Warplate</x:v>
      </x:c>
      <x:c r="E34" t="str">
        <x:v>Armour/Plumage</x:v>
      </x:c>
      <x:c r="F34" t="str">
        <x:v>Medium</x:v>
      </x:c>
      <x:c r="G34" t="str">
        <x:v>Brute, offensive Knight, Might Inquisitor</x:v>
      </x:c>
      <x:c r="H34" t="n">
        <x:v>16</x:v>
      </x:c>
      <x:c r="I34" t="n">
        <x:v>6</x:v>
      </x:c>
      <x:c r="J34" t="n">
        <x:v>2</x:v>
      </x:c>
      <x:c r="K34" t="n">
        <x:v>5</x:v>
      </x:c>
      <x:c r="L34" t="n">
        <x:v>0</x:v>
      </x:c>
      <x:c r="M34" t="n">
        <x:v>2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str">
        <x:v>While Armour remains, gain +5 Might.</x:v>
      </x:c>
      <x:c r="S34" t="str">
        <x:v>First physical attack that breaks enemy Armour each combat gains +20 Skill Power.</x:v>
      </x:c>
      <x:c r="T34" t="str">
        <x:v>Ember; Frost; Storm; Venom; Blood; Lunar; Solar</x:v>
      </x:c>
      <x:c r="U34" t="str">
        <x:v>Aggressive physical armour and Armour-break synergy.</x:v>
      </x:c>
      <x:c r="V34" t="str">
        <x:v>Matching protection blocks its ailments. Restoration: 1-turn cooldown and no overflow. Fortify/Ward: heal and overflow with 2-turn cooldown. Dual Bastion/Aegis: 3-turn cooldown.</x:v>
      </x:c>
      <x:c r="W34" t="str">
        <x:v>Active</x:v>
      </x:c>
      <x:c r="X34" t="str">
        <x:v>Battle Brace</x:v>
      </x:c>
      <x:c r="Y34" t="str">
        <x:v>Warplate Surge</x:v>
      </x:c>
      <x:c r="Z34" t="str">
        <x:v>Warplate Surge</x:v>
      </x:c>
      <x:c r="AA34" t="n">
        <x:v>3</x:v>
      </x:c>
      <x:c r="AB34" t="n">
        <x:v>2</x:v>
      </x:c>
      <x:c r="AC34" t="str">
        <x:v>Gain 6 Fortified Armour (add 6 to current Armour and temporary Maximum Armour) and Minor Might Up for 2 turns.</x:v>
      </x:c>
    </x:row>
    <x:row r="35">
      <x:c r="A35" t="str">
        <x:v>ARM-031</x:v>
      </x:c>
      <x:c r="B35" t="str">
        <x:v>Crystalwind Vestments</x:v>
      </x:c>
      <x:c r="C35" t="str">
        <x:v>Grey</x:v>
      </x:c>
      <x:c r="D35" t="str">
        <x:v>Crystalwind Regalia</x:v>
      </x:c>
      <x:c r="E35" t="str">
        <x:v>Armour/Plumage</x:v>
      </x:c>
      <x:c r="F35" t="str">
        <x:v>Light</x:v>
      </x:c>
      <x:c r="G35" t="str">
        <x:v>Fast Mage, Siren, magical Bard</x:v>
      </x:c>
      <x:c r="H35" t="n">
        <x:v>0</x:v>
      </x:c>
      <x:c r="I35" t="n">
        <x:v>3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1</x:v>
      </x:c>
      <x:c r="O35" t="n">
        <x:v>0</x:v>
      </x:c>
      <x:c r="P35" t="n">
        <x:v>0</x:v>
      </x:c>
      <x:c r="Q35" t="n">
        <x:v>0</x:v>
      </x:c>
      <x:c r="R35" t="str">
        <x:v>While Magic Armour remains, gain +2 Agility.</x:v>
      </x:c>
      <x:c r="S35" t="str">
        <x:v>First magical attack that breaks enemy Magic Armour grants Minor Focus Up until the end of the next turn.</x:v>
      </x:c>
      <x:c r="T35" t="str">
        <x:v>Ember; Frost; Storm; Venom; Blood; Lunar; Solar</x:v>
      </x:c>
      <x:c r="U35" t="str">
        <x:v>Light magical equipment combining Focus and Agility.</x:v>
      </x:c>
      <x:c r="V35" t="str">
        <x:v>Matching protection blocks its ailments. Restoration: 1-turn cooldown and no overflow. Fortify/Ward: heal and overflow with 2-turn cooldown. Dual Bastion/Aegis: 3-turn cooldown.</x:v>
      </x:c>
      <x:c r="W35" t="str">
        <x:v>Active</x:v>
      </x:c>
      <x:c r="X35" t="str">
        <x:v>Crystal Mend</x:v>
      </x:c>
      <x:c r="Y35" t="str">
        <x:v>Gale Ward</x:v>
      </x:c>
      <x:c r="Z35" t="str">
        <x:v>None</x:v>
      </x:c>
      <x:c r="AA35" t="n">
        <x:v>0</x:v>
      </x:c>
      <x:c r="AB35" t="n">
        <x:v>0</x:v>
      </x:c>
      <x:c r="AC35" t="str">
        <x:v>No granted equipment skill at Grey rarity.</x:v>
      </x:c>
    </x:row>
    <x:row r="36">
      <x:c r="A36" t="str">
        <x:v>ARM-032</x:v>
      </x:c>
      <x:c r="B36" t="str">
        <x:v>Sturdy Crystalwind Vestments</x:v>
      </x:c>
      <x:c r="C36" t="str">
        <x:v>Green</x:v>
      </x:c>
      <x:c r="D36" t="str">
        <x:v>Crystalwind Regalia</x:v>
      </x:c>
      <x:c r="E36" t="str">
        <x:v>Armour/Plumage</x:v>
      </x:c>
      <x:c r="F36" t="str">
        <x:v>Light</x:v>
      </x:c>
      <x:c r="G36" t="str">
        <x:v>Fast Mage, Siren, magical Bard</x:v>
      </x:c>
      <x:c r="H36" t="n">
        <x:v>1</x:v>
      </x:c>
      <x:c r="I36" t="n">
        <x:v>4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1</x:v>
      </x:c>
      <x:c r="O36" t="n">
        <x:v>0</x:v>
      </x:c>
      <x:c r="P36" t="n">
        <x:v>1</x:v>
      </x:c>
      <x:c r="Q36" t="n">
        <x:v>0</x:v>
      </x:c>
      <x:c r="R36" t="str">
        <x:v>While Magic Armour remains, gain +2 Agility.</x:v>
      </x:c>
      <x:c r="S36" t="str">
        <x:v>First magical attack that breaks enemy Magic Armour grants Minor Focus Up until the end of the next turn.</x:v>
      </x:c>
      <x:c r="T36" t="str">
        <x:v>Ember; Frost; Storm; Venom; Blood; Lunar; Solar</x:v>
      </x:c>
      <x:c r="U36" t="str">
        <x:v>Light magical equipment combining Focus and Agility.</x:v>
      </x:c>
      <x:c r="V36" t="str">
        <x:v>Matching protection blocks its ailments. Restoration: 1-turn cooldown and no overflow. Fortify/Ward: heal and overflow with 2-turn cooldown. Dual Bastion/Aegis: 3-turn cooldown.</x:v>
      </x:c>
      <x:c r="W36" t="str">
        <x:v>Active</x:v>
      </x:c>
      <x:c r="X36" t="str">
        <x:v>Crystal Mend</x:v>
      </x:c>
      <x:c r="Y36" t="str">
        <x:v>Gale Ward</x:v>
      </x:c>
      <x:c r="Z36" t="str">
        <x:v>Crystal Mend</x:v>
      </x:c>
      <x:c r="AA36" t="n">
        <x:v>2</x:v>
      </x:c>
      <x:c r="AB36" t="n">
        <x:v>1</x:v>
      </x:c>
      <x:c r="AC36" t="str">
        <x:v>Restore 4 Magic Armour.</x:v>
      </x:c>
    </x:row>
    <x:row r="37">
      <x:c r="A37" t="str">
        <x:v>ARM-033</x:v>
      </x:c>
      <x:c r="B37" t="str">
        <x:v>Tempered Crystalwind Vestments</x:v>
      </x:c>
      <x:c r="C37" t="str">
        <x:v>Blue</x:v>
      </x:c>
      <x:c r="D37" t="str">
        <x:v>Crystalwind Regalia</x:v>
      </x:c>
      <x:c r="E37" t="str">
        <x:v>Armour/Plumage</x:v>
      </x:c>
      <x:c r="F37" t="str">
        <x:v>Light</x:v>
      </x:c>
      <x:c r="G37" t="str">
        <x:v>Fast Mage, Siren, magical Bard</x:v>
      </x:c>
      <x:c r="H37" t="n">
        <x:v>1</x:v>
      </x:c>
      <x:c r="I37" t="n">
        <x:v>6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2</x:v>
      </x:c>
      <x:c r="O37" t="n">
        <x:v>0</x:v>
      </x:c>
      <x:c r="P37" t="n">
        <x:v>1</x:v>
      </x:c>
      <x:c r="Q37" t="n">
        <x:v>0</x:v>
      </x:c>
      <x:c r="R37" t="str">
        <x:v>While Magic Armour remains, gain +3 Agility.</x:v>
      </x:c>
      <x:c r="S37" t="str">
        <x:v>First magical attack that breaks enemy Magic Armour grants Minor Focus Up until the end of the next turn.</x:v>
      </x:c>
      <x:c r="T37" t="str">
        <x:v>Ember; Frost; Storm; Venom; Blood; Lunar; Solar</x:v>
      </x:c>
      <x:c r="U37" t="str">
        <x:v>Light magical equipment combining Focus and Agility.</x:v>
      </x:c>
      <x:c r="V37" t="str">
        <x:v>Matching protection blocks its ailments. Restoration: 1-turn cooldown and no overflow. Fortify/Ward: heal and overflow with 2-turn cooldown. Dual Bastion/Aegis: 3-turn cooldown.</x:v>
      </x:c>
      <x:c r="W37" t="str">
        <x:v>Active</x:v>
      </x:c>
      <x:c r="X37" t="str">
        <x:v>Crystal Mend</x:v>
      </x:c>
      <x:c r="Y37" t="str">
        <x:v>Gale Ward</x:v>
      </x:c>
      <x:c r="Z37" t="str">
        <x:v>Crystal Mend</x:v>
      </x:c>
      <x:c r="AA37" t="n">
        <x:v>2</x:v>
      </x:c>
      <x:c r="AB37" t="n">
        <x:v>1</x:v>
      </x:c>
      <x:c r="AC37" t="str">
        <x:v>Restore 4 Magic Armour.</x:v>
      </x:c>
    </x:row>
    <x:row r="38">
      <x:c r="A38" t="str">
        <x:v>ARM-034</x:v>
      </x:c>
      <x:c r="B38" t="str">
        <x:v>Masterwork Crystalwind Vestments</x:v>
      </x:c>
      <x:c r="C38" t="str">
        <x:v>Purple</x:v>
      </x:c>
      <x:c r="D38" t="str">
        <x:v>Crystalwind Regalia</x:v>
      </x:c>
      <x:c r="E38" t="str">
        <x:v>Armour/Plumage</x:v>
      </x:c>
      <x:c r="F38" t="str">
        <x:v>Light</x:v>
      </x:c>
      <x:c r="G38" t="str">
        <x:v>Fast Mage, Siren, magical Bard</x:v>
      </x:c>
      <x:c r="H38" t="n">
        <x:v>2</x:v>
      </x:c>
      <x:c r="I38" t="n">
        <x:v>8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3</x:v>
      </x:c>
      <x:c r="O38" t="n">
        <x:v>1</x:v>
      </x:c>
      <x:c r="P38" t="n">
        <x:v>1</x:v>
      </x:c>
      <x:c r="Q38" t="n">
        <x:v>0</x:v>
      </x:c>
      <x:c r="R38" t="str">
        <x:v>While Magic Armour remains, gain +3 Agility.</x:v>
      </x:c>
      <x:c r="S38" t="str">
        <x:v>First magical attack that breaks enemy Magic Armour grants Minor Focus Up until the end of the next turn.</x:v>
      </x:c>
      <x:c r="T38" t="str">
        <x:v>Ember; Frost; Storm; Venom; Blood; Lunar; Solar</x:v>
      </x:c>
      <x:c r="U38" t="str">
        <x:v>Light magical equipment combining Focus and Agility.</x:v>
      </x:c>
      <x:c r="V38" t="str">
        <x:v>Matching protection blocks its ailments. Restoration: 1-turn cooldown and no overflow. Fortify/Ward: heal and overflow with 2-turn cooldown. Dual Bastion/Aegis: 3-turn cooldown.</x:v>
      </x:c>
      <x:c r="W38" t="str">
        <x:v>Active</x:v>
      </x:c>
      <x:c r="X38" t="str">
        <x:v>Crystal Mend</x:v>
      </x:c>
      <x:c r="Y38" t="str">
        <x:v>Gale Ward</x:v>
      </x:c>
      <x:c r="Z38" t="str">
        <x:v>Gale Ward</x:v>
      </x:c>
      <x:c r="AA38" t="n">
        <x:v>3</x:v>
      </x:c>
      <x:c r="AB38" t="n">
        <x:v>2</x:v>
      </x:c>
      <x:c r="AC38" t="str">
        <x:v>Gain 7 Ward Magic Armour (add 7 to current Magic Armour and temporary Maximum Magic Armour) and Minor Agility Up for 2 turns.</x:v>
      </x:c>
    </x:row>
    <x:row r="39">
      <x:c r="A39" t="str">
        <x:v>ARM-035</x:v>
      </x:c>
      <x:c r="B39" t="str">
        <x:v>Regal Crystalwind Vestments</x:v>
      </x:c>
      <x:c r="C39" t="str">
        <x:v>Gold</x:v>
      </x:c>
      <x:c r="D39" t="str">
        <x:v>Crystalwind Regalia</x:v>
      </x:c>
      <x:c r="E39" t="str">
        <x:v>Armour/Plumage</x:v>
      </x:c>
      <x:c r="F39" t="str">
        <x:v>Light</x:v>
      </x:c>
      <x:c r="G39" t="str">
        <x:v>Fast Mage, Siren, magical Bard</x:v>
      </x:c>
      <x:c r="H39" t="n">
        <x:v>3</x:v>
      </x:c>
      <x:c r="I39" t="n">
        <x:v>10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4</x:v>
      </x:c>
      <x:c r="O39" t="n">
        <x:v>1</x:v>
      </x:c>
      <x:c r="P39" t="n">
        <x:v>2</x:v>
      </x:c>
      <x:c r="Q39" t="n">
        <x:v>0</x:v>
      </x:c>
      <x:c r="R39" t="str">
        <x:v>While Magic Armour remains, gain +4 Agility.</x:v>
      </x:c>
      <x:c r="S39" t="str">
        <x:v>First magical attack that breaks enemy Magic Armour grants Minor Focus Up until the end of the next turn.</x:v>
      </x:c>
      <x:c r="T39" t="str">
        <x:v>Ember; Frost; Storm; Venom; Blood; Lunar; Solar</x:v>
      </x:c>
      <x:c r="U39" t="str">
        <x:v>Light magical equipment combining Focus and Agility.</x:v>
      </x:c>
      <x:c r="V39" t="str">
        <x:v>Matching protection blocks its ailments. Restoration: 1-turn cooldown and no overflow. Fortify/Ward: heal and overflow with 2-turn cooldown. Dual Bastion/Aegis: 3-turn cooldown.</x:v>
      </x:c>
      <x:c r="W39" t="str">
        <x:v>Active</x:v>
      </x:c>
      <x:c r="X39" t="str">
        <x:v>Crystal Mend</x:v>
      </x:c>
      <x:c r="Y39" t="str">
        <x:v>Gale Ward</x:v>
      </x:c>
      <x:c r="Z39" t="str">
        <x:v>Gale Ward</x:v>
      </x:c>
      <x:c r="AA39" t="n">
        <x:v>3</x:v>
      </x:c>
      <x:c r="AB39" t="n">
        <x:v>2</x:v>
      </x:c>
      <x:c r="AC39" t="str">
        <x:v>Gain 7 Ward Magic Armour (add 7 to current Magic Armour and temporary Maximum Magic Armour) and Minor Agility Up for 2 turns.</x:v>
      </x:c>
    </x:row>
    <x:row r="40">
      <x:c r="A40" t="str">
        <x:v>ARM-036</x:v>
      </x:c>
      <x:c r="B40" t="str">
        <x:v>Mythic Crystalwind Vestments</x:v>
      </x:c>
      <x:c r="C40" t="str">
        <x:v>Orange</x:v>
      </x:c>
      <x:c r="D40" t="str">
        <x:v>Crystalwind Regalia</x:v>
      </x:c>
      <x:c r="E40" t="str">
        <x:v>Armour/Plumage</x:v>
      </x:c>
      <x:c r="F40" t="str">
        <x:v>Light</x:v>
      </x:c>
      <x:c r="G40" t="str">
        <x:v>Fast Mage, Siren, magical Bard</x:v>
      </x:c>
      <x:c r="H40" t="n">
        <x:v>4</x:v>
      </x:c>
      <x:c r="I40" t="n">
        <x:v>14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5</x:v>
      </x:c>
      <x:c r="O40" t="n">
        <x:v>2</x:v>
      </x:c>
      <x:c r="P40" t="n">
        <x:v>2</x:v>
      </x:c>
      <x:c r="Q40" t="n">
        <x:v>0</x:v>
      </x:c>
      <x:c r="R40" t="str">
        <x:v>While Magic Armour remains, gain +5 Agility.</x:v>
      </x:c>
      <x:c r="S40" t="str">
        <x:v>First magical attack that breaks enemy Magic Armour grants Minor Focus Up until the end of the next turn.</x:v>
      </x:c>
      <x:c r="T40" t="str">
        <x:v>Ember; Frost; Storm; Venom; Blood; Lunar; Solar</x:v>
      </x:c>
      <x:c r="U40" t="str">
        <x:v>Light magical equipment combining Focus and Agility.</x:v>
      </x:c>
      <x:c r="V40" t="str">
        <x:v>Matching protection blocks its ailments. Restoration: 1-turn cooldown and no overflow. Fortify/Ward: heal and overflow with 2-turn cooldown. Dual Bastion/Aegis: 3-turn cooldown.</x:v>
      </x:c>
      <x:c r="W40" t="str">
        <x:v>Active</x:v>
      </x:c>
      <x:c r="X40" t="str">
        <x:v>Crystal Mend</x:v>
      </x:c>
      <x:c r="Y40" t="str">
        <x:v>Gale Ward</x:v>
      </x:c>
      <x:c r="Z40" t="str">
        <x:v>Gale Ward</x:v>
      </x:c>
      <x:c r="AA40" t="n">
        <x:v>3</x:v>
      </x:c>
      <x:c r="AB40" t="n">
        <x:v>2</x:v>
      </x:c>
      <x:c r="AC40" t="str">
        <x:v>Gain 7 Ward Magic Armour (add 7 to current Magic Armour and temporary Maximum Magic Armour) and Minor Agility Up for 2 turns.</x:v>
      </x:c>
    </x:row>
    <x:row r="41">
      <x:c r="A41" t="str">
        <x:v>ARM-037</x:v>
      </x:c>
      <x:c r="B41" t="str">
        <x:v>Dawnfeather Robes</x:v>
      </x:c>
      <x:c r="C41" t="str">
        <x:v>Grey</x:v>
      </x:c>
      <x:c r="D41" t="str">
        <x:v>Dawnfeather Vestments</x:v>
      </x:c>
      <x:c r="E41" t="str">
        <x:v>Armour/Plumage</x:v>
      </x:c>
      <x:c r="F41" t="str">
        <x:v>Medium</x:v>
      </x:c>
      <x:c r="G41" t="str">
        <x:v>Inquisitor, support Bard, defensive Mage</x:v>
      </x:c>
      <x:c r="H41" t="n">
        <x:v>2</x:v>
      </x:c>
      <x:c r="I41" t="n">
        <x:v>2</x:v>
      </x:c>
      <x:c r="J41" t="n">
        <x:v>1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str">
        <x:v>First time Health is healed each combat, restore 1 Armour and 1 Magic Armour.</x:v>
      </x:c>
      <x:c r="S41" t="str">
        <x:v>Once per combat below 30% Health, restore 1 to the lower protection pool.</x:v>
      </x:c>
      <x:c r="T41" t="str">
        <x:v>Ember; Frost; Storm; Venom; Blood; Lunar; Solar</x:v>
      </x:c>
      <x:c r="U41" t="str">
        <x:v>Restoration, survivability, and mixed defence.</x:v>
      </x:c>
      <x:c r="V41" t="str">
        <x:v>Matching protection blocks its ailments. Restoration: 1-turn cooldown and no overflow. Fortify/Ward: heal and overflow with 2-turn cooldown. Dual Bastion/Aegis: 3-turn cooldown.</x:v>
      </x:c>
      <x:c r="W41" t="str">
        <x:v>Active</x:v>
      </x:c>
      <x:c r="X41" t="str">
        <x:v>Mend Plumage</x:v>
      </x:c>
      <x:c r="Y41" t="str">
        <x:v>Radiant Bastion</x:v>
      </x:c>
      <x:c r="Z41" t="str">
        <x:v>None</x:v>
      </x:c>
      <x:c r="AA41" t="n">
        <x:v>0</x:v>
      </x:c>
      <x:c r="AB41" t="n">
        <x:v>0</x:v>
      </x:c>
      <x:c r="AC41" t="str">
        <x:v>No granted equipment skill at Grey rarity.</x:v>
      </x:c>
    </x:row>
    <x:row r="42">
      <x:c r="A42" t="str">
        <x:v>ARM-038</x:v>
      </x:c>
      <x:c r="B42" t="str">
        <x:v>Sturdy Dawnfeather Robes</x:v>
      </x:c>
      <x:c r="C42" t="str">
        <x:v>Green</x:v>
      </x:c>
      <x:c r="D42" t="str">
        <x:v>Dawnfeather Vestments</x:v>
      </x:c>
      <x:c r="E42" t="str">
        <x:v>Armour/Plumage</x:v>
      </x:c>
      <x:c r="F42" t="str">
        <x:v>Medium</x:v>
      </x:c>
      <x:c r="G42" t="str">
        <x:v>Inquisitor, support Bard, defensive Mage</x:v>
      </x:c>
      <x:c r="H42" t="n">
        <x:v>2</x:v>
      </x:c>
      <x:c r="I42" t="n">
        <x:v>4</x:v>
      </x:c>
      <x:c r="J42" t="n">
        <x:v>1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1</x:v>
      </x:c>
      <x:c r="P42" t="n">
        <x:v>0</x:v>
      </x:c>
      <x:c r="Q42" t="n">
        <x:v>0</x:v>
      </x:c>
      <x:c r="R42" t="str">
        <x:v>First time Health is healed each combat, restore 1 Armour and 1 Magic Armour.</x:v>
      </x:c>
      <x:c r="S42" t="str">
        <x:v>Once per combat below 30% Health, restore 1 to the lower protection pool.</x:v>
      </x:c>
      <x:c r="T42" t="str">
        <x:v>Ember; Frost; Storm; Venom; Blood; Lunar; Solar</x:v>
      </x:c>
      <x:c r="U42" t="str">
        <x:v>Restoration, survivability, and mixed defence.</x:v>
      </x:c>
      <x:c r="V42" t="str">
        <x:v>Matching protection blocks its ailments. Restoration: 1-turn cooldown and no overflow. Fortify/Ward: heal and overflow with 2-turn cooldown. Dual Bastion/Aegis: 3-turn cooldown.</x:v>
      </x:c>
      <x:c r="W42" t="str">
        <x:v>Active</x:v>
      </x:c>
      <x:c r="X42" t="str">
        <x:v>Mend Plumage</x:v>
      </x:c>
      <x:c r="Y42" t="str">
        <x:v>Radiant Bastion</x:v>
      </x:c>
      <x:c r="Z42" t="str">
        <x:v>Mend Plumage</x:v>
      </x:c>
      <x:c r="AA42" t="n">
        <x:v>2</x:v>
      </x:c>
      <x:c r="AB42" t="n">
        <x:v>1</x:v>
      </x:c>
      <x:c r="AC42" t="str">
        <x:v>Restore 3 Armour and 3 Magic Armour.</x:v>
      </x:c>
    </x:row>
    <x:row r="43">
      <x:c r="A43" t="str">
        <x:v>ARM-039</x:v>
      </x:c>
      <x:c r="B43" t="str">
        <x:v>Tempered Dawnfeather Robes</x:v>
      </x:c>
      <x:c r="C43" t="str">
        <x:v>Blue</x:v>
      </x:c>
      <x:c r="D43" t="str">
        <x:v>Dawnfeather Vestments</x:v>
      </x:c>
      <x:c r="E43" t="str">
        <x:v>Armour/Plumage</x:v>
      </x:c>
      <x:c r="F43" t="str">
        <x:v>Medium</x:v>
      </x:c>
      <x:c r="G43" t="str">
        <x:v>Inquisitor, support Bard, defensive Mage</x:v>
      </x:c>
      <x:c r="H43" t="n">
        <x:v>4</x:v>
      </x:c>
      <x:c r="I43" t="n">
        <x:v>5</x:v>
      </x:c>
      <x:c r="J43" t="n">
        <x:v>2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1</x:v>
      </x:c>
      <x:c r="P43" t="n">
        <x:v>0</x:v>
      </x:c>
      <x:c r="Q43" t="n">
        <x:v>0</x:v>
      </x:c>
      <x:c r="R43" t="str">
        <x:v>First time Health is healed each combat, restore 2 Armour and 2 Magic Armour.</x:v>
      </x:c>
      <x:c r="S43" t="str">
        <x:v>Once per combat below 30% Health, restore 2 to the lower protection pool.</x:v>
      </x:c>
      <x:c r="T43" t="str">
        <x:v>Ember; Frost; Storm; Venom; Blood; Lunar; Solar</x:v>
      </x:c>
      <x:c r="U43" t="str">
        <x:v>Restoration, survivability, and mixed defence.</x:v>
      </x:c>
      <x:c r="V43" t="str">
        <x:v>Matching protection blocks its ailments. Restoration: 1-turn cooldown and no overflow. Fortify/Ward: heal and overflow with 2-turn cooldown. Dual Bastion/Aegis: 3-turn cooldown.</x:v>
      </x:c>
      <x:c r="W43" t="str">
        <x:v>Active</x:v>
      </x:c>
      <x:c r="X43" t="str">
        <x:v>Mend Plumage</x:v>
      </x:c>
      <x:c r="Y43" t="str">
        <x:v>Radiant Bastion</x:v>
      </x:c>
      <x:c r="Z43" t="str">
        <x:v>Mend Plumage</x:v>
      </x:c>
      <x:c r="AA43" t="n">
        <x:v>2</x:v>
      </x:c>
      <x:c r="AB43" t="n">
        <x:v>1</x:v>
      </x:c>
      <x:c r="AC43" t="str">
        <x:v>Restore 3 Armour and 3 Magic Armour.</x:v>
      </x:c>
    </x:row>
    <x:row r="44">
      <x:c r="A44" t="str">
        <x:v>ARM-040</x:v>
      </x:c>
      <x:c r="B44" t="str">
        <x:v>Masterwork Dawnfeather Robes</x:v>
      </x:c>
      <x:c r="C44" t="str">
        <x:v>Purple</x:v>
      </x:c>
      <x:c r="D44" t="str">
        <x:v>Dawnfeather Vestments</x:v>
      </x:c>
      <x:c r="E44" t="str">
        <x:v>Armour/Plumage</x:v>
      </x:c>
      <x:c r="F44" t="str">
        <x:v>Medium</x:v>
      </x:c>
      <x:c r="G44" t="str">
        <x:v>Inquisitor, support Bard, defensive Mage</x:v>
      </x:c>
      <x:c r="H44" t="n">
        <x:v>5</x:v>
      </x:c>
      <x:c r="I44" t="n">
        <x:v>7</x:v>
      </x:c>
      <x:c r="J44" t="n">
        <x:v>3</x:v>
      </x:c>
      <x:c r="K44" t="n">
        <x:v>0</x:v>
      </x:c>
      <x:c r="L44" t="n">
        <x:v>0</x:v>
      </x:c>
      <x:c r="M44" t="n">
        <x:v>1</x:v>
      </x:c>
      <x:c r="N44" t="n">
        <x:v>0</x:v>
      </x:c>
      <x:c r="O44" t="n">
        <x:v>1</x:v>
      </x:c>
      <x:c r="P44" t="n">
        <x:v>0</x:v>
      </x:c>
      <x:c r="Q44" t="n">
        <x:v>0</x:v>
      </x:c>
      <x:c r="R44" t="str">
        <x:v>First time Health is healed each combat, restore 2 Armour and 2 Magic Armour.</x:v>
      </x:c>
      <x:c r="S44" t="str">
        <x:v>Once per combat below 30% Health, restore 2 to the lower protection pool.</x:v>
      </x:c>
      <x:c r="T44" t="str">
        <x:v>Ember; Frost; Storm; Venom; Blood; Lunar; Solar</x:v>
      </x:c>
      <x:c r="U44" t="str">
        <x:v>Restoration, survivability, and mixed defence.</x:v>
      </x:c>
      <x:c r="V44" t="str">
        <x:v>Matching protection blocks its ailments. Restoration: 1-turn cooldown and no overflow. Fortify/Ward: heal and overflow with 2-turn cooldown. Dual Bastion/Aegis: 3-turn cooldown.</x:v>
      </x:c>
      <x:c r="W44" t="str">
        <x:v>Active</x:v>
      </x:c>
      <x:c r="X44" t="str">
        <x:v>Mend Plumage</x:v>
      </x:c>
      <x:c r="Y44" t="str">
        <x:v>Radiant Bastion</x:v>
      </x:c>
      <x:c r="Z44" t="str">
        <x:v>Radiant Bastion</x:v>
      </x:c>
      <x:c r="AA44" t="n">
        <x:v>3</x:v>
      </x:c>
      <x:c r="AB44" t="n">
        <x:v>3</x:v>
      </x:c>
      <x:c r="AC44" t="str">
        <x:v>Gain 5 Fortified Armour (add 5 to current Armour and temporary Maximum Armour) and 5 Ward Magic Armour (add 5 to current Magic Armour and temporary Maximum Magic Armour) for 2 turns.</x:v>
      </x:c>
    </x:row>
    <x:row r="45">
      <x:c r="A45" t="str">
        <x:v>ARM-041</x:v>
      </x:c>
      <x:c r="B45" t="str">
        <x:v>Regal Dawnfeather Robes</x:v>
      </x:c>
      <x:c r="C45" t="str">
        <x:v>Gold</x:v>
      </x:c>
      <x:c r="D45" t="str">
        <x:v>Dawnfeather Vestments</x:v>
      </x:c>
      <x:c r="E45" t="str">
        <x:v>Armour/Plumage</x:v>
      </x:c>
      <x:c r="F45" t="str">
        <x:v>Medium</x:v>
      </x:c>
      <x:c r="G45" t="str">
        <x:v>Inquisitor, support Bard, defensive Mage</x:v>
      </x:c>
      <x:c r="H45" t="n">
        <x:v>6</x:v>
      </x:c>
      <x:c r="I45" t="n">
        <x:v>10</x:v>
      </x:c>
      <x:c r="J45" t="n">
        <x:v>4</x:v>
      </x:c>
      <x:c r="K45" t="n">
        <x:v>0</x:v>
      </x:c>
      <x:c r="L45" t="n">
        <x:v>0</x:v>
      </x:c>
      <x:c r="M45" t="n">
        <x:v>1</x:v>
      </x:c>
      <x:c r="N45" t="n">
        <x:v>0</x:v>
      </x:c>
      <x:c r="O45" t="n">
        <x:v>2</x:v>
      </x:c>
      <x:c r="P45" t="n">
        <x:v>0</x:v>
      </x:c>
      <x:c r="Q45" t="n">
        <x:v>0</x:v>
      </x:c>
      <x:c r="R45" t="str">
        <x:v>First time Health is healed each combat, restore 2 Armour and 2 Magic Armour.</x:v>
      </x:c>
      <x:c r="S45" t="str">
        <x:v>Once per combat below 30% Health, restore 3 to the lower protection pool.</x:v>
      </x:c>
      <x:c r="T45" t="str">
        <x:v>Ember; Frost; Storm; Venom; Blood; Lunar; Solar</x:v>
      </x:c>
      <x:c r="U45" t="str">
        <x:v>Restoration, survivability, and mixed defence.</x:v>
      </x:c>
      <x:c r="V45" t="str">
        <x:v>Matching protection blocks its ailments. Restoration: 1-turn cooldown and no overflow. Fortify/Ward: heal and overflow with 2-turn cooldown. Dual Bastion/Aegis: 3-turn cooldown.</x:v>
      </x:c>
      <x:c r="W45" t="str">
        <x:v>Active</x:v>
      </x:c>
      <x:c r="X45" t="str">
        <x:v>Mend Plumage</x:v>
      </x:c>
      <x:c r="Y45" t="str">
        <x:v>Radiant Bastion</x:v>
      </x:c>
      <x:c r="Z45" t="str">
        <x:v>Radiant Bastion</x:v>
      </x:c>
      <x:c r="AA45" t="n">
        <x:v>3</x:v>
      </x:c>
      <x:c r="AB45" t="n">
        <x:v>3</x:v>
      </x:c>
      <x:c r="AC45" t="str">
        <x:v>Gain 5 Fortified Armour (add 5 to current Armour and temporary Maximum Armour) and 5 Ward Magic Armour (add 5 to current Magic Armour and temporary Maximum Magic Armour) for 2 turns.</x:v>
      </x:c>
    </x:row>
    <x:row r="46">
      <x:c r="A46" t="str">
        <x:v>ARM-042</x:v>
      </x:c>
      <x:c r="B46" t="str">
        <x:v>Mythic Dawnfeather Robes</x:v>
      </x:c>
      <x:c r="C46" t="str">
        <x:v>Orange</x:v>
      </x:c>
      <x:c r="D46" t="str">
        <x:v>Dawnfeather Vestments</x:v>
      </x:c>
      <x:c r="E46" t="str">
        <x:v>Armour/Plumage</x:v>
      </x:c>
      <x:c r="F46" t="str">
        <x:v>Medium</x:v>
      </x:c>
      <x:c r="G46" t="str">
        <x:v>Inquisitor, support Bard, defensive Mage</x:v>
      </x:c>
      <x:c r="H46" t="n">
        <x:v>9</x:v>
      </x:c>
      <x:c r="I46" t="n">
        <x:v>13</x:v>
      </x:c>
      <x:c r="J46" t="n">
        <x:v>5</x:v>
      </x:c>
      <x:c r="K46" t="n">
        <x:v>0</x:v>
      </x:c>
      <x:c r="L46" t="n">
        <x:v>0</x:v>
      </x:c>
      <x:c r="M46" t="n">
        <x:v>2</x:v>
      </x:c>
      <x:c r="N46" t="n">
        <x:v>0</x:v>
      </x:c>
      <x:c r="O46" t="n">
        <x:v>2</x:v>
      </x:c>
      <x:c r="P46" t="n">
        <x:v>0</x:v>
      </x:c>
      <x:c r="Q46" t="n">
        <x:v>0</x:v>
      </x:c>
      <x:c r="R46" t="str">
        <x:v>First time Health is healed each combat, restore 2 Armour and 2 Magic Armour.</x:v>
      </x:c>
      <x:c r="S46" t="str">
        <x:v>Once per combat below 30% Health, restore 4 to the lower protection pool.</x:v>
      </x:c>
      <x:c r="T46" t="str">
        <x:v>Ember; Frost; Storm; Venom; Blood; Lunar; Solar</x:v>
      </x:c>
      <x:c r="U46" t="str">
        <x:v>Restoration, survivability, and mixed defence.</x:v>
      </x:c>
      <x:c r="V46" t="str">
        <x:v>Matching protection blocks its ailments. Restoration: 1-turn cooldown and no overflow. Fortify/Ward: heal and overflow with 2-turn cooldown. Dual Bastion/Aegis: 3-turn cooldown.</x:v>
      </x:c>
      <x:c r="W46" t="str">
        <x:v>Active</x:v>
      </x:c>
      <x:c r="X46" t="str">
        <x:v>Mend Plumage</x:v>
      </x:c>
      <x:c r="Y46" t="str">
        <x:v>Radiant Bastion</x:v>
      </x:c>
      <x:c r="Z46" t="str">
        <x:v>Radiant Bastion</x:v>
      </x:c>
      <x:c r="AA46" t="n">
        <x:v>3</x:v>
      </x:c>
      <x:c r="AB46" t="n">
        <x:v>3</x:v>
      </x:c>
      <x:c r="AC46" t="str">
        <x:v>Gain 5 Fortified Armour (add 5 to current Armour and temporary Maximum Armour) and 5 Ward Magic Armour (add 5 to current Magic Armour and temporary Maximum Magic Armour) for 2 turns.</x:v>
      </x:c>
    </x:row>
    <x:row r="47">
      <x:c r="A47" t="str">
        <x:v>ARM-043</x:v>
      </x:c>
      <x:c r="B47" t="str">
        <x:v>Nightweave Mantle</x:v>
      </x:c>
      <x:c r="C47" t="str">
        <x:v>Grey</x:v>
      </x:c>
      <x:c r="D47" t="str">
        <x:v>Nightweave Vestments</x:v>
      </x:c>
      <x:c r="E47" t="str">
        <x:v>Armour/Plumage</x:v>
      </x:c>
      <x:c r="F47" t="str">
        <x:v>Medium</x:v>
      </x:c>
      <x:c r="G47" t="str">
        <x:v>Siren, Mage, Bard, anti-ailment build</x:v>
      </x:c>
      <x:c r="H47" t="n">
        <x:v>1</x:v>
      </x:c>
      <x:c r="I47" t="n">
        <x:v>3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1</x:v>
      </x:c>
      <x:c r="P47" t="n">
        <x:v>0</x:v>
      </x:c>
      <x:c r="Q47" t="n">
        <x:v>0</x:v>
      </x:c>
      <x:c r="R47" t="str">
        <x:v>After Magic Armour is depleted, hostile magical ailment chance is reduced by 5 percentage points.</x:v>
      </x:c>
      <x:c r="S47" t="str">
        <x:v>First magical ailment successfully applied each combat has its duration reduced by 1 turn, minimum 1.</x:v>
      </x:c>
      <x:c r="T47" t="str">
        <x:v>Ember; Frost; Storm; Venom; Blood; Lunar; Solar</x:v>
      </x:c>
      <x:c r="U47" t="str">
        <x:v>Debuff resistance and magical survival.</x:v>
      </x:c>
      <x:c r="V47" t="str">
        <x:v>Matching protection blocks its ailments. Restoration: 1-turn cooldown and no overflow. Fortify/Ward: heal and overflow with 2-turn cooldown. Dual Bastion/Aegis: 3-turn cooldown.</x:v>
      </x:c>
      <x:c r="W47" t="str">
        <x:v>Active</x:v>
      </x:c>
      <x:c r="X47" t="str">
        <x:v>Veil Stitch</x:v>
      </x:c>
      <x:c r="Y47" t="str">
        <x:v>Night Ward</x:v>
      </x:c>
      <x:c r="Z47" t="str">
        <x:v>None</x:v>
      </x:c>
      <x:c r="AA47" t="n">
        <x:v>0</x:v>
      </x:c>
      <x:c r="AB47" t="n">
        <x:v>0</x:v>
      </x:c>
      <x:c r="AC47" t="str">
        <x:v>No granted equipment skill at Grey rarity.</x:v>
      </x:c>
    </x:row>
    <x:row r="48">
      <x:c r="A48" t="str">
        <x:v>ARM-044</x:v>
      </x:c>
      <x:c r="B48" t="str">
        <x:v>Sturdy Nightweave Mantle</x:v>
      </x:c>
      <x:c r="C48" t="str">
        <x:v>Green</x:v>
      </x:c>
      <x:c r="D48" t="str">
        <x:v>Nightweave Vestments</x:v>
      </x:c>
      <x:c r="E48" t="str">
        <x:v>Armour/Plumage</x:v>
      </x:c>
      <x:c r="F48" t="str">
        <x:v>Medium</x:v>
      </x:c>
      <x:c r="G48" t="str">
        <x:v>Siren, Mage, Bard, anti-ailment build</x:v>
      </x:c>
      <x:c r="H48" t="n">
        <x:v>1</x:v>
      </x:c>
      <x:c r="I48" t="n">
        <x:v>5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1</x:v>
      </x:c>
      <x:c r="O48" t="n">
        <x:v>1</x:v>
      </x:c>
      <x:c r="P48" t="n">
        <x:v>0</x:v>
      </x:c>
      <x:c r="Q48" t="n">
        <x:v>0</x:v>
      </x:c>
      <x:c r="R48" t="str">
        <x:v>After Magic Armour is depleted, hostile magical ailment chance is reduced by 5 percentage points.</x:v>
      </x:c>
      <x:c r="S48" t="str">
        <x:v>First magical ailment successfully applied each combat has its duration reduced by 1 turn, minimum 1.</x:v>
      </x:c>
      <x:c r="T48" t="str">
        <x:v>Ember; Frost; Storm; Venom; Blood; Lunar; Solar</x:v>
      </x:c>
      <x:c r="U48" t="str">
        <x:v>Debuff resistance and magical survival.</x:v>
      </x:c>
      <x:c r="V48" t="str">
        <x:v>Matching protection blocks its ailments. Restoration: 1-turn cooldown and no overflow. Fortify/Ward: heal and overflow with 2-turn cooldown. Dual Bastion/Aegis: 3-turn cooldown.</x:v>
      </x:c>
      <x:c r="W48" t="str">
        <x:v>Active</x:v>
      </x:c>
      <x:c r="X48" t="str">
        <x:v>Veil Stitch</x:v>
      </x:c>
      <x:c r="Y48" t="str">
        <x:v>Night Ward</x:v>
      </x:c>
      <x:c r="Z48" t="str">
        <x:v>Veil Stitch</x:v>
      </x:c>
      <x:c r="AA48" t="n">
        <x:v>2</x:v>
      </x:c>
      <x:c r="AB48" t="n">
        <x:v>1</x:v>
      </x:c>
      <x:c r="AC48" t="str">
        <x:v>Restore 5 Magic Armour.</x:v>
      </x:c>
    </x:row>
    <x:row r="49">
      <x:c r="A49" t="str">
        <x:v>ARM-045</x:v>
      </x:c>
      <x:c r="B49" t="str">
        <x:v>Tempered Nightweave Mantle</x:v>
      </x:c>
      <x:c r="C49" t="str">
        <x:v>Blue</x:v>
      </x:c>
      <x:c r="D49" t="str">
        <x:v>Nightweave Vestments</x:v>
      </x:c>
      <x:c r="E49" t="str">
        <x:v>Armour/Plumage</x:v>
      </x:c>
      <x:c r="F49" t="str">
        <x:v>Medium</x:v>
      </x:c>
      <x:c r="G49" t="str">
        <x:v>Siren, Mage, Bard, anti-ailment build</x:v>
      </x:c>
      <x:c r="H49" t="n">
        <x:v>2</x:v>
      </x:c>
      <x:c r="I49" t="n">
        <x:v>7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1</x:v>
      </x:c>
      <x:c r="O49" t="n">
        <x:v>2</x:v>
      </x:c>
      <x:c r="P49" t="n">
        <x:v>0</x:v>
      </x:c>
      <x:c r="Q49" t="n">
        <x:v>0</x:v>
      </x:c>
      <x:c r="R49" t="str">
        <x:v>After Magic Armour is depleted, hostile magical ailment chance is reduced by 10 percentage points.</x:v>
      </x:c>
      <x:c r="S49" t="str">
        <x:v>First magical ailment successfully applied each combat has its duration reduced by 1 turn, minimum 1.</x:v>
      </x:c>
      <x:c r="T49" t="str">
        <x:v>Ember; Frost; Storm; Venom; Blood; Lunar; Solar</x:v>
      </x:c>
      <x:c r="U49" t="str">
        <x:v>Debuff resistance and magical survival.</x:v>
      </x:c>
      <x:c r="V49" t="str">
        <x:v>Matching protection blocks its ailments. Restoration: 1-turn cooldown and no overflow. Fortify/Ward: heal and overflow with 2-turn cooldown. Dual Bastion/Aegis: 3-turn cooldown.</x:v>
      </x:c>
      <x:c r="W49" t="str">
        <x:v>Active</x:v>
      </x:c>
      <x:c r="X49" t="str">
        <x:v>Veil Stitch</x:v>
      </x:c>
      <x:c r="Y49" t="str">
        <x:v>Night Ward</x:v>
      </x:c>
      <x:c r="Z49" t="str">
        <x:v>Veil Stitch</x:v>
      </x:c>
      <x:c r="AA49" t="n">
        <x:v>2</x:v>
      </x:c>
      <x:c r="AB49" t="n">
        <x:v>1</x:v>
      </x:c>
      <x:c r="AC49" t="str">
        <x:v>Restore 5 Magic Armour.</x:v>
      </x:c>
    </x:row>
    <x:row r="50">
      <x:c r="A50" t="str">
        <x:v>ARM-046</x:v>
      </x:c>
      <x:c r="B50" t="str">
        <x:v>Masterwork Nightweave Mantle</x:v>
      </x:c>
      <x:c r="C50" t="str">
        <x:v>Purple</x:v>
      </x:c>
      <x:c r="D50" t="str">
        <x:v>Nightweave Vestments</x:v>
      </x:c>
      <x:c r="E50" t="str">
        <x:v>Armour/Plumage</x:v>
      </x:c>
      <x:c r="F50" t="str">
        <x:v>Medium</x:v>
      </x:c>
      <x:c r="G50" t="str">
        <x:v>Siren, Mage, Bard, anti-ailment build</x:v>
      </x:c>
      <x:c r="H50" t="n">
        <x:v>3</x:v>
      </x:c>
      <x:c r="I50" t="n">
        <x:v>9</x:v>
      </x:c>
      <x:c r="J50" t="n">
        <x:v>1</x:v>
      </x:c>
      <x:c r="K50" t="n">
        <x:v>0</x:v>
      </x:c>
      <x:c r="L50" t="n">
        <x:v>0</x:v>
      </x:c>
      <x:c r="M50" t="n">
        <x:v>0</x:v>
      </x:c>
      <x:c r="N50" t="n">
        <x:v>1</x:v>
      </x:c>
      <x:c r="O50" t="n">
        <x:v>3</x:v>
      </x:c>
      <x:c r="P50" t="n">
        <x:v>0</x:v>
      </x:c>
      <x:c r="Q50" t="n">
        <x:v>0</x:v>
      </x:c>
      <x:c r="R50" t="str">
        <x:v>After Magic Armour is depleted, hostile magical ailment chance is reduced by 10 percentage points.</x:v>
      </x:c>
      <x:c r="S50" t="str">
        <x:v>First magical ailment successfully applied each combat has its duration reduced by 1 turn, minimum 1.</x:v>
      </x:c>
      <x:c r="T50" t="str">
        <x:v>Ember; Frost; Storm; Venom; Blood; Lunar; Solar</x:v>
      </x:c>
      <x:c r="U50" t="str">
        <x:v>Debuff resistance and magical survival.</x:v>
      </x:c>
      <x:c r="V50" t="str">
        <x:v>Matching protection blocks its ailments. Restoration: 1-turn cooldown and no overflow. Fortify/Ward: heal and overflow with 2-turn cooldown. Dual Bastion/Aegis: 3-turn cooldown.</x:v>
      </x:c>
      <x:c r="W50" t="str">
        <x:v>Active</x:v>
      </x:c>
      <x:c r="X50" t="str">
        <x:v>Veil Stitch</x:v>
      </x:c>
      <x:c r="Y50" t="str">
        <x:v>Night Ward</x:v>
      </x:c>
      <x:c r="Z50" t="str">
        <x:v>Night Ward</x:v>
      </x:c>
      <x:c r="AA50" t="n">
        <x:v>3</x:v>
      </x:c>
      <x:c r="AB50" t="n">
        <x:v>2</x:v>
      </x:c>
      <x:c r="AC50" t="str">
        <x:v>Gain 8 Ward Magic Armour (add 8 to current Magic Armour and temporary Maximum Magic Armour) and reduce hostile magical ailment application chance by 10 percentage points for 2 turns.</x:v>
      </x:c>
    </x:row>
    <x:row r="51">
      <x:c r="A51" t="str">
        <x:v>ARM-047</x:v>
      </x:c>
      <x:c r="B51" t="str">
        <x:v>Regal Nightweave Mantle</x:v>
      </x:c>
      <x:c r="C51" t="str">
        <x:v>Gold</x:v>
      </x:c>
      <x:c r="D51" t="str">
        <x:v>Nightweave Vestments</x:v>
      </x:c>
      <x:c r="E51" t="str">
        <x:v>Armour/Plumage</x:v>
      </x:c>
      <x:c r="F51" t="str">
        <x:v>Medium</x:v>
      </x:c>
      <x:c r="G51" t="str">
        <x:v>Siren, Mage, Bard, anti-ailment build</x:v>
      </x:c>
      <x:c r="H51" t="n">
        <x:v>4</x:v>
      </x:c>
      <x:c r="I51" t="n">
        <x:v>12</x:v>
      </x:c>
      <x:c r="J51" t="n">
        <x:v>1</x:v>
      </x:c>
      <x:c r="K51" t="n">
        <x:v>0</x:v>
      </x:c>
      <x:c r="L51" t="n">
        <x:v>0</x:v>
      </x:c>
      <x:c r="M51" t="n">
        <x:v>0</x:v>
      </x:c>
      <x:c r="N51" t="n">
        <x:v>2</x:v>
      </x:c>
      <x:c r="O51" t="n">
        <x:v>4</x:v>
      </x:c>
      <x:c r="P51" t="n">
        <x:v>0</x:v>
      </x:c>
      <x:c r="Q51" t="n">
        <x:v>0</x:v>
      </x:c>
      <x:c r="R51" t="str">
        <x:v>After Magic Armour is depleted, hostile magical ailment chance is reduced by 15 percentage points.</x:v>
      </x:c>
      <x:c r="S51" t="str">
        <x:v>First magical ailment successfully applied each combat has its duration reduced by 1 turn, minimum 1.</x:v>
      </x:c>
      <x:c r="T51" t="str">
        <x:v>Ember; Frost; Storm; Venom; Blood; Lunar; Solar</x:v>
      </x:c>
      <x:c r="U51" t="str">
        <x:v>Debuff resistance and magical survival.</x:v>
      </x:c>
      <x:c r="V51" t="str">
        <x:v>Matching protection blocks its ailments. Restoration: 1-turn cooldown and no overflow. Fortify/Ward: heal and overflow with 2-turn cooldown. Dual Bastion/Aegis: 3-turn cooldown.</x:v>
      </x:c>
      <x:c r="W51" t="str">
        <x:v>Active</x:v>
      </x:c>
      <x:c r="X51" t="str">
        <x:v>Veil Stitch</x:v>
      </x:c>
      <x:c r="Y51" t="str">
        <x:v>Night Ward</x:v>
      </x:c>
      <x:c r="Z51" t="str">
        <x:v>Night Ward</x:v>
      </x:c>
      <x:c r="AA51" t="n">
        <x:v>3</x:v>
      </x:c>
      <x:c r="AB51" t="n">
        <x:v>2</x:v>
      </x:c>
      <x:c r="AC51" t="str">
        <x:v>Gain 8 Ward Magic Armour (add 8 to current Magic Armour and temporary Maximum Magic Armour) and reduce hostile magical ailment application chance by 10 percentage points for 2 turns.</x:v>
      </x:c>
    </x:row>
    <x:row r="52">
      <x:c r="A52" t="str">
        <x:v>ARM-048</x:v>
      </x:c>
      <x:c r="B52" t="str">
        <x:v>Mythic Nightweave Mantle</x:v>
      </x:c>
      <x:c r="C52" t="str">
        <x:v>Orange</x:v>
      </x:c>
      <x:c r="D52" t="str">
        <x:v>Nightweave Vestments</x:v>
      </x:c>
      <x:c r="E52" t="str">
        <x:v>Armour/Plumage</x:v>
      </x:c>
      <x:c r="F52" t="str">
        <x:v>Medium</x:v>
      </x:c>
      <x:c r="G52" t="str">
        <x:v>Siren, Mage, Bard, anti-ailment build</x:v>
      </x:c>
      <x:c r="H52" t="n">
        <x:v>6</x:v>
      </x:c>
      <x:c r="I52" t="n">
        <x:v>16</x:v>
      </x:c>
      <x:c r="J52" t="n">
        <x:v>2</x:v>
      </x:c>
      <x:c r="K52" t="n">
        <x:v>0</x:v>
      </x:c>
      <x:c r="L52" t="n">
        <x:v>0</x:v>
      </x:c>
      <x:c r="M52" t="n">
        <x:v>0</x:v>
      </x:c>
      <x:c r="N52" t="n">
        <x:v>2</x:v>
      </x:c>
      <x:c r="O52" t="n">
        <x:v>5</x:v>
      </x:c>
      <x:c r="P52" t="n">
        <x:v>0</x:v>
      </x:c>
      <x:c r="Q52" t="n">
        <x:v>0</x:v>
      </x:c>
      <x:c r="R52" t="str">
        <x:v>After Magic Armour is depleted, hostile magical ailment chance is reduced by 20 percentage points.</x:v>
      </x:c>
      <x:c r="S52" t="str">
        <x:v>First magical ailment successfully applied each combat has its duration reduced by 1 turn, minimum 1.</x:v>
      </x:c>
      <x:c r="T52" t="str">
        <x:v>Ember; Frost; Storm; Venom; Blood; Lunar; Solar</x:v>
      </x:c>
      <x:c r="U52" t="str">
        <x:v>Debuff resistance and magical survival.</x:v>
      </x:c>
      <x:c r="V52" t="str">
        <x:v>Matching protection blocks its ailments. Restoration: 1-turn cooldown and no overflow. Fortify/Ward: heal and overflow with 2-turn cooldown. Dual Bastion/Aegis: 3-turn cooldown.</x:v>
      </x:c>
      <x:c r="W52" t="str">
        <x:v>Active</x:v>
      </x:c>
      <x:c r="X52" t="str">
        <x:v>Veil Stitch</x:v>
      </x:c>
      <x:c r="Y52" t="str">
        <x:v>Night Ward</x:v>
      </x:c>
      <x:c r="Z52" t="str">
        <x:v>Night Ward</x:v>
      </x:c>
      <x:c r="AA52" t="n">
        <x:v>3</x:v>
      </x:c>
      <x:c r="AB52" t="n">
        <x:v>2</x:v>
      </x:c>
      <x:c r="AC52" t="str">
        <x:v>Gain 8 Ward Magic Armour (add 8 to current Magic Armour and temporary Maximum Magic Armour) and reduce hostile magical ailment application chance by 10 percentage points for 2 turns.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sheetData>
    <x:row r="1">
      <x:c r="A1" t="str">
        <x:v>Helmets Catalogue — Expanded Equipment Skills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</x:row>
    <x:row r="4">
      <x:c r="A4" t="str">
        <x:v>Item ID</x:v>
      </x:c>
      <x:c r="B4" t="str">
        <x:v>Item Name</x:v>
      </x:c>
      <x:c r="C4" t="str">
        <x:v>Rarity</x:v>
      </x:c>
      <x:c r="D4" t="str">
        <x:v>Set</x:v>
      </x:c>
      <x:c r="E4" t="str">
        <x:v>Slot</x:v>
      </x:c>
      <x:c r="F4" t="str">
        <x:v>Weight</x:v>
      </x:c>
      <x:c r="G4" t="str">
        <x:v>Best Suited</x:v>
      </x:c>
      <x:c r="H4" t="str">
        <x:v>Armour</x:v>
      </x:c>
      <x:c r="I4" t="str">
        <x:v>Magic Armour</x:v>
      </x:c>
      <x:c r="J4" t="str">
        <x:v>Vitality</x:v>
      </x:c>
      <x:c r="K4" t="str">
        <x:v>Might</x:v>
      </x:c>
      <x:c r="L4" t="str">
        <x:v>Dexterity</x:v>
      </x:c>
      <x:c r="M4" t="str">
        <x:v>Guard</x:v>
      </x:c>
      <x:c r="N4" t="str">
        <x:v>Focus</x:v>
      </x:c>
      <x:c r="O4" t="str">
        <x:v>Resolve</x:v>
      </x:c>
      <x:c r="P4" t="str">
        <x:v>Agility</x:v>
      </x:c>
      <x:c r="Q4" t="str">
        <x:v>Agility Penalty</x:v>
      </x:c>
      <x:c r="R4" t="str">
        <x:v>2-Piece Bonus</x:v>
      </x:c>
      <x:c r="S4" t="str">
        <x:v>3-Piece Bonus</x:v>
      </x:c>
      <x:c r="T4" t="str">
        <x:v>Eligible Infusions</x:v>
      </x:c>
      <x:c r="U4" t="str">
        <x:v>Identity</x:v>
      </x:c>
      <x:c r="V4" t="str">
        <x:v>Rules Note</x:v>
      </x:c>
      <x:c r="W4" t="str">
        <x:v>Status</x:v>
      </x:c>
      <x:c r="X4" t="str">
        <x:v>Skill Pool A (2 EN)</x:v>
      </x:c>
      <x:c r="Y4" t="str">
        <x:v>Skill Pool B (3 EN)</x:v>
      </x:c>
      <x:c r="Z4" t="str">
        <x:v>Default Granted Skill</x:v>
      </x:c>
      <x:c r="AA4" t="str">
        <x:v>Skill EN</x:v>
      </x:c>
      <x:c r="AB4" t="str">
        <x:v>Cooldown</x:v>
      </x:c>
      <x:c r="AC4" t="str">
        <x:v>Granted Skill Effect</x:v>
      </x:c>
    </x:row>
    <x:row r="5">
      <x:c r="A5" t="str">
        <x:v>HLM-001</x:v>
      </x:c>
      <x:c r="B5" t="str">
        <x:v>Ironfeather Beak Helm</x:v>
      </x:c>
      <x:c r="C5" t="str">
        <x:v>Grey</x:v>
      </x:c>
      <x:c r="D5" t="str">
        <x:v>Ironfeather Bastion</x:v>
      </x:c>
      <x:c r="E5" t="str">
        <x:v>Helmet</x:v>
      </x:c>
      <x:c r="F5" t="str">
        <x:v>Heavy</x:v>
      </x:c>
      <x:c r="G5" t="str">
        <x:v>Knight, Brute, physical Inquisitor</x:v>
      </x:c>
      <x:c r="H5" t="n">
        <x:v>2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1</x:v>
      </x:c>
      <x:c r="N5" t="n">
        <x:v>0</x:v>
      </x:c>
      <x:c r="O5" t="n">
        <x:v>0</x:v>
      </x:c>
      <x:c r="P5" t="n">
        <x:v>0</x:v>
      </x:c>
      <x:c r="Q5" t="n">
        <x:v>-1</x:v>
      </x:c>
      <x:c r="R5" t="str">
        <x:v>While Armour remains, gain +2 Guard.</x:v>
      </x:c>
      <x:c r="S5" t="str">
        <x:v>First time Armour is depleted each combat, restore 1 Armour.</x:v>
      </x:c>
      <x:c r="T5" t="str">
        <x:v>Ember; Frost; Storm; Venom; Blood; Lunar; Solar</x:v>
      </x:c>
      <x:c r="U5" t="str">
        <x:v>Heavy physical protection; Armour-focused.</x:v>
      </x:c>
      <x:c r="V5" t="str">
        <x:v>Matching protection blocks its ailments. Restoration: 1-turn cooldown and no overflow. Fortify/Ward: heal and overflow with 2-turn cooldown. Dual Bastion/Aegis: 3-turn cooldown.</x:v>
      </x:c>
      <x:c r="W5" t="str">
        <x:v>Active</x:v>
      </x:c>
      <x:c r="X5" t="str">
        <x:v>Braced Brow</x:v>
      </x:c>
      <x:c r="Y5" t="str">
        <x:v>Unyielding Crest</x:v>
      </x:c>
      <x:c r="Z5" t="str">
        <x:v>None</x:v>
      </x:c>
      <x:c r="AA5" t="n">
        <x:v>0</x:v>
      </x:c>
      <x:c r="AB5" t="n">
        <x:v>0</x:v>
      </x:c>
      <x:c r="AC5" t="str">
        <x:v>No granted equipment skill at Grey rarity.</x:v>
      </x:c>
    </x:row>
    <x:row r="6">
      <x:c r="A6" t="str">
        <x:v>HLM-002</x:v>
      </x:c>
      <x:c r="B6" t="str">
        <x:v>Sturdy Ironfeather Beak Helm</x:v>
      </x:c>
      <x:c r="C6" t="str">
        <x:v>Green</x:v>
      </x:c>
      <x:c r="D6" t="str">
        <x:v>Ironfeather Bastion</x:v>
      </x:c>
      <x:c r="E6" t="str">
        <x:v>Helmet</x:v>
      </x:c>
      <x:c r="F6" t="str">
        <x:v>Heavy</x:v>
      </x:c>
      <x:c r="G6" t="str">
        <x:v>Knight, Brute, physical Inquisitor</x:v>
      </x:c>
      <x:c r="H6" t="n">
        <x:v>3</x:v>
      </x:c>
      <x:c r="I6" t="n">
        <x:v>0</x:v>
      </x:c>
      <x:c r="J6" t="n">
        <x:v>1</x:v>
      </x:c>
      <x:c r="K6" t="n">
        <x:v>0</x:v>
      </x:c>
      <x:c r="L6" t="n">
        <x:v>0</x:v>
      </x:c>
      <x:c r="M6" t="n">
        <x:v>1</x:v>
      </x:c>
      <x:c r="N6" t="n">
        <x:v>0</x:v>
      </x:c>
      <x:c r="O6" t="n">
        <x:v>0</x:v>
      </x:c>
      <x:c r="P6" t="n">
        <x:v>0</x:v>
      </x:c>
      <x:c r="Q6" t="n">
        <x:v>-1</x:v>
      </x:c>
      <x:c r="R6" t="str">
        <x:v>While Armour remains, gain +2 Guard.</x:v>
      </x:c>
      <x:c r="S6" t="str">
        <x:v>First time Armour is depleted each combat, restore 1 Armour.</x:v>
      </x:c>
      <x:c r="T6" t="str">
        <x:v>Ember; Frost; Storm; Venom; Blood; Lunar; Solar</x:v>
      </x:c>
      <x:c r="U6" t="str">
        <x:v>Heavy physical protection; Armour-focused.</x:v>
      </x:c>
      <x:c r="V6" t="str">
        <x:v>Matching protection blocks its ailments. Restoration: 1-turn cooldown and no overflow. Fortify/Ward: heal and overflow with 2-turn cooldown. Dual Bastion/Aegis: 3-turn cooldown.</x:v>
      </x:c>
      <x:c r="W6" t="str">
        <x:v>Active</x:v>
      </x:c>
      <x:c r="X6" t="str">
        <x:v>Braced Brow</x:v>
      </x:c>
      <x:c r="Y6" t="str">
        <x:v>Unyielding Crest</x:v>
      </x:c>
      <x:c r="Z6" t="str">
        <x:v>Braced Brow</x:v>
      </x:c>
      <x:c r="AA6" t="n">
        <x:v>2</x:v>
      </x:c>
      <x:c r="AB6" t="n">
        <x:v>0</x:v>
      </x:c>
      <x:c r="AC6" t="str">
        <x:v>Gain Minor Guard Up for 2 turns and remove 1 Dazed stack. Does not remove Concussed.</x:v>
      </x:c>
    </x:row>
    <x:row r="7">
      <x:c r="A7" t="str">
        <x:v>HLM-003</x:v>
      </x:c>
      <x:c r="B7" t="str">
        <x:v>Tempered Ironfeather Beak Helm</x:v>
      </x:c>
      <x:c r="C7" t="str">
        <x:v>Blue</x:v>
      </x:c>
      <x:c r="D7" t="str">
        <x:v>Ironfeather Bastion</x:v>
      </x:c>
      <x:c r="E7" t="str">
        <x:v>Helmet</x:v>
      </x:c>
      <x:c r="F7" t="str">
        <x:v>Heavy</x:v>
      </x:c>
      <x:c r="G7" t="str">
        <x:v>Knight, Brute, physical Inquisitor</x:v>
      </x:c>
      <x:c r="H7" t="n">
        <x:v>4</x:v>
      </x:c>
      <x:c r="I7" t="n">
        <x:v>0</x:v>
      </x:c>
      <x:c r="J7" t="n">
        <x:v>1</x:v>
      </x:c>
      <x:c r="K7" t="n">
        <x:v>0</x:v>
      </x:c>
      <x:c r="L7" t="n">
        <x:v>0</x:v>
      </x:c>
      <x:c r="M7" t="n">
        <x:v>2</x:v>
      </x:c>
      <x:c r="N7" t="n">
        <x:v>0</x:v>
      </x:c>
      <x:c r="O7" t="n">
        <x:v>0</x:v>
      </x:c>
      <x:c r="P7" t="n">
        <x:v>0</x:v>
      </x:c>
      <x:c r="Q7" t="n">
        <x:v>-1</x:v>
      </x:c>
      <x:c r="R7" t="str">
        <x:v>While Armour remains, gain +3 Guard.</x:v>
      </x:c>
      <x:c r="S7" t="str">
        <x:v>First time Armour is depleted each combat, restore 2 Armour.</x:v>
      </x:c>
      <x:c r="T7" t="str">
        <x:v>Ember; Frost; Storm; Venom; Blood; Lunar; Solar</x:v>
      </x:c>
      <x:c r="U7" t="str">
        <x:v>Heavy physical protection; Armour-focused.</x:v>
      </x:c>
      <x:c r="V7" t="str">
        <x:v>Matching protection blocks its ailments. Restoration: 1-turn cooldown and no overflow. Fortify/Ward: heal and overflow with 2-turn cooldown. Dual Bastion/Aegis: 3-turn cooldown.</x:v>
      </x:c>
      <x:c r="W7" t="str">
        <x:v>Active</x:v>
      </x:c>
      <x:c r="X7" t="str">
        <x:v>Braced Brow</x:v>
      </x:c>
      <x:c r="Y7" t="str">
        <x:v>Unyielding Crest</x:v>
      </x:c>
      <x:c r="Z7" t="str">
        <x:v>Braced Brow</x:v>
      </x:c>
      <x:c r="AA7" t="n">
        <x:v>2</x:v>
      </x:c>
      <x:c r="AB7" t="n">
        <x:v>0</x:v>
      </x:c>
      <x:c r="AC7" t="str">
        <x:v>Gain Minor Guard Up for 2 turns and remove 1 Dazed stack. Does not remove Concussed.</x:v>
      </x:c>
    </x:row>
    <x:row r="8">
      <x:c r="A8" t="str">
        <x:v>HLM-004</x:v>
      </x:c>
      <x:c r="B8" t="str">
        <x:v>Masterwork Ironfeather Beak Helm</x:v>
      </x:c>
      <x:c r="C8" t="str">
        <x:v>Purple</x:v>
      </x:c>
      <x:c r="D8" t="str">
        <x:v>Ironfeather Bastion</x:v>
      </x:c>
      <x:c r="E8" t="str">
        <x:v>Helmet</x:v>
      </x:c>
      <x:c r="F8" t="str">
        <x:v>Heavy</x:v>
      </x:c>
      <x:c r="G8" t="str">
        <x:v>Knight, Brute, physical Inquisitor</x:v>
      </x:c>
      <x:c r="H8" t="n">
        <x:v>6</x:v>
      </x:c>
      <x:c r="I8" t="n">
        <x:v>1</x:v>
      </x:c>
      <x:c r="J8" t="n">
        <x:v>1</x:v>
      </x:c>
      <x:c r="K8" t="n">
        <x:v>1</x:v>
      </x:c>
      <x:c r="L8" t="n">
        <x:v>0</x:v>
      </x:c>
      <x:c r="M8" t="n">
        <x:v>3</x:v>
      </x:c>
      <x:c r="N8" t="n">
        <x:v>0</x:v>
      </x:c>
      <x:c r="O8" t="n">
        <x:v>0</x:v>
      </x:c>
      <x:c r="P8" t="n">
        <x:v>0</x:v>
      </x:c>
      <x:c r="Q8" t="n">
        <x:v>-1</x:v>
      </x:c>
      <x:c r="R8" t="str">
        <x:v>While Armour remains, gain +3 Guard.</x:v>
      </x:c>
      <x:c r="S8" t="str">
        <x:v>First time Armour is depleted each combat, restore 2 Armour.</x:v>
      </x:c>
      <x:c r="T8" t="str">
        <x:v>Ember; Frost; Storm; Venom; Blood; Lunar; Solar</x:v>
      </x:c>
      <x:c r="U8" t="str">
        <x:v>Heavy physical protection; Armour-focused.</x:v>
      </x:c>
      <x:c r="V8" t="str">
        <x:v>Matching protection blocks its ailments. Restoration: 1-turn cooldown and no overflow. Fortify/Ward: heal and overflow with 2-turn cooldown. Dual Bastion/Aegis: 3-turn cooldown.</x:v>
      </x:c>
      <x:c r="W8" t="str">
        <x:v>Active</x:v>
      </x:c>
      <x:c r="X8" t="str">
        <x:v>Braced Brow</x:v>
      </x:c>
      <x:c r="Y8" t="str">
        <x:v>Unyielding Crest</x:v>
      </x:c>
      <x:c r="Z8" t="str">
        <x:v>Unyielding Crest</x:v>
      </x:c>
      <x:c r="AA8" t="n">
        <x:v>3</x:v>
      </x:c>
      <x:c r="AB8" t="n">
        <x:v>2</x:v>
      </x:c>
      <x:c r="AC8" t="str">
        <x:v>Gain 5 Fortified Armour (add 5 to current Armour and temporary Maximum Armour) and Minor Guard Up for 2 turns.</x:v>
      </x:c>
    </x:row>
    <x:row r="9">
      <x:c r="A9" t="str">
        <x:v>HLM-005</x:v>
      </x:c>
      <x:c r="B9" t="str">
        <x:v>Regal Ironfeather Beak Helm</x:v>
      </x:c>
      <x:c r="C9" t="str">
        <x:v>Gold</x:v>
      </x:c>
      <x:c r="D9" t="str">
        <x:v>Ironfeather Bastion</x:v>
      </x:c>
      <x:c r="E9" t="str">
        <x:v>Helmet</x:v>
      </x:c>
      <x:c r="F9" t="str">
        <x:v>Heavy</x:v>
      </x:c>
      <x:c r="G9" t="str">
        <x:v>Knight, Brute, physical Inquisitor</x:v>
      </x:c>
      <x:c r="H9" t="n">
        <x:v>8</x:v>
      </x:c>
      <x:c r="I9" t="n">
        <x:v>1</x:v>
      </x:c>
      <x:c r="J9" t="n">
        <x:v>2</x:v>
      </x:c>
      <x:c r="K9" t="n">
        <x:v>1</x:v>
      </x:c>
      <x:c r="L9" t="n">
        <x:v>0</x:v>
      </x:c>
      <x:c r="M9" t="n">
        <x:v>4</x:v>
      </x:c>
      <x:c r="N9" t="n">
        <x:v>0</x:v>
      </x:c>
      <x:c r="O9" t="n">
        <x:v>0</x:v>
      </x:c>
      <x:c r="P9" t="n">
        <x:v>0</x:v>
      </x:c>
      <x:c r="Q9" t="n">
        <x:v>-1</x:v>
      </x:c>
      <x:c r="R9" t="str">
        <x:v>While Armour remains, gain +4 Guard.</x:v>
      </x:c>
      <x:c r="S9" t="str">
        <x:v>First time Armour is depleted each combat, restore 3 Armour.</x:v>
      </x:c>
      <x:c r="T9" t="str">
        <x:v>Ember; Frost; Storm; Venom; Blood; Lunar; Solar</x:v>
      </x:c>
      <x:c r="U9" t="str">
        <x:v>Heavy physical protection; Armour-focused.</x:v>
      </x:c>
      <x:c r="V9" t="str">
        <x:v>Matching protection blocks its ailments. Restoration: 1-turn cooldown and no overflow. Fortify/Ward: heal and overflow with 2-turn cooldown. Dual Bastion/Aegis: 3-turn cooldown.</x:v>
      </x:c>
      <x:c r="W9" t="str">
        <x:v>Active</x:v>
      </x:c>
      <x:c r="X9" t="str">
        <x:v>Braced Brow</x:v>
      </x:c>
      <x:c r="Y9" t="str">
        <x:v>Unyielding Crest</x:v>
      </x:c>
      <x:c r="Z9" t="str">
        <x:v>Unyielding Crest</x:v>
      </x:c>
      <x:c r="AA9" t="n">
        <x:v>3</x:v>
      </x:c>
      <x:c r="AB9" t="n">
        <x:v>2</x:v>
      </x:c>
      <x:c r="AC9" t="str">
        <x:v>Gain 5 Fortified Armour (add 5 to current Armour and temporary Maximum Armour) and Minor Guard Up for 2 turns.</x:v>
      </x:c>
    </x:row>
    <x:row r="10">
      <x:c r="A10" t="str">
        <x:v>HLM-006</x:v>
      </x:c>
      <x:c r="B10" t="str">
        <x:v>Mythic Ironfeather Beak Helm</x:v>
      </x:c>
      <x:c r="C10" t="str">
        <x:v>Orange</x:v>
      </x:c>
      <x:c r="D10" t="str">
        <x:v>Ironfeather Bastion</x:v>
      </x:c>
      <x:c r="E10" t="str">
        <x:v>Helmet</x:v>
      </x:c>
      <x:c r="F10" t="str">
        <x:v>Heavy</x:v>
      </x:c>
      <x:c r="G10" t="str">
        <x:v>Knight, Brute, physical Inquisitor</x:v>
      </x:c>
      <x:c r="H10" t="n">
        <x:v>11</x:v>
      </x:c>
      <x:c r="I10" t="n">
        <x:v>1</x:v>
      </x:c>
      <x:c r="J10" t="n">
        <x:v>2</x:v>
      </x:c>
      <x:c r="K10" t="n">
        <x:v>2</x:v>
      </x:c>
      <x:c r="L10" t="n">
        <x:v>0</x:v>
      </x:c>
      <x:c r="M10" t="n">
        <x:v>5</x:v>
      </x:c>
      <x:c r="N10" t="n">
        <x:v>0</x:v>
      </x:c>
      <x:c r="O10" t="n">
        <x:v>0</x:v>
      </x:c>
      <x:c r="P10" t="n">
        <x:v>0</x:v>
      </x:c>
      <x:c r="Q10" t="n">
        <x:v>-1</x:v>
      </x:c>
      <x:c r="R10" t="str">
        <x:v>While Armour remains, gain +5 Guard.</x:v>
      </x:c>
      <x:c r="S10" t="str">
        <x:v>First time Armour is depleted each combat, restore 4 Armour.</x:v>
      </x:c>
      <x:c r="T10" t="str">
        <x:v>Ember; Frost; Storm; Venom; Blood; Lunar; Solar</x:v>
      </x:c>
      <x:c r="U10" t="str">
        <x:v>Heavy physical protection; Armour-focused.</x:v>
      </x:c>
      <x:c r="V10" t="str">
        <x:v>Matching protection blocks its ailments. Restoration: 1-turn cooldown and no overflow. Fortify/Ward: heal and overflow with 2-turn cooldown. Dual Bastion/Aegis: 3-turn cooldown.</x:v>
      </x:c>
      <x:c r="W10" t="str">
        <x:v>Active</x:v>
      </x:c>
      <x:c r="X10" t="str">
        <x:v>Braced Brow</x:v>
      </x:c>
      <x:c r="Y10" t="str">
        <x:v>Unyielding Crest</x:v>
      </x:c>
      <x:c r="Z10" t="str">
        <x:v>Unyielding Crest</x:v>
      </x:c>
      <x:c r="AA10" t="n">
        <x:v>3</x:v>
      </x:c>
      <x:c r="AB10" t="n">
        <x:v>2</x:v>
      </x:c>
      <x:c r="AC10" t="str">
        <x:v>Gain 5 Fortified Armour (add 5 to current Armour and temporary Maximum Armour) and Minor Guard Up for 2 turns.</x:v>
      </x:c>
    </x:row>
    <x:row r="11">
      <x:c r="A11" t="str">
        <x:v>HLM-007</x:v>
      </x:c>
      <x:c r="B11" t="str">
        <x:v>Runic Feather Circlet</x:v>
      </x:c>
      <x:c r="C11" t="str">
        <x:v>Grey</x:v>
      </x:c>
      <x:c r="D11" t="str">
        <x:v>Runewoven Aegis</x:v>
      </x:c>
      <x:c r="E11" t="str">
        <x:v>Helmet</x:v>
      </x:c>
      <x:c r="F11" t="str">
        <x:v>Medium</x:v>
      </x:c>
      <x:c r="G11" t="str">
        <x:v>Mage, Siren, magical Bard</x:v>
      </x:c>
      <x:c r="H11" t="n">
        <x:v>0</x:v>
      </x:c>
      <x:c r="I11" t="n">
        <x:v>2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1</x:v>
      </x:c>
      <x:c r="P11" t="n">
        <x:v>0</x:v>
      </x:c>
      <x:c r="Q11" t="n">
        <x:v>0</x:v>
      </x:c>
      <x:c r="R11" t="str">
        <x:v>While Magic Armour remains, gain +2 Resolve.</x:v>
      </x:c>
      <x:c r="S11" t="str">
        <x:v>First time Magic Armour is depleted each combat, restore 1 Magic Armour.</x:v>
      </x:c>
      <x:c r="T11" t="str">
        <x:v>Ember; Frost; Storm; Venom; Blood; Lunar; Solar</x:v>
      </x:c>
      <x:c r="U11" t="str">
        <x:v>Heavy magical protection; Magic Armour-focused.</x:v>
      </x:c>
      <x:c r="V11" t="str">
        <x:v>Matching protection blocks its ailments. Restoration: 1-turn cooldown and no overflow. Fortify/Ward: heal and overflow with 2-turn cooldown. Dual Bastion/Aegis: 3-turn cooldown.</x:v>
      </x:c>
      <x:c r="W11" t="str">
        <x:v>Active</x:v>
      </x:c>
      <x:c r="X11" t="str">
        <x:v>Clear Mind</x:v>
      </x:c>
      <x:c r="Y11" t="str">
        <x:v>Arcane Focus</x:v>
      </x:c>
      <x:c r="Z11" t="str">
        <x:v>None</x:v>
      </x:c>
      <x:c r="AA11" t="n">
        <x:v>0</x:v>
      </x:c>
      <x:c r="AB11" t="n">
        <x:v>0</x:v>
      </x:c>
      <x:c r="AC11" t="str">
        <x:v>No granted equipment skill at Grey rarity.</x:v>
      </x:c>
    </x:row>
    <x:row r="12">
      <x:c r="A12" t="str">
        <x:v>HLM-008</x:v>
      </x:c>
      <x:c r="B12" t="str">
        <x:v>Sturdy Runic Feather Circlet</x:v>
      </x:c>
      <x:c r="C12" t="str">
        <x:v>Green</x:v>
      </x:c>
      <x:c r="D12" t="str">
        <x:v>Runewoven Aegis</x:v>
      </x:c>
      <x:c r="E12" t="str">
        <x:v>Helmet</x:v>
      </x:c>
      <x:c r="F12" t="str">
        <x:v>Medium</x:v>
      </x:c>
      <x:c r="G12" t="str">
        <x:v>Mage, Siren, magical Bard</x:v>
      </x:c>
      <x:c r="H12" t="n">
        <x:v>0</x:v>
      </x:c>
      <x:c r="I12" t="n">
        <x:v>3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1</x:v>
      </x:c>
      <x:c r="O12" t="n">
        <x:v>1</x:v>
      </x:c>
      <x:c r="P12" t="n">
        <x:v>0</x:v>
      </x:c>
      <x:c r="Q12" t="n">
        <x:v>0</x:v>
      </x:c>
      <x:c r="R12" t="str">
        <x:v>While Magic Armour remains, gain +2 Resolve.</x:v>
      </x:c>
      <x:c r="S12" t="str">
        <x:v>First time Magic Armour is depleted each combat, restore 1 Magic Armour.</x:v>
      </x:c>
      <x:c r="T12" t="str">
        <x:v>Ember; Frost; Storm; Venom; Blood; Lunar; Solar</x:v>
      </x:c>
      <x:c r="U12" t="str">
        <x:v>Heavy magical protection; Magic Armour-focused.</x:v>
      </x:c>
      <x:c r="V12" t="str">
        <x:v>Matching protection blocks its ailments. Restoration: 1-turn cooldown and no overflow. Fortify/Ward: heal and overflow with 2-turn cooldown. Dual Bastion/Aegis: 3-turn cooldown.</x:v>
      </x:c>
      <x:c r="W12" t="str">
        <x:v>Active</x:v>
      </x:c>
      <x:c r="X12" t="str">
        <x:v>Clear Mind</x:v>
      </x:c>
      <x:c r="Y12" t="str">
        <x:v>Arcane Focus</x:v>
      </x:c>
      <x:c r="Z12" t="str">
        <x:v>Clear Mind</x:v>
      </x:c>
      <x:c r="AA12" t="n">
        <x:v>2</x:v>
      </x:c>
      <x:c r="AB12" t="n">
        <x:v>1</x:v>
      </x:c>
      <x:c r="AC12" t="str">
        <x:v>Restore 3 Magic Armour. If affected by a magical stat debuff, reduce its remaining duration by 1 turn.</x:v>
      </x:c>
    </x:row>
    <x:row r="13">
      <x:c r="A13" t="str">
        <x:v>HLM-009</x:v>
      </x:c>
      <x:c r="B13" t="str">
        <x:v>Tempered Runic Feather Circlet</x:v>
      </x:c>
      <x:c r="C13" t="str">
        <x:v>Blue</x:v>
      </x:c>
      <x:c r="D13" t="str">
        <x:v>Runewoven Aegis</x:v>
      </x:c>
      <x:c r="E13" t="str">
        <x:v>Helmet</x:v>
      </x:c>
      <x:c r="F13" t="str">
        <x:v>Medium</x:v>
      </x:c>
      <x:c r="G13" t="str">
        <x:v>Mage, Siren, magical Bard</x:v>
      </x:c>
      <x:c r="H13" t="n">
        <x:v>0</x:v>
      </x:c>
      <x:c r="I13" t="n">
        <x:v>4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1</x:v>
      </x:c>
      <x:c r="O13" t="n">
        <x:v>2</x:v>
      </x:c>
      <x:c r="P13" t="n">
        <x:v>0</x:v>
      </x:c>
      <x:c r="Q13" t="n">
        <x:v>0</x:v>
      </x:c>
      <x:c r="R13" t="str">
        <x:v>While Magic Armour remains, gain +3 Resolve.</x:v>
      </x:c>
      <x:c r="S13" t="str">
        <x:v>First time Magic Armour is depleted each combat, restore 2 Magic Armour.</x:v>
      </x:c>
      <x:c r="T13" t="str">
        <x:v>Ember; Frost; Storm; Venom; Blood; Lunar; Solar</x:v>
      </x:c>
      <x:c r="U13" t="str">
        <x:v>Heavy magical protection; Magic Armour-focused.</x:v>
      </x:c>
      <x:c r="V13" t="str">
        <x:v>Matching protection blocks its ailments. Restoration: 1-turn cooldown and no overflow. Fortify/Ward: heal and overflow with 2-turn cooldown. Dual Bastion/Aegis: 3-turn cooldown.</x:v>
      </x:c>
      <x:c r="W13" t="str">
        <x:v>Active</x:v>
      </x:c>
      <x:c r="X13" t="str">
        <x:v>Clear Mind</x:v>
      </x:c>
      <x:c r="Y13" t="str">
        <x:v>Arcane Focus</x:v>
      </x:c>
      <x:c r="Z13" t="str">
        <x:v>Clear Mind</x:v>
      </x:c>
      <x:c r="AA13" t="n">
        <x:v>2</x:v>
      </x:c>
      <x:c r="AB13" t="n">
        <x:v>1</x:v>
      </x:c>
      <x:c r="AC13" t="str">
        <x:v>Restore 3 Magic Armour. If affected by a magical stat debuff, reduce its remaining duration by 1 turn.</x:v>
      </x:c>
    </x:row>
    <x:row r="14">
      <x:c r="A14" t="str">
        <x:v>HLM-010</x:v>
      </x:c>
      <x:c r="B14" t="str">
        <x:v>Masterwork Runic Feather Circlet</x:v>
      </x:c>
      <x:c r="C14" t="str">
        <x:v>Purple</x:v>
      </x:c>
      <x:c r="D14" t="str">
        <x:v>Runewoven Aegis</x:v>
      </x:c>
      <x:c r="E14" t="str">
        <x:v>Helmet</x:v>
      </x:c>
      <x:c r="F14" t="str">
        <x:v>Medium</x:v>
      </x:c>
      <x:c r="G14" t="str">
        <x:v>Mage, Siren, magical Bard</x:v>
      </x:c>
      <x:c r="H14" t="n">
        <x:v>0</x:v>
      </x:c>
      <x:c r="I14" t="n">
        <x:v>6</x:v>
      </x:c>
      <x:c r="J14" t="n">
        <x:v>1</x:v>
      </x:c>
      <x:c r="K14" t="n">
        <x:v>0</x:v>
      </x:c>
      <x:c r="L14" t="n">
        <x:v>0</x:v>
      </x:c>
      <x:c r="M14" t="n">
        <x:v>0</x:v>
      </x:c>
      <x:c r="N14" t="n">
        <x:v>1</x:v>
      </x:c>
      <x:c r="O14" t="n">
        <x:v>3</x:v>
      </x:c>
      <x:c r="P14" t="n">
        <x:v>0</x:v>
      </x:c>
      <x:c r="Q14" t="n">
        <x:v>0</x:v>
      </x:c>
      <x:c r="R14" t="str">
        <x:v>While Magic Armour remains, gain +3 Resolve.</x:v>
      </x:c>
      <x:c r="S14" t="str">
        <x:v>First time Magic Armour is depleted each combat, restore 2 Magic Armour.</x:v>
      </x:c>
      <x:c r="T14" t="str">
        <x:v>Ember; Frost; Storm; Venom; Blood; Lunar; Solar</x:v>
      </x:c>
      <x:c r="U14" t="str">
        <x:v>Heavy magical protection; Magic Armour-focused.</x:v>
      </x:c>
      <x:c r="V14" t="str">
        <x:v>Matching protection blocks its ailments. Restoration: 1-turn cooldown and no overflow. Fortify/Ward: heal and overflow with 2-turn cooldown. Dual Bastion/Aegis: 3-turn cooldown.</x:v>
      </x:c>
      <x:c r="W14" t="str">
        <x:v>Active</x:v>
      </x:c>
      <x:c r="X14" t="str">
        <x:v>Clear Mind</x:v>
      </x:c>
      <x:c r="Y14" t="str">
        <x:v>Arcane Focus</x:v>
      </x:c>
      <x:c r="Z14" t="str">
        <x:v>Arcane Focus</x:v>
      </x:c>
      <x:c r="AA14" t="n">
        <x:v>3</x:v>
      </x:c>
      <x:c r="AB14" t="n">
        <x:v>2</x:v>
      </x:c>
      <x:c r="AC14" t="str">
        <x:v>Gain 5 Ward Magic Armour (add 5 to current Magic Armour and temporary Maximum Magic Armour) and Minor Focus Up for 2 turns.</x:v>
      </x:c>
    </x:row>
    <x:row r="15">
      <x:c r="A15" t="str">
        <x:v>HLM-011</x:v>
      </x:c>
      <x:c r="B15" t="str">
        <x:v>Regal Runic Feather Circlet</x:v>
      </x:c>
      <x:c r="C15" t="str">
        <x:v>Gold</x:v>
      </x:c>
      <x:c r="D15" t="str">
        <x:v>Runewoven Aegis</x:v>
      </x:c>
      <x:c r="E15" t="str">
        <x:v>Helmet</x:v>
      </x:c>
      <x:c r="F15" t="str">
        <x:v>Medium</x:v>
      </x:c>
      <x:c r="G15" t="str">
        <x:v>Mage, Siren, magical Bard</x:v>
      </x:c>
      <x:c r="H15" t="n">
        <x:v>1</x:v>
      </x:c>
      <x:c r="I15" t="n">
        <x:v>7</x:v>
      </x:c>
      <x:c r="J15" t="n">
        <x:v>1</x:v>
      </x:c>
      <x:c r="K15" t="n">
        <x:v>0</x:v>
      </x:c>
      <x:c r="L15" t="n">
        <x:v>0</x:v>
      </x:c>
      <x:c r="M15" t="n">
        <x:v>0</x:v>
      </x:c>
      <x:c r="N15" t="n">
        <x:v>2</x:v>
      </x:c>
      <x:c r="O15" t="n">
        <x:v>4</x:v>
      </x:c>
      <x:c r="P15" t="n">
        <x:v>0</x:v>
      </x:c>
      <x:c r="Q15" t="n">
        <x:v>0</x:v>
      </x:c>
      <x:c r="R15" t="str">
        <x:v>While Magic Armour remains, gain +4 Resolve.</x:v>
      </x:c>
      <x:c r="S15" t="str">
        <x:v>First time Magic Armour is depleted each combat, restore 3 Magic Armour.</x:v>
      </x:c>
      <x:c r="T15" t="str">
        <x:v>Ember; Frost; Storm; Venom; Blood; Lunar; Solar</x:v>
      </x:c>
      <x:c r="U15" t="str">
        <x:v>Heavy magical protection; Magic Armour-focused.</x:v>
      </x:c>
      <x:c r="V15" t="str">
        <x:v>Matching protection blocks its ailments. Restoration: 1-turn cooldown and no overflow. Fortify/Ward: heal and overflow with 2-turn cooldown. Dual Bastion/Aegis: 3-turn cooldown.</x:v>
      </x:c>
      <x:c r="W15" t="str">
        <x:v>Active</x:v>
      </x:c>
      <x:c r="X15" t="str">
        <x:v>Clear Mind</x:v>
      </x:c>
      <x:c r="Y15" t="str">
        <x:v>Arcane Focus</x:v>
      </x:c>
      <x:c r="Z15" t="str">
        <x:v>Arcane Focus</x:v>
      </x:c>
      <x:c r="AA15" t="n">
        <x:v>3</x:v>
      </x:c>
      <x:c r="AB15" t="n">
        <x:v>2</x:v>
      </x:c>
      <x:c r="AC15" t="str">
        <x:v>Gain 5 Ward Magic Armour (add 5 to current Magic Armour and temporary Maximum Magic Armour) and Minor Focus Up for 2 turns.</x:v>
      </x:c>
    </x:row>
    <x:row r="16">
      <x:c r="A16" t="str">
        <x:v>HLM-012</x:v>
      </x:c>
      <x:c r="B16" t="str">
        <x:v>Mythic Runic Feather Circlet</x:v>
      </x:c>
      <x:c r="C16" t="str">
        <x:v>Orange</x:v>
      </x:c>
      <x:c r="D16" t="str">
        <x:v>Runewoven Aegis</x:v>
      </x:c>
      <x:c r="E16" t="str">
        <x:v>Helmet</x:v>
      </x:c>
      <x:c r="F16" t="str">
        <x:v>Medium</x:v>
      </x:c>
      <x:c r="G16" t="str">
        <x:v>Mage, Siren, magical Bard</x:v>
      </x:c>
      <x:c r="H16" t="n">
        <x:v>1</x:v>
      </x:c>
      <x:c r="I16" t="n">
        <x:v>10</x:v>
      </x:c>
      <x:c r="J16" t="n">
        <x:v>2</x:v>
      </x:c>
      <x:c r="K16" t="n">
        <x:v>0</x:v>
      </x:c>
      <x:c r="L16" t="n">
        <x:v>0</x:v>
      </x:c>
      <x:c r="M16" t="n">
        <x:v>0</x:v>
      </x:c>
      <x:c r="N16" t="n">
        <x:v>2</x:v>
      </x:c>
      <x:c r="O16" t="n">
        <x:v>5</x:v>
      </x:c>
      <x:c r="P16" t="n">
        <x:v>0</x:v>
      </x:c>
      <x:c r="Q16" t="n">
        <x:v>0</x:v>
      </x:c>
      <x:c r="R16" t="str">
        <x:v>While Magic Armour remains, gain +5 Resolve.</x:v>
      </x:c>
      <x:c r="S16" t="str">
        <x:v>First time Magic Armour is depleted each combat, restore 4 Magic Armour.</x:v>
      </x:c>
      <x:c r="T16" t="str">
        <x:v>Ember; Frost; Storm; Venom; Blood; Lunar; Solar</x:v>
      </x:c>
      <x:c r="U16" t="str">
        <x:v>Heavy magical protection; Magic Armour-focused.</x:v>
      </x:c>
      <x:c r="V16" t="str">
        <x:v>Matching protection blocks its ailments. Restoration: 1-turn cooldown and no overflow. Fortify/Ward: heal and overflow with 2-turn cooldown. Dual Bastion/Aegis: 3-turn cooldown.</x:v>
      </x:c>
      <x:c r="W16" t="str">
        <x:v>Active</x:v>
      </x:c>
      <x:c r="X16" t="str">
        <x:v>Clear Mind</x:v>
      </x:c>
      <x:c r="Y16" t="str">
        <x:v>Arcane Focus</x:v>
      </x:c>
      <x:c r="Z16" t="str">
        <x:v>Arcane Focus</x:v>
      </x:c>
      <x:c r="AA16" t="n">
        <x:v>3</x:v>
      </x:c>
      <x:c r="AB16" t="n">
        <x:v>2</x:v>
      </x:c>
      <x:c r="AC16" t="str">
        <x:v>Gain 5 Ward Magic Armour (add 5 to current Magic Armour and temporary Maximum Magic Armour) and Minor Focus Up for 2 turns.</x:v>
      </x:c>
    </x:row>
    <x:row r="17">
      <x:c r="A17" t="str">
        <x:v>HLM-013</x:v>
      </x:c>
      <x:c r="B17" t="str">
        <x:v>Layered Scale Visor</x:v>
      </x:c>
      <x:c r="C17" t="str">
        <x:v>Grey</x:v>
      </x:c>
      <x:c r="D17" t="str">
        <x:v>Layered Scale</x:v>
      </x:c>
      <x:c r="E17" t="str">
        <x:v>Helmet</x:v>
      </x:c>
      <x:c r="F17" t="str">
        <x:v>Medium</x:v>
      </x:c>
      <x:c r="G17" t="str">
        <x:v>Generalist, Inquisitor, Bard</x:v>
      </x:c>
      <x:c r="H17" t="n">
        <x:v>1</x:v>
      </x:c>
      <x:c r="I17" t="n">
        <x:v>1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str">
        <x:v>Begin combat with +1 Maximum Armour and +1 Maximum Magic Armour.</x:v>
      </x:c>
      <x:c r="S17" t="str">
        <x:v>Once per combat when either protection pool is depleted, restore 1 to both pools.</x:v>
      </x:c>
      <x:c r="T17" t="str">
        <x:v>Ember; Frost; Storm; Venom; Blood; Lunar; Solar</x:v>
      </x:c>
      <x:c r="U17" t="str">
        <x:v>Balanced physical and magical protection.</x:v>
      </x:c>
      <x:c r="V17" t="str">
        <x:v>Matching protection blocks its ailments. Restoration: 1-turn cooldown and no overflow. Fortify/Ward: heal and overflow with 2-turn cooldown. Dual Bastion/Aegis: 3-turn cooldown.</x:v>
      </x:c>
      <x:c r="W17" t="str">
        <x:v>Active</x:v>
      </x:c>
      <x:c r="X17" t="str">
        <x:v>Balanced Guard</x:v>
      </x:c>
      <x:c r="Y17" t="str">
        <x:v>Equalised Defence</x:v>
      </x:c>
      <x:c r="Z17" t="str">
        <x:v>None</x:v>
      </x:c>
      <x:c r="AA17" t="n">
        <x:v>0</x:v>
      </x:c>
      <x:c r="AB17" t="n">
        <x:v>0</x:v>
      </x:c>
      <x:c r="AC17" t="str">
        <x:v>No granted equipment skill at Grey rarity.</x:v>
      </x:c>
    </x:row>
    <x:row r="18">
      <x:c r="A18" t="str">
        <x:v>HLM-014</x:v>
      </x:c>
      <x:c r="B18" t="str">
        <x:v>Sturdy Layered Scale Visor</x:v>
      </x:c>
      <x:c r="C18" t="str">
        <x:v>Green</x:v>
      </x:c>
      <x:c r="D18" t="str">
        <x:v>Layered Scale</x:v>
      </x:c>
      <x:c r="E18" t="str">
        <x:v>Helmet</x:v>
      </x:c>
      <x:c r="F18" t="str">
        <x:v>Medium</x:v>
      </x:c>
      <x:c r="G18" t="str">
        <x:v>Generalist, Inquisitor, Bard</x:v>
      </x:c>
      <x:c r="H18" t="n">
        <x:v>2</x:v>
      </x:c>
      <x:c r="I18" t="n">
        <x:v>1</x:v>
      </x:c>
      <x:c r="J18" t="n">
        <x:v>1</x:v>
      </x:c>
      <x:c r="K18" t="n">
        <x:v>0</x:v>
      </x:c>
      <x:c r="L18" t="n">
        <x:v>0</x:v>
      </x:c>
      <x:c r="M18" t="n">
        <x:v>1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str">
        <x:v>Begin combat with +1 Maximum Armour and +1 Maximum Magic Armour.</x:v>
      </x:c>
      <x:c r="S18" t="str">
        <x:v>Once per combat when either protection pool is depleted, restore 1 to both pools.</x:v>
      </x:c>
      <x:c r="T18" t="str">
        <x:v>Ember; Frost; Storm; Venom; Blood; Lunar; Solar</x:v>
      </x:c>
      <x:c r="U18" t="str">
        <x:v>Balanced physical and magical protection.</x:v>
      </x:c>
      <x:c r="V18" t="str">
        <x:v>Matching protection blocks its ailments. Restoration: 1-turn cooldown and no overflow. Fortify/Ward: heal and overflow with 2-turn cooldown. Dual Bastion/Aegis: 3-turn cooldown.</x:v>
      </x:c>
      <x:c r="W18" t="str">
        <x:v>Active</x:v>
      </x:c>
      <x:c r="X18" t="str">
        <x:v>Balanced Guard</x:v>
      </x:c>
      <x:c r="Y18" t="str">
        <x:v>Equalised Defence</x:v>
      </x:c>
      <x:c r="Z18" t="str">
        <x:v>Balanced Guard</x:v>
      </x:c>
      <x:c r="AA18" t="n">
        <x:v>2</x:v>
      </x:c>
      <x:c r="AB18" t="n">
        <x:v>1</x:v>
      </x:c>
      <x:c r="AC18" t="str">
        <x:v>Restore 4 to whichever protection pool is currently lower.</x:v>
      </x:c>
    </x:row>
    <x:row r="19">
      <x:c r="A19" t="str">
        <x:v>HLM-015</x:v>
      </x:c>
      <x:c r="B19" t="str">
        <x:v>Tempered Layered Scale Visor</x:v>
      </x:c>
      <x:c r="C19" t="str">
        <x:v>Blue</x:v>
      </x:c>
      <x:c r="D19" t="str">
        <x:v>Layered Scale</x:v>
      </x:c>
      <x:c r="E19" t="str">
        <x:v>Helmet</x:v>
      </x:c>
      <x:c r="F19" t="str">
        <x:v>Medium</x:v>
      </x:c>
      <x:c r="G19" t="str">
        <x:v>Generalist, Inquisitor, Bard</x:v>
      </x:c>
      <x:c r="H19" t="n">
        <x:v>2</x:v>
      </x:c>
      <x:c r="I19" t="n">
        <x:v>2</x:v>
      </x:c>
      <x:c r="J19" t="n">
        <x:v>2</x:v>
      </x:c>
      <x:c r="K19" t="n">
        <x:v>0</x:v>
      </x:c>
      <x:c r="L19" t="n">
        <x:v>0</x:v>
      </x:c>
      <x:c r="M19" t="n">
        <x:v>1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str">
        <x:v>Begin combat with +2 Maximum Armour and +2 Maximum Magic Armour.</x:v>
      </x:c>
      <x:c r="S19" t="str">
        <x:v>Once per combat when either protection pool is depleted, restore 1 to both pools.</x:v>
      </x:c>
      <x:c r="T19" t="str">
        <x:v>Ember; Frost; Storm; Venom; Blood; Lunar; Solar</x:v>
      </x:c>
      <x:c r="U19" t="str">
        <x:v>Balanced physical and magical protection.</x:v>
      </x:c>
      <x:c r="V19" t="str">
        <x:v>Matching protection blocks its ailments. Restoration: 1-turn cooldown and no overflow. Fortify/Ward: heal and overflow with 2-turn cooldown. Dual Bastion/Aegis: 3-turn cooldown.</x:v>
      </x:c>
      <x:c r="W19" t="str">
        <x:v>Active</x:v>
      </x:c>
      <x:c r="X19" t="str">
        <x:v>Balanced Guard</x:v>
      </x:c>
      <x:c r="Y19" t="str">
        <x:v>Equalised Defence</x:v>
      </x:c>
      <x:c r="Z19" t="str">
        <x:v>Balanced Guard</x:v>
      </x:c>
      <x:c r="AA19" t="n">
        <x:v>2</x:v>
      </x:c>
      <x:c r="AB19" t="n">
        <x:v>1</x:v>
      </x:c>
      <x:c r="AC19" t="str">
        <x:v>Restore 4 to whichever protection pool is currently lower.</x:v>
      </x:c>
    </x:row>
    <x:row r="20">
      <x:c r="A20" t="str">
        <x:v>HLM-016</x:v>
      </x:c>
      <x:c r="B20" t="str">
        <x:v>Masterwork Layered Scale Visor</x:v>
      </x:c>
      <x:c r="C20" t="str">
        <x:v>Purple</x:v>
      </x:c>
      <x:c r="D20" t="str">
        <x:v>Layered Scale</x:v>
      </x:c>
      <x:c r="E20" t="str">
        <x:v>Helmet</x:v>
      </x:c>
      <x:c r="F20" t="str">
        <x:v>Medium</x:v>
      </x:c>
      <x:c r="G20" t="str">
        <x:v>Generalist, Inquisitor, Bard</x:v>
      </x:c>
      <x:c r="H20" t="n">
        <x:v>3</x:v>
      </x:c>
      <x:c r="I20" t="n">
        <x:v>3</x:v>
      </x:c>
      <x:c r="J20" t="n">
        <x:v>3</x:v>
      </x:c>
      <x:c r="K20" t="n">
        <x:v>0</x:v>
      </x:c>
      <x:c r="L20" t="n">
        <x:v>0</x:v>
      </x:c>
      <x:c r="M20" t="n">
        <x:v>1</x:v>
      </x:c>
      <x:c r="N20" t="n">
        <x:v>0</x:v>
      </x:c>
      <x:c r="O20" t="n">
        <x:v>1</x:v>
      </x:c>
      <x:c r="P20" t="n">
        <x:v>0</x:v>
      </x:c>
      <x:c r="Q20" t="n">
        <x:v>0</x:v>
      </x:c>
      <x:c r="R20" t="str">
        <x:v>Begin combat with +2 Maximum Armour and +2 Maximum Magic Armour.</x:v>
      </x:c>
      <x:c r="S20" t="str">
        <x:v>Once per combat when either protection pool is depleted, restore 1 to both pools.</x:v>
      </x:c>
      <x:c r="T20" t="str">
        <x:v>Ember; Frost; Storm; Venom; Blood; Lunar; Solar</x:v>
      </x:c>
      <x:c r="U20" t="str">
        <x:v>Balanced physical and magical protection.</x:v>
      </x:c>
      <x:c r="V20" t="str">
        <x:v>Matching protection blocks its ailments. Restoration: 1-turn cooldown and no overflow. Fortify/Ward: heal and overflow with 2-turn cooldown. Dual Bastion/Aegis: 3-turn cooldown.</x:v>
      </x:c>
      <x:c r="W20" t="str">
        <x:v>Active</x:v>
      </x:c>
      <x:c r="X20" t="str">
        <x:v>Balanced Guard</x:v>
      </x:c>
      <x:c r="Y20" t="str">
        <x:v>Equalised Defence</x:v>
      </x:c>
      <x:c r="Z20" t="str">
        <x:v>Equalised Defence</x:v>
      </x:c>
      <x:c r="AA20" t="n">
        <x:v>3</x:v>
      </x:c>
      <x:c r="AB20" t="n">
        <x:v>3</x:v>
      </x:c>
      <x:c r="AC20" t="str">
        <x:v>Gain 4 Fortified Armour (add 4 to current Armour and temporary Maximum Armour) and 4 Ward Magic Armour (add 4 to current Magic Armour and temporary Maximum Magic Armour) for 2 turns.</x:v>
      </x:c>
    </x:row>
    <x:row r="21">
      <x:c r="A21" t="str">
        <x:v>HLM-017</x:v>
      </x:c>
      <x:c r="B21" t="str">
        <x:v>Regal Layered Scale Visor</x:v>
      </x:c>
      <x:c r="C21" t="str">
        <x:v>Gold</x:v>
      </x:c>
      <x:c r="D21" t="str">
        <x:v>Layered Scale</x:v>
      </x:c>
      <x:c r="E21" t="str">
        <x:v>Helmet</x:v>
      </x:c>
      <x:c r="F21" t="str">
        <x:v>Medium</x:v>
      </x:c>
      <x:c r="G21" t="str">
        <x:v>Generalist, Inquisitor, Bard</x:v>
      </x:c>
      <x:c r="H21" t="n">
        <x:v>4</x:v>
      </x:c>
      <x:c r="I21" t="n">
        <x:v>4</x:v>
      </x:c>
      <x:c r="J21" t="n">
        <x:v>4</x:v>
      </x:c>
      <x:c r="K21" t="n">
        <x:v>0</x:v>
      </x:c>
      <x:c r="L21" t="n">
        <x:v>0</x:v>
      </x:c>
      <x:c r="M21" t="n">
        <x:v>2</x:v>
      </x:c>
      <x:c r="N21" t="n">
        <x:v>0</x:v>
      </x:c>
      <x:c r="O21" t="n">
        <x:v>1</x:v>
      </x:c>
      <x:c r="P21" t="n">
        <x:v>0</x:v>
      </x:c>
      <x:c r="Q21" t="n">
        <x:v>0</x:v>
      </x:c>
      <x:c r="R21" t="str">
        <x:v>Begin combat with +3 Maximum Armour and +3 Maximum Magic Armour.</x:v>
      </x:c>
      <x:c r="S21" t="str">
        <x:v>Once per combat when either protection pool is depleted, restore 2 to both pools.</x:v>
      </x:c>
      <x:c r="T21" t="str">
        <x:v>Ember; Frost; Storm; Venom; Blood; Lunar; Solar</x:v>
      </x:c>
      <x:c r="U21" t="str">
        <x:v>Balanced physical and magical protection.</x:v>
      </x:c>
      <x:c r="V21" t="str">
        <x:v>Matching protection blocks its ailments. Restoration: 1-turn cooldown and no overflow. Fortify/Ward: heal and overflow with 2-turn cooldown. Dual Bastion/Aegis: 3-turn cooldown.</x:v>
      </x:c>
      <x:c r="W21" t="str">
        <x:v>Active</x:v>
      </x:c>
      <x:c r="X21" t="str">
        <x:v>Balanced Guard</x:v>
      </x:c>
      <x:c r="Y21" t="str">
        <x:v>Equalised Defence</x:v>
      </x:c>
      <x:c r="Z21" t="str">
        <x:v>Equalised Defence</x:v>
      </x:c>
      <x:c r="AA21" t="n">
        <x:v>3</x:v>
      </x:c>
      <x:c r="AB21" t="n">
        <x:v>3</x:v>
      </x:c>
      <x:c r="AC21" t="str">
        <x:v>Gain 4 Fortified Armour (add 4 to current Armour and temporary Maximum Armour) and 4 Ward Magic Armour (add 4 to current Magic Armour and temporary Maximum Magic Armour) for 2 turns.</x:v>
      </x:c>
    </x:row>
    <x:row r="22">
      <x:c r="A22" t="str">
        <x:v>HLM-018</x:v>
      </x:c>
      <x:c r="B22" t="str">
        <x:v>Mythic Layered Scale Visor</x:v>
      </x:c>
      <x:c r="C22" t="str">
        <x:v>Orange</x:v>
      </x:c>
      <x:c r="D22" t="str">
        <x:v>Layered Scale</x:v>
      </x:c>
      <x:c r="E22" t="str">
        <x:v>Helmet</x:v>
      </x:c>
      <x:c r="F22" t="str">
        <x:v>Medium</x:v>
      </x:c>
      <x:c r="G22" t="str">
        <x:v>Generalist, Inquisitor, Bard</x:v>
      </x:c>
      <x:c r="H22" t="n">
        <x:v>6</x:v>
      </x:c>
      <x:c r="I22" t="n">
        <x:v>5</x:v>
      </x:c>
      <x:c r="J22" t="n">
        <x:v>5</x:v>
      </x:c>
      <x:c r="K22" t="n">
        <x:v>0</x:v>
      </x:c>
      <x:c r="L22" t="n">
        <x:v>0</x:v>
      </x:c>
      <x:c r="M22" t="n">
        <x:v>2</x:v>
      </x:c>
      <x:c r="N22" t="n">
        <x:v>0</x:v>
      </x:c>
      <x:c r="O22" t="n">
        <x:v>2</x:v>
      </x:c>
      <x:c r="P22" t="n">
        <x:v>0</x:v>
      </x:c>
      <x:c r="Q22" t="n">
        <x:v>0</x:v>
      </x:c>
      <x:c r="R22" t="str">
        <x:v>Begin combat with +4 Maximum Armour and +4 Maximum Magic Armour.</x:v>
      </x:c>
      <x:c r="S22" t="str">
        <x:v>Once per combat when either protection pool is depleted, restore 2 to both pools.</x:v>
      </x:c>
      <x:c r="T22" t="str">
        <x:v>Ember; Frost; Storm; Venom; Blood; Lunar; Solar</x:v>
      </x:c>
      <x:c r="U22" t="str">
        <x:v>Balanced physical and magical protection.</x:v>
      </x:c>
      <x:c r="V22" t="str">
        <x:v>Matching protection blocks its ailments. Restoration: 1-turn cooldown and no overflow. Fortify/Ward: heal and overflow with 2-turn cooldown. Dual Bastion/Aegis: 3-turn cooldown.</x:v>
      </x:c>
      <x:c r="W22" t="str">
        <x:v>Active</x:v>
      </x:c>
      <x:c r="X22" t="str">
        <x:v>Balanced Guard</x:v>
      </x:c>
      <x:c r="Y22" t="str">
        <x:v>Equalised Defence</x:v>
      </x:c>
      <x:c r="Z22" t="str">
        <x:v>Equalised Defence</x:v>
      </x:c>
      <x:c r="AA22" t="n">
        <x:v>3</x:v>
      </x:c>
      <x:c r="AB22" t="n">
        <x:v>3</x:v>
      </x:c>
      <x:c r="AC22" t="str">
        <x:v>Gain 4 Fortified Armour (add 4 to current Armour and temporary Maximum Armour) and 4 Ward Magic Armour (add 4 to current Magic Armour and temporary Maximum Magic Armour) for 2 turns.</x:v>
      </x:c>
    </x:row>
    <x:row r="23">
      <x:c r="A23" t="str">
        <x:v>HLM-019</x:v>
      </x:c>
      <x:c r="B23" t="str">
        <x:v>Shadowplume Hood</x:v>
      </x:c>
      <x:c r="C23" t="str">
        <x:v>Grey</x:v>
      </x:c>
      <x:c r="D23" t="str">
        <x:v>Shadowplume</x:v>
      </x:c>
      <x:c r="E23" t="str">
        <x:v>Helmet</x:v>
      </x:c>
      <x:c r="F23" t="str">
        <x:v>Light</x:v>
      </x:c>
      <x:c r="G23" t="str">
        <x:v>Rogue, Dexterity Bard, bow user</x:v>
      </x:c>
      <x:c r="H23" t="n">
        <x:v>1</x:v>
      </x:c>
      <x:c r="I23" t="n">
        <x:v>1</x:v>
      </x:c>
      <x:c r="J23" t="n">
        <x:v>0</x:v>
      </x:c>
      <x:c r="K23" t="n">
        <x:v>0</x:v>
      </x:c>
      <x:c r="L23" t="n">
        <x:v>1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str">
        <x:v>While both protection pools remain above zero, gain +2 Agility.</x:v>
      </x:c>
      <x:c r="S23" t="str">
        <x:v>First successful Dodge each combat restores 1 to the lower protection pool.</x:v>
      </x:c>
      <x:c r="T23" t="str">
        <x:v>Ember; Frost; Storm; Venom; Blood; Lunar; Solar</x:v>
      </x:c>
      <x:c r="U23" t="str">
        <x:v>Light finesse and mobility equipment.</x:v>
      </x:c>
      <x:c r="V23" t="str">
        <x:v>Matching protection blocks its ailments. Restoration: 1-turn cooldown and no overflow. Fortify/Ward: heal and overflow with 2-turn cooldown. Dual Bastion/Aegis: 3-turn cooldown.</x:v>
      </x:c>
      <x:c r="W23" t="str">
        <x:v>Active</x:v>
      </x:c>
      <x:c r="X23" t="str">
        <x:v>Keen Sight</x:v>
      </x:c>
      <x:c r="Y23" t="str">
        <x:v>Evasive Read</x:v>
      </x:c>
      <x:c r="Z23" t="str">
        <x:v>None</x:v>
      </x:c>
      <x:c r="AA23" t="n">
        <x:v>0</x:v>
      </x:c>
      <x:c r="AB23" t="n">
        <x:v>0</x:v>
      </x:c>
      <x:c r="AC23" t="str">
        <x:v>No granted equipment skill at Grey rarity.</x:v>
      </x:c>
    </x:row>
    <x:row r="24">
      <x:c r="A24" t="str">
        <x:v>HLM-020</x:v>
      </x:c>
      <x:c r="B24" t="str">
        <x:v>Sturdy Shadowplume Hood</x:v>
      </x:c>
      <x:c r="C24" t="str">
        <x:v>Green</x:v>
      </x:c>
      <x:c r="D24" t="str">
        <x:v>Shadowplume</x:v>
      </x:c>
      <x:c r="E24" t="str">
        <x:v>Helmet</x:v>
      </x:c>
      <x:c r="F24" t="str">
        <x:v>Light</x:v>
      </x:c>
      <x:c r="G24" t="str">
        <x:v>Rogue, Dexterity Bard, bow user</x:v>
      </x:c>
      <x:c r="H24" t="n">
        <x:v>1</x:v>
      </x:c>
      <x:c r="I24" t="n">
        <x:v>1</x:v>
      </x:c>
      <x:c r="J24" t="n">
        <x:v>0</x:v>
      </x:c>
      <x:c r="K24" t="n">
        <x:v>0</x:v>
      </x:c>
      <x:c r="L24" t="n">
        <x:v>1</x:v>
      </x:c>
      <x:c r="M24" t="n">
        <x:v>0</x:v>
      </x:c>
      <x:c r="N24" t="n">
        <x:v>0</x:v>
      </x:c>
      <x:c r="O24" t="n">
        <x:v>0</x:v>
      </x:c>
      <x:c r="P24" t="n">
        <x:v>1</x:v>
      </x:c>
      <x:c r="Q24" t="n">
        <x:v>0</x:v>
      </x:c>
      <x:c r="R24" t="str">
        <x:v>While both protection pools remain above zero, gain +2 Agility.</x:v>
      </x:c>
      <x:c r="S24" t="str">
        <x:v>First successful Dodge each combat restores 1 to the lower protection pool.</x:v>
      </x:c>
      <x:c r="T24" t="str">
        <x:v>Ember; Frost; Storm; Venom; Blood; Lunar; Solar</x:v>
      </x:c>
      <x:c r="U24" t="str">
        <x:v>Light finesse and mobility equipment.</x:v>
      </x:c>
      <x:c r="V24" t="str">
        <x:v>Matching protection blocks its ailments. Restoration: 1-turn cooldown and no overflow. Fortify/Ward: heal and overflow with 2-turn cooldown. Dual Bastion/Aegis: 3-turn cooldown.</x:v>
      </x:c>
      <x:c r="W24" t="str">
        <x:v>Active</x:v>
      </x:c>
      <x:c r="X24" t="str">
        <x:v>Keen Sight</x:v>
      </x:c>
      <x:c r="Y24" t="str">
        <x:v>Evasive Read</x:v>
      </x:c>
      <x:c r="Z24" t="str">
        <x:v>Keen Sight</x:v>
      </x:c>
      <x:c r="AA24" t="n">
        <x:v>2</x:v>
      </x:c>
      <x:c r="AB24" t="n">
        <x:v>0</x:v>
      </x:c>
      <x:c r="AC24" t="str">
        <x:v>Gain Minor Dexterity Up for 2 turns.</x:v>
      </x:c>
    </x:row>
    <x:row r="25">
      <x:c r="A25" t="str">
        <x:v>HLM-021</x:v>
      </x:c>
      <x:c r="B25" t="str">
        <x:v>Tempered Shadowplume Hood</x:v>
      </x:c>
      <x:c r="C25" t="str">
        <x:v>Blue</x:v>
      </x:c>
      <x:c r="D25" t="str">
        <x:v>Shadowplume</x:v>
      </x:c>
      <x:c r="E25" t="str">
        <x:v>Helmet</x:v>
      </x:c>
      <x:c r="F25" t="str">
        <x:v>Light</x:v>
      </x:c>
      <x:c r="G25" t="str">
        <x:v>Rogue, Dexterity Bard, bow user</x:v>
      </x:c>
      <x:c r="H25" t="n">
        <x:v>1</x:v>
      </x:c>
      <x:c r="I25" t="n">
        <x:v>2</x:v>
      </x:c>
      <x:c r="J25" t="n">
        <x:v>0</x:v>
      </x:c>
      <x:c r="K25" t="n">
        <x:v>0</x:v>
      </x:c>
      <x:c r="L25" t="n">
        <x:v>2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0</x:v>
      </x:c>
      <x:c r="R25" t="str">
        <x:v>While both protection pools remain above zero, gain +3 Agility.</x:v>
      </x:c>
      <x:c r="S25" t="str">
        <x:v>First successful Dodge each combat restores 1 to the lower protection pool.</x:v>
      </x:c>
      <x:c r="T25" t="str">
        <x:v>Ember; Frost; Storm; Venom; Blood; Lunar; Solar</x:v>
      </x:c>
      <x:c r="U25" t="str">
        <x:v>Light finesse and mobility equipment.</x:v>
      </x:c>
      <x:c r="V25" t="str">
        <x:v>Matching protection blocks its ailments. Restoration: 1-turn cooldown and no overflow. Fortify/Ward: heal and overflow with 2-turn cooldown. Dual Bastion/Aegis: 3-turn cooldown.</x:v>
      </x:c>
      <x:c r="W25" t="str">
        <x:v>Active</x:v>
      </x:c>
      <x:c r="X25" t="str">
        <x:v>Keen Sight</x:v>
      </x:c>
      <x:c r="Y25" t="str">
        <x:v>Evasive Read</x:v>
      </x:c>
      <x:c r="Z25" t="str">
        <x:v>Keen Sight</x:v>
      </x:c>
      <x:c r="AA25" t="n">
        <x:v>2</x:v>
      </x:c>
      <x:c r="AB25" t="n">
        <x:v>0</x:v>
      </x:c>
      <x:c r="AC25" t="str">
        <x:v>Gain Minor Dexterity Up for 2 turns.</x:v>
      </x:c>
    </x:row>
    <x:row r="26">
      <x:c r="A26" t="str">
        <x:v>HLM-022</x:v>
      </x:c>
      <x:c r="B26" t="str">
        <x:v>Masterwork Shadowplume Hood</x:v>
      </x:c>
      <x:c r="C26" t="str">
        <x:v>Purple</x:v>
      </x:c>
      <x:c r="D26" t="str">
        <x:v>Shadowplume</x:v>
      </x:c>
      <x:c r="E26" t="str">
        <x:v>Helmet</x:v>
      </x:c>
      <x:c r="F26" t="str">
        <x:v>Light</x:v>
      </x:c>
      <x:c r="G26" t="str">
        <x:v>Rogue, Dexterity Bard, bow user</x:v>
      </x:c>
      <x:c r="H26" t="n">
        <x:v>2</x:v>
      </x:c>
      <x:c r="I26" t="n">
        <x:v>3</x:v>
      </x:c>
      <x:c r="J26" t="n">
        <x:v>0</x:v>
      </x:c>
      <x:c r="K26" t="n">
        <x:v>0</x:v>
      </x:c>
      <x:c r="L26" t="n">
        <x:v>3</x:v>
      </x:c>
      <x:c r="M26" t="n">
        <x:v>0</x:v>
      </x:c>
      <x:c r="N26" t="n">
        <x:v>0</x:v>
      </x:c>
      <x:c r="O26" t="n">
        <x:v>1</x:v>
      </x:c>
      <x:c r="P26" t="n">
        <x:v>1</x:v>
      </x:c>
      <x:c r="Q26" t="n">
        <x:v>0</x:v>
      </x:c>
      <x:c r="R26" t="str">
        <x:v>While both protection pools remain above zero, gain +3 Agility.</x:v>
      </x:c>
      <x:c r="S26" t="str">
        <x:v>First successful Dodge each combat restores 1 to the lower protection pool.</x:v>
      </x:c>
      <x:c r="T26" t="str">
        <x:v>Ember; Frost; Storm; Venom; Blood; Lunar; Solar</x:v>
      </x:c>
      <x:c r="U26" t="str">
        <x:v>Light finesse and mobility equipment.</x:v>
      </x:c>
      <x:c r="V26" t="str">
        <x:v>Matching protection blocks its ailments. Restoration: 1-turn cooldown and no overflow. Fortify/Ward: heal and overflow with 2-turn cooldown. Dual Bastion/Aegis: 3-turn cooldown.</x:v>
      </x:c>
      <x:c r="W26" t="str">
        <x:v>Active</x:v>
      </x:c>
      <x:c r="X26" t="str">
        <x:v>Keen Sight</x:v>
      </x:c>
      <x:c r="Y26" t="str">
        <x:v>Evasive Read</x:v>
      </x:c>
      <x:c r="Z26" t="str">
        <x:v>Evasive Read</x:v>
      </x:c>
      <x:c r="AA26" t="n">
        <x:v>3</x:v>
      </x:c>
      <x:c r="AB26" t="n">
        <x:v>3</x:v>
      </x:c>
      <x:c r="AC26" t="str">
        <x:v>Gain 4 Fortified Armour (add 4 to current Armour and temporary Maximum Armour), 4 Ward Magic Armour (add 4 to current Magic Armour and temporary Maximum Magic Armour), and Minor Agility Up for 1 turn.</x:v>
      </x:c>
    </x:row>
    <x:row r="27">
      <x:c r="A27" t="str">
        <x:v>HLM-023</x:v>
      </x:c>
      <x:c r="B27" t="str">
        <x:v>Regal Shadowplume Hood</x:v>
      </x:c>
      <x:c r="C27" t="str">
        <x:v>Gold</x:v>
      </x:c>
      <x:c r="D27" t="str">
        <x:v>Shadowplume</x:v>
      </x:c>
      <x:c r="E27" t="str">
        <x:v>Helmet</x:v>
      </x:c>
      <x:c r="F27" t="str">
        <x:v>Light</x:v>
      </x:c>
      <x:c r="G27" t="str">
        <x:v>Rogue, Dexterity Bard, bow user</x:v>
      </x:c>
      <x:c r="H27" t="n">
        <x:v>2</x:v>
      </x:c>
      <x:c r="I27" t="n">
        <x:v>4</x:v>
      </x:c>
      <x:c r="J27" t="n">
        <x:v>0</x:v>
      </x:c>
      <x:c r="K27" t="n">
        <x:v>0</x:v>
      </x:c>
      <x:c r="L27" t="n">
        <x:v>4</x:v>
      </x:c>
      <x:c r="M27" t="n">
        <x:v>0</x:v>
      </x:c>
      <x:c r="N27" t="n">
        <x:v>0</x:v>
      </x:c>
      <x:c r="O27" t="n">
        <x:v>1</x:v>
      </x:c>
      <x:c r="P27" t="n">
        <x:v>2</x:v>
      </x:c>
      <x:c r="Q27" t="n">
        <x:v>0</x:v>
      </x:c>
      <x:c r="R27" t="str">
        <x:v>While both protection pools remain above zero, gain +4 Agility.</x:v>
      </x:c>
      <x:c r="S27" t="str">
        <x:v>First successful Dodge each combat restores 2 to the lower protection pool.</x:v>
      </x:c>
      <x:c r="T27" t="str">
        <x:v>Ember; Frost; Storm; Venom; Blood; Lunar; Solar</x:v>
      </x:c>
      <x:c r="U27" t="str">
        <x:v>Light finesse and mobility equipment.</x:v>
      </x:c>
      <x:c r="V27" t="str">
        <x:v>Matching protection blocks its ailments. Restoration: 1-turn cooldown and no overflow. Fortify/Ward: heal and overflow with 2-turn cooldown. Dual Bastion/Aegis: 3-turn cooldown.</x:v>
      </x:c>
      <x:c r="W27" t="str">
        <x:v>Active</x:v>
      </x:c>
      <x:c r="X27" t="str">
        <x:v>Keen Sight</x:v>
      </x:c>
      <x:c r="Y27" t="str">
        <x:v>Evasive Read</x:v>
      </x:c>
      <x:c r="Z27" t="str">
        <x:v>Evasive Read</x:v>
      </x:c>
      <x:c r="AA27" t="n">
        <x:v>3</x:v>
      </x:c>
      <x:c r="AB27" t="n">
        <x:v>3</x:v>
      </x:c>
      <x:c r="AC27" t="str">
        <x:v>Gain 4 Fortified Armour (add 4 to current Armour and temporary Maximum Armour), 4 Ward Magic Armour (add 4 to current Magic Armour and temporary Maximum Magic Armour), and Minor Agility Up for 1 turn.</x:v>
      </x:c>
    </x:row>
    <x:row r="28">
      <x:c r="A28" t="str">
        <x:v>HLM-024</x:v>
      </x:c>
      <x:c r="B28" t="str">
        <x:v>Mythic Shadowplume Hood</x:v>
      </x:c>
      <x:c r="C28" t="str">
        <x:v>Orange</x:v>
      </x:c>
      <x:c r="D28" t="str">
        <x:v>Shadowplume</x:v>
      </x:c>
      <x:c r="E28" t="str">
        <x:v>Helmet</x:v>
      </x:c>
      <x:c r="F28" t="str">
        <x:v>Light</x:v>
      </x:c>
      <x:c r="G28" t="str">
        <x:v>Rogue, Dexterity Bard, bow user</x:v>
      </x:c>
      <x:c r="H28" t="n">
        <x:v>4</x:v>
      </x:c>
      <x:c r="I28" t="n">
        <x:v>5</x:v>
      </x:c>
      <x:c r="J28" t="n">
        <x:v>0</x:v>
      </x:c>
      <x:c r="K28" t="n">
        <x:v>0</x:v>
      </x:c>
      <x:c r="L28" t="n">
        <x:v>5</x:v>
      </x:c>
      <x:c r="M28" t="n">
        <x:v>0</x:v>
      </x:c>
      <x:c r="N28" t="n">
        <x:v>0</x:v>
      </x:c>
      <x:c r="O28" t="n">
        <x:v>2</x:v>
      </x:c>
      <x:c r="P28" t="n">
        <x:v>2</x:v>
      </x:c>
      <x:c r="Q28" t="n">
        <x:v>0</x:v>
      </x:c>
      <x:c r="R28" t="str">
        <x:v>While both protection pools remain above zero, gain +5 Agility.</x:v>
      </x:c>
      <x:c r="S28" t="str">
        <x:v>First successful Dodge each combat restores 2 to the lower protection pool.</x:v>
      </x:c>
      <x:c r="T28" t="str">
        <x:v>Ember; Frost; Storm; Venom; Blood; Lunar; Solar</x:v>
      </x:c>
      <x:c r="U28" t="str">
        <x:v>Light finesse and mobility equipment.</x:v>
      </x:c>
      <x:c r="V28" t="str">
        <x:v>Matching protection blocks its ailments. Restoration: 1-turn cooldown and no overflow. Fortify/Ward: heal and overflow with 2-turn cooldown. Dual Bastion/Aegis: 3-turn cooldown.</x:v>
      </x:c>
      <x:c r="W28" t="str">
        <x:v>Active</x:v>
      </x:c>
      <x:c r="X28" t="str">
        <x:v>Keen Sight</x:v>
      </x:c>
      <x:c r="Y28" t="str">
        <x:v>Evasive Read</x:v>
      </x:c>
      <x:c r="Z28" t="str">
        <x:v>Evasive Read</x:v>
      </x:c>
      <x:c r="AA28" t="n">
        <x:v>3</x:v>
      </x:c>
      <x:c r="AB28" t="n">
        <x:v>3</x:v>
      </x:c>
      <x:c r="AC28" t="str">
        <x:v>Gain 4 Fortified Armour (add 4 to current Armour and temporary Maximum Armour), 4 Ward Magic Armour (add 4 to current Magic Armour and temporary Maximum Magic Armour), and Minor Agility Up for 1 turn.</x:v>
      </x:c>
    </x:row>
    <x:row r="29">
      <x:c r="A29" t="str">
        <x:v>HLM-025</x:v>
      </x:c>
      <x:c r="B29" t="str">
        <x:v>Bonecrest Mask</x:v>
      </x:c>
      <x:c r="C29" t="str">
        <x:v>Grey</x:v>
      </x:c>
      <x:c r="D29" t="str">
        <x:v>Bonecrest Warplate</x:v>
      </x:c>
      <x:c r="E29" t="str">
        <x:v>Helmet</x:v>
      </x:c>
      <x:c r="F29" t="str">
        <x:v>Medium</x:v>
      </x:c>
      <x:c r="G29" t="str">
        <x:v>Brute, offensive Knight, Might Inquisitor</x:v>
      </x:c>
      <x:c r="H29" t="n">
        <x:v>2</x:v>
      </x:c>
      <x:c r="I29" t="n">
        <x:v>0</x:v>
      </x:c>
      <x:c r="J29" t="n">
        <x:v>0</x:v>
      </x:c>
      <x:c r="K29" t="n">
        <x:v>1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str">
        <x:v>While Armour remains, gain +2 Might.</x:v>
      </x:c>
      <x:c r="S29" t="str">
        <x:v>First physical attack that breaks enemy Armour each combat gains +10 Skill Power.</x:v>
      </x:c>
      <x:c r="T29" t="str">
        <x:v>Ember; Frost; Storm; Venom; Blood; Lunar; Solar</x:v>
      </x:c>
      <x:c r="U29" t="str">
        <x:v>Aggressive physical armour and Armour-break synergy.</x:v>
      </x:c>
      <x:c r="V29" t="str">
        <x:v>Matching protection blocks its ailments. Restoration: 1-turn cooldown and no overflow. Fortify/Ward: heal and overflow with 2-turn cooldown. Dual Bastion/Aegis: 3-turn cooldown.</x:v>
      </x:c>
      <x:c r="W29" t="str">
        <x:v>Active</x:v>
      </x:c>
      <x:c r="X29" t="str">
        <x:v>Predator’s Gaze</x:v>
      </x:c>
      <x:c r="Y29" t="str">
        <x:v>Breaker’s Focus</x:v>
      </x:c>
      <x:c r="Z29" t="str">
        <x:v>None</x:v>
      </x:c>
      <x:c r="AA29" t="n">
        <x:v>0</x:v>
      </x:c>
      <x:c r="AB29" t="n">
        <x:v>0</x:v>
      </x:c>
      <x:c r="AC29" t="str">
        <x:v>No granted equipment skill at Grey rarity.</x:v>
      </x:c>
    </x:row>
    <x:row r="30">
      <x:c r="A30" t="str">
        <x:v>HLM-026</x:v>
      </x:c>
      <x:c r="B30" t="str">
        <x:v>Sturdy Bonecrest Mask</x:v>
      </x:c>
      <x:c r="C30" t="str">
        <x:v>Green</x:v>
      </x:c>
      <x:c r="D30" t="str">
        <x:v>Bonecrest Warplate</x:v>
      </x:c>
      <x:c r="E30" t="str">
        <x:v>Helmet</x:v>
      </x:c>
      <x:c r="F30" t="str">
        <x:v>Medium</x:v>
      </x:c>
      <x:c r="G30" t="str">
        <x:v>Brute, offensive Knight, Might Inquisitor</x:v>
      </x:c>
      <x:c r="H30" t="n">
        <x:v>3</x:v>
      </x:c>
      <x:c r="I30" t="n">
        <x:v>0</x:v>
      </x:c>
      <x:c r="J30" t="n">
        <x:v>0</x:v>
      </x:c>
      <x:c r="K30" t="n">
        <x:v>1</x:v>
      </x:c>
      <x:c r="L30" t="n">
        <x:v>0</x:v>
      </x:c>
      <x:c r="M30" t="n">
        <x:v>1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str">
        <x:v>While Armour remains, gain +2 Might.</x:v>
      </x:c>
      <x:c r="S30" t="str">
        <x:v>First physical attack that breaks enemy Armour each combat gains +10 Skill Power.</x:v>
      </x:c>
      <x:c r="T30" t="str">
        <x:v>Ember; Frost; Storm; Venom; Blood; Lunar; Solar</x:v>
      </x:c>
      <x:c r="U30" t="str">
        <x:v>Aggressive physical armour and Armour-break synergy.</x:v>
      </x:c>
      <x:c r="V30" t="str">
        <x:v>Matching protection blocks its ailments. Restoration: 1-turn cooldown and no overflow. Fortify/Ward: heal and overflow with 2-turn cooldown. Dual Bastion/Aegis: 3-turn cooldown.</x:v>
      </x:c>
      <x:c r="W30" t="str">
        <x:v>Active</x:v>
      </x:c>
      <x:c r="X30" t="str">
        <x:v>Predator’s Gaze</x:v>
      </x:c>
      <x:c r="Y30" t="str">
        <x:v>Breaker’s Focus</x:v>
      </x:c>
      <x:c r="Z30" t="str">
        <x:v>Predator’s Gaze</x:v>
      </x:c>
      <x:c r="AA30" t="n">
        <x:v>2</x:v>
      </x:c>
      <x:c r="AB30" t="n">
        <x:v>0</x:v>
      </x:c>
      <x:c r="AC30" t="str">
        <x:v>Gain Minor Might Up for 2 turns.</x:v>
      </x:c>
    </x:row>
    <x:row r="31">
      <x:c r="A31" t="str">
        <x:v>HLM-027</x:v>
      </x:c>
      <x:c r="B31" t="str">
        <x:v>Tempered Bonecrest Mask</x:v>
      </x:c>
      <x:c r="C31" t="str">
        <x:v>Blue</x:v>
      </x:c>
      <x:c r="D31" t="str">
        <x:v>Bonecrest Warplate</x:v>
      </x:c>
      <x:c r="E31" t="str">
        <x:v>Helmet</x:v>
      </x:c>
      <x:c r="F31" t="str">
        <x:v>Medium</x:v>
      </x:c>
      <x:c r="G31" t="str">
        <x:v>Brute, offensive Knight, Might Inquisitor</x:v>
      </x:c>
      <x:c r="H31" t="n">
        <x:v>3</x:v>
      </x:c>
      <x:c r="I31" t="n">
        <x:v>1</x:v>
      </x:c>
      <x:c r="J31" t="n">
        <x:v>0</x:v>
      </x:c>
      <x:c r="K31" t="n">
        <x:v>2</x:v>
      </x:c>
      <x:c r="L31" t="n">
        <x:v>0</x:v>
      </x:c>
      <x:c r="M31" t="n">
        <x:v>1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str">
        <x:v>While Armour remains, gain +3 Might.</x:v>
      </x:c>
      <x:c r="S31" t="str">
        <x:v>First physical attack that breaks enemy Armour each combat gains +10 Skill Power.</x:v>
      </x:c>
      <x:c r="T31" t="str">
        <x:v>Ember; Frost; Storm; Venom; Blood; Lunar; Solar</x:v>
      </x:c>
      <x:c r="U31" t="str">
        <x:v>Aggressive physical armour and Armour-break synergy.</x:v>
      </x:c>
      <x:c r="V31" t="str">
        <x:v>Matching protection blocks its ailments. Restoration: 1-turn cooldown and no overflow. Fortify/Ward: heal and overflow with 2-turn cooldown. Dual Bastion/Aegis: 3-turn cooldown.</x:v>
      </x:c>
      <x:c r="W31" t="str">
        <x:v>Active</x:v>
      </x:c>
      <x:c r="X31" t="str">
        <x:v>Predator’s Gaze</x:v>
      </x:c>
      <x:c r="Y31" t="str">
        <x:v>Breaker’s Focus</x:v>
      </x:c>
      <x:c r="Z31" t="str">
        <x:v>Predator’s Gaze</x:v>
      </x:c>
      <x:c r="AA31" t="n">
        <x:v>2</x:v>
      </x:c>
      <x:c r="AB31" t="n">
        <x:v>0</x:v>
      </x:c>
      <x:c r="AC31" t="str">
        <x:v>Gain Minor Might Up for 2 turns.</x:v>
      </x:c>
    </x:row>
    <x:row r="32">
      <x:c r="A32" t="str">
        <x:v>HLM-028</x:v>
      </x:c>
      <x:c r="B32" t="str">
        <x:v>Masterwork Bonecrest Mask</x:v>
      </x:c>
      <x:c r="C32" t="str">
        <x:v>Purple</x:v>
      </x:c>
      <x:c r="D32" t="str">
        <x:v>Bonecrest Warplate</x:v>
      </x:c>
      <x:c r="E32" t="str">
        <x:v>Helmet</x:v>
      </x:c>
      <x:c r="F32" t="str">
        <x:v>Medium</x:v>
      </x:c>
      <x:c r="G32" t="str">
        <x:v>Brute, offensive Knight, Might Inquisitor</x:v>
      </x:c>
      <x:c r="H32" t="n">
        <x:v>5</x:v>
      </x:c>
      <x:c r="I32" t="n">
        <x:v>1</x:v>
      </x:c>
      <x:c r="J32" t="n">
        <x:v>1</x:v>
      </x:c>
      <x:c r="K32" t="n">
        <x:v>3</x:v>
      </x:c>
      <x:c r="L32" t="n">
        <x:v>0</x:v>
      </x:c>
      <x:c r="M32" t="n">
        <x:v>1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str">
        <x:v>While Armour remains, gain +3 Might.</x:v>
      </x:c>
      <x:c r="S32" t="str">
        <x:v>First physical attack that breaks enemy Armour each combat gains +15 Skill Power.</x:v>
      </x:c>
      <x:c r="T32" t="str">
        <x:v>Ember; Frost; Storm; Venom; Blood; Lunar; Solar</x:v>
      </x:c>
      <x:c r="U32" t="str">
        <x:v>Aggressive physical armour and Armour-break synergy.</x:v>
      </x:c>
      <x:c r="V32" t="str">
        <x:v>Matching protection blocks its ailments. Restoration: 1-turn cooldown and no overflow. Fortify/Ward: heal and overflow with 2-turn cooldown. Dual Bastion/Aegis: 3-turn cooldown.</x:v>
      </x:c>
      <x:c r="W32" t="str">
        <x:v>Active</x:v>
      </x:c>
      <x:c r="X32" t="str">
        <x:v>Predator’s Gaze</x:v>
      </x:c>
      <x:c r="Y32" t="str">
        <x:v>Breaker’s Focus</x:v>
      </x:c>
      <x:c r="Z32" t="str">
        <x:v>Breaker’s Focus</x:v>
      </x:c>
      <x:c r="AA32" t="n">
        <x:v>3</x:v>
      </x:c>
      <x:c r="AB32" t="n">
        <x:v>1</x:v>
      </x:c>
      <x:c r="AC32" t="str">
        <x:v>The next Strength skill before the end of the next turn gains +15 Skill Power and ignores 4 Guard.</x:v>
      </x:c>
    </x:row>
    <x:row r="33">
      <x:c r="A33" t="str">
        <x:v>HLM-029</x:v>
      </x:c>
      <x:c r="B33" t="str">
        <x:v>Regal Bonecrest Mask</x:v>
      </x:c>
      <x:c r="C33" t="str">
        <x:v>Gold</x:v>
      </x:c>
      <x:c r="D33" t="str">
        <x:v>Bonecrest Warplate</x:v>
      </x:c>
      <x:c r="E33" t="str">
        <x:v>Helmet</x:v>
      </x:c>
      <x:c r="F33" t="str">
        <x:v>Medium</x:v>
      </x:c>
      <x:c r="G33" t="str">
        <x:v>Brute, offensive Knight, Might Inquisitor</x:v>
      </x:c>
      <x:c r="H33" t="n">
        <x:v>6</x:v>
      </x:c>
      <x:c r="I33" t="n">
        <x:v>2</x:v>
      </x:c>
      <x:c r="J33" t="n">
        <x:v>1</x:v>
      </x:c>
      <x:c r="K33" t="n">
        <x:v>4</x:v>
      </x:c>
      <x:c r="L33" t="n">
        <x:v>0</x:v>
      </x:c>
      <x:c r="M33" t="n">
        <x:v>2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str">
        <x:v>While Armour remains, gain +4 Might.</x:v>
      </x:c>
      <x:c r="S33" t="str">
        <x:v>First physical attack that breaks enemy Armour each combat gains +20 Skill Power.</x:v>
      </x:c>
      <x:c r="T33" t="str">
        <x:v>Ember; Frost; Storm; Venom; Blood; Lunar; Solar</x:v>
      </x:c>
      <x:c r="U33" t="str">
        <x:v>Aggressive physical armour and Armour-break synergy.</x:v>
      </x:c>
      <x:c r="V33" t="str">
        <x:v>Matching protection blocks its ailments. Restoration: 1-turn cooldown and no overflow. Fortify/Ward: heal and overflow with 2-turn cooldown. Dual Bastion/Aegis: 3-turn cooldown.</x:v>
      </x:c>
      <x:c r="W33" t="str">
        <x:v>Active</x:v>
      </x:c>
      <x:c r="X33" t="str">
        <x:v>Predator’s Gaze</x:v>
      </x:c>
      <x:c r="Y33" t="str">
        <x:v>Breaker’s Focus</x:v>
      </x:c>
      <x:c r="Z33" t="str">
        <x:v>Breaker’s Focus</x:v>
      </x:c>
      <x:c r="AA33" t="n">
        <x:v>3</x:v>
      </x:c>
      <x:c r="AB33" t="n">
        <x:v>1</x:v>
      </x:c>
      <x:c r="AC33" t="str">
        <x:v>The next Strength skill before the end of the next turn gains +15 Skill Power and ignores 4 Guard.</x:v>
      </x:c>
    </x:row>
    <x:row r="34">
      <x:c r="A34" t="str">
        <x:v>HLM-030</x:v>
      </x:c>
      <x:c r="B34" t="str">
        <x:v>Mythic Bonecrest Mask</x:v>
      </x:c>
      <x:c r="C34" t="str">
        <x:v>Orange</x:v>
      </x:c>
      <x:c r="D34" t="str">
        <x:v>Bonecrest Warplate</x:v>
      </x:c>
      <x:c r="E34" t="str">
        <x:v>Helmet</x:v>
      </x:c>
      <x:c r="F34" t="str">
        <x:v>Medium</x:v>
      </x:c>
      <x:c r="G34" t="str">
        <x:v>Brute, offensive Knight, Might Inquisitor</x:v>
      </x:c>
      <x:c r="H34" t="n">
        <x:v>8</x:v>
      </x:c>
      <x:c r="I34" t="n">
        <x:v>3</x:v>
      </x:c>
      <x:c r="J34" t="n">
        <x:v>2</x:v>
      </x:c>
      <x:c r="K34" t="n">
        <x:v>5</x:v>
      </x:c>
      <x:c r="L34" t="n">
        <x:v>0</x:v>
      </x:c>
      <x:c r="M34" t="n">
        <x:v>2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str">
        <x:v>While Armour remains, gain +5 Might.</x:v>
      </x:c>
      <x:c r="S34" t="str">
        <x:v>First physical attack that breaks enemy Armour each combat gains +20 Skill Power.</x:v>
      </x:c>
      <x:c r="T34" t="str">
        <x:v>Ember; Frost; Storm; Venom; Blood; Lunar; Solar</x:v>
      </x:c>
      <x:c r="U34" t="str">
        <x:v>Aggressive physical armour and Armour-break synergy.</x:v>
      </x:c>
      <x:c r="V34" t="str">
        <x:v>Matching protection blocks its ailments. Restoration: 1-turn cooldown and no overflow. Fortify/Ward: heal and overflow with 2-turn cooldown. Dual Bastion/Aegis: 3-turn cooldown.</x:v>
      </x:c>
      <x:c r="W34" t="str">
        <x:v>Active</x:v>
      </x:c>
      <x:c r="X34" t="str">
        <x:v>Predator’s Gaze</x:v>
      </x:c>
      <x:c r="Y34" t="str">
        <x:v>Breaker’s Focus</x:v>
      </x:c>
      <x:c r="Z34" t="str">
        <x:v>Breaker’s Focus</x:v>
      </x:c>
      <x:c r="AA34" t="n">
        <x:v>3</x:v>
      </x:c>
      <x:c r="AB34" t="n">
        <x:v>1</x:v>
      </x:c>
      <x:c r="AC34" t="str">
        <x:v>The next Strength skill before the end of the next turn gains +15 Skill Power and ignores 4 Guard.</x:v>
      </x:c>
    </x:row>
    <x:row r="35">
      <x:c r="A35" t="str">
        <x:v>HLM-031</x:v>
      </x:c>
      <x:c r="B35" t="str">
        <x:v>Crystalwind Circlet</x:v>
      </x:c>
      <x:c r="C35" t="str">
        <x:v>Grey</x:v>
      </x:c>
      <x:c r="D35" t="str">
        <x:v>Crystalwind Regalia</x:v>
      </x:c>
      <x:c r="E35" t="str">
        <x:v>Helmet</x:v>
      </x:c>
      <x:c r="F35" t="str">
        <x:v>Light</x:v>
      </x:c>
      <x:c r="G35" t="str">
        <x:v>Fast Mage, Siren, magical Bard</x:v>
      </x:c>
      <x:c r="H35" t="n">
        <x:v>0</x:v>
      </x:c>
      <x:c r="I35" t="n">
        <x:v>2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1</x:v>
      </x:c>
      <x:c r="O35" t="n">
        <x:v>0</x:v>
      </x:c>
      <x:c r="P35" t="n">
        <x:v>0</x:v>
      </x:c>
      <x:c r="Q35" t="n">
        <x:v>0</x:v>
      </x:c>
      <x:c r="R35" t="str">
        <x:v>While Magic Armour remains, gain +2 Agility.</x:v>
      </x:c>
      <x:c r="S35" t="str">
        <x:v>First magical attack that breaks enemy Magic Armour grants Minor Focus Up until the end of the next turn.</x:v>
      </x:c>
      <x:c r="T35" t="str">
        <x:v>Ember; Frost; Storm; Venom; Blood; Lunar; Solar</x:v>
      </x:c>
      <x:c r="U35" t="str">
        <x:v>Light magical equipment combining Focus and Agility.</x:v>
      </x:c>
      <x:c r="V35" t="str">
        <x:v>Matching protection blocks its ailments. Restoration: 1-turn cooldown and no overflow. Fortify/Ward: heal and overflow with 2-turn cooldown. Dual Bastion/Aegis: 3-turn cooldown.</x:v>
      </x:c>
      <x:c r="W35" t="str">
        <x:v>Active</x:v>
      </x:c>
      <x:c r="X35" t="str">
        <x:v>Storm Sight</x:v>
      </x:c>
      <x:c r="Y35" t="str">
        <x:v>Arcane Wind</x:v>
      </x:c>
      <x:c r="Z35" t="str">
        <x:v>None</x:v>
      </x:c>
      <x:c r="AA35" t="n">
        <x:v>0</x:v>
      </x:c>
      <x:c r="AB35" t="n">
        <x:v>0</x:v>
      </x:c>
      <x:c r="AC35" t="str">
        <x:v>No granted equipment skill at Grey rarity.</x:v>
      </x:c>
    </x:row>
    <x:row r="36">
      <x:c r="A36" t="str">
        <x:v>HLM-032</x:v>
      </x:c>
      <x:c r="B36" t="str">
        <x:v>Sturdy Crystalwind Circlet</x:v>
      </x:c>
      <x:c r="C36" t="str">
        <x:v>Green</x:v>
      </x:c>
      <x:c r="D36" t="str">
        <x:v>Crystalwind Regalia</x:v>
      </x:c>
      <x:c r="E36" t="str">
        <x:v>Helmet</x:v>
      </x:c>
      <x:c r="F36" t="str">
        <x:v>Light</x:v>
      </x:c>
      <x:c r="G36" t="str">
        <x:v>Fast Mage, Siren, magical Bard</x:v>
      </x:c>
      <x:c r="H36" t="n">
        <x:v>0</x:v>
      </x:c>
      <x:c r="I36" t="n">
        <x:v>2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1</x:v>
      </x:c>
      <x:c r="O36" t="n">
        <x:v>0</x:v>
      </x:c>
      <x:c r="P36" t="n">
        <x:v>1</x:v>
      </x:c>
      <x:c r="Q36" t="n">
        <x:v>0</x:v>
      </x:c>
      <x:c r="R36" t="str">
        <x:v>While Magic Armour remains, gain +2 Agility.</x:v>
      </x:c>
      <x:c r="S36" t="str">
        <x:v>First magical attack that breaks enemy Magic Armour grants Minor Focus Up until the end of the next turn.</x:v>
      </x:c>
      <x:c r="T36" t="str">
        <x:v>Ember; Frost; Storm; Venom; Blood; Lunar; Solar</x:v>
      </x:c>
      <x:c r="U36" t="str">
        <x:v>Light magical equipment combining Focus and Agility.</x:v>
      </x:c>
      <x:c r="V36" t="str">
        <x:v>Matching protection blocks its ailments. Restoration: 1-turn cooldown and no overflow. Fortify/Ward: heal and overflow with 2-turn cooldown. Dual Bastion/Aegis: 3-turn cooldown.</x:v>
      </x:c>
      <x:c r="W36" t="str">
        <x:v>Active</x:v>
      </x:c>
      <x:c r="X36" t="str">
        <x:v>Storm Sight</x:v>
      </x:c>
      <x:c r="Y36" t="str">
        <x:v>Arcane Wind</x:v>
      </x:c>
      <x:c r="Z36" t="str">
        <x:v>Storm Sight</x:v>
      </x:c>
      <x:c r="AA36" t="n">
        <x:v>2</x:v>
      </x:c>
      <x:c r="AB36" t="n">
        <x:v>0</x:v>
      </x:c>
      <x:c r="AC36" t="str">
        <x:v>Gain Minor Focus Up for 2 turns.</x:v>
      </x:c>
    </x:row>
    <x:row r="37">
      <x:c r="A37" t="str">
        <x:v>HLM-033</x:v>
      </x:c>
      <x:c r="B37" t="str">
        <x:v>Tempered Crystalwind Circlet</x:v>
      </x:c>
      <x:c r="C37" t="str">
        <x:v>Blue</x:v>
      </x:c>
      <x:c r="D37" t="str">
        <x:v>Crystalwind Regalia</x:v>
      </x:c>
      <x:c r="E37" t="str">
        <x:v>Helmet</x:v>
      </x:c>
      <x:c r="F37" t="str">
        <x:v>Light</x:v>
      </x:c>
      <x:c r="G37" t="str">
        <x:v>Fast Mage, Siren, magical Bard</x:v>
      </x:c>
      <x:c r="H37" t="n">
        <x:v>0</x:v>
      </x:c>
      <x:c r="I37" t="n">
        <x:v>3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2</x:v>
      </x:c>
      <x:c r="O37" t="n">
        <x:v>0</x:v>
      </x:c>
      <x:c r="P37" t="n">
        <x:v>1</x:v>
      </x:c>
      <x:c r="Q37" t="n">
        <x:v>0</x:v>
      </x:c>
      <x:c r="R37" t="str">
        <x:v>While Magic Armour remains, gain +3 Agility.</x:v>
      </x:c>
      <x:c r="S37" t="str">
        <x:v>First magical attack that breaks enemy Magic Armour grants Minor Focus Up until the end of the next turn.</x:v>
      </x:c>
      <x:c r="T37" t="str">
        <x:v>Ember; Frost; Storm; Venom; Blood; Lunar; Solar</x:v>
      </x:c>
      <x:c r="U37" t="str">
        <x:v>Light magical equipment combining Focus and Agility.</x:v>
      </x:c>
      <x:c r="V37" t="str">
        <x:v>Matching protection blocks its ailments. Restoration: 1-turn cooldown and no overflow. Fortify/Ward: heal and overflow with 2-turn cooldown. Dual Bastion/Aegis: 3-turn cooldown.</x:v>
      </x:c>
      <x:c r="W37" t="str">
        <x:v>Active</x:v>
      </x:c>
      <x:c r="X37" t="str">
        <x:v>Storm Sight</x:v>
      </x:c>
      <x:c r="Y37" t="str">
        <x:v>Arcane Wind</x:v>
      </x:c>
      <x:c r="Z37" t="str">
        <x:v>Storm Sight</x:v>
      </x:c>
      <x:c r="AA37" t="n">
        <x:v>2</x:v>
      </x:c>
      <x:c r="AB37" t="n">
        <x:v>0</x:v>
      </x:c>
      <x:c r="AC37" t="str">
        <x:v>Gain Minor Focus Up for 2 turns.</x:v>
      </x:c>
    </x:row>
    <x:row r="38">
      <x:c r="A38" t="str">
        <x:v>HLM-034</x:v>
      </x:c>
      <x:c r="B38" t="str">
        <x:v>Masterwork Crystalwind Circlet</x:v>
      </x:c>
      <x:c r="C38" t="str">
        <x:v>Purple</x:v>
      </x:c>
      <x:c r="D38" t="str">
        <x:v>Crystalwind Regalia</x:v>
      </x:c>
      <x:c r="E38" t="str">
        <x:v>Helmet</x:v>
      </x:c>
      <x:c r="F38" t="str">
        <x:v>Light</x:v>
      </x:c>
      <x:c r="G38" t="str">
        <x:v>Fast Mage, Siren, magical Bard</x:v>
      </x:c>
      <x:c r="H38" t="n">
        <x:v>1</x:v>
      </x:c>
      <x:c r="I38" t="n">
        <x:v>4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3</x:v>
      </x:c>
      <x:c r="O38" t="n">
        <x:v>1</x:v>
      </x:c>
      <x:c r="P38" t="n">
        <x:v>1</x:v>
      </x:c>
      <x:c r="Q38" t="n">
        <x:v>0</x:v>
      </x:c>
      <x:c r="R38" t="str">
        <x:v>While Magic Armour remains, gain +3 Agility.</x:v>
      </x:c>
      <x:c r="S38" t="str">
        <x:v>First magical attack that breaks enemy Magic Armour grants Minor Focus Up until the end of the next turn.</x:v>
      </x:c>
      <x:c r="T38" t="str">
        <x:v>Ember; Frost; Storm; Venom; Blood; Lunar; Solar</x:v>
      </x:c>
      <x:c r="U38" t="str">
        <x:v>Light magical equipment combining Focus and Agility.</x:v>
      </x:c>
      <x:c r="V38" t="str">
        <x:v>Matching protection blocks its ailments. Restoration: 1-turn cooldown and no overflow. Fortify/Ward: heal and overflow with 2-turn cooldown. Dual Bastion/Aegis: 3-turn cooldown.</x:v>
      </x:c>
      <x:c r="W38" t="str">
        <x:v>Active</x:v>
      </x:c>
      <x:c r="X38" t="str">
        <x:v>Storm Sight</x:v>
      </x:c>
      <x:c r="Y38" t="str">
        <x:v>Arcane Wind</x:v>
      </x:c>
      <x:c r="Z38" t="str">
        <x:v>Arcane Wind</x:v>
      </x:c>
      <x:c r="AA38" t="n">
        <x:v>3</x:v>
      </x:c>
      <x:c r="AB38" t="n">
        <x:v>2</x:v>
      </x:c>
      <x:c r="AC38" t="str">
        <x:v>Gain 5 Ward Magic Armour (add 5 to current Magic Armour and temporary Maximum Magic Armour) and Minor Focus Up for 2 turns.</x:v>
      </x:c>
    </x:row>
    <x:row r="39">
      <x:c r="A39" t="str">
        <x:v>HLM-035</x:v>
      </x:c>
      <x:c r="B39" t="str">
        <x:v>Regal Crystalwind Circlet</x:v>
      </x:c>
      <x:c r="C39" t="str">
        <x:v>Gold</x:v>
      </x:c>
      <x:c r="D39" t="str">
        <x:v>Crystalwind Regalia</x:v>
      </x:c>
      <x:c r="E39" t="str">
        <x:v>Helmet</x:v>
      </x:c>
      <x:c r="F39" t="str">
        <x:v>Light</x:v>
      </x:c>
      <x:c r="G39" t="str">
        <x:v>Fast Mage, Siren, magical Bard</x:v>
      </x:c>
      <x:c r="H39" t="n">
        <x:v>1</x:v>
      </x:c>
      <x:c r="I39" t="n">
        <x:v>5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4</x:v>
      </x:c>
      <x:c r="O39" t="n">
        <x:v>1</x:v>
      </x:c>
      <x:c r="P39" t="n">
        <x:v>2</x:v>
      </x:c>
      <x:c r="Q39" t="n">
        <x:v>0</x:v>
      </x:c>
      <x:c r="R39" t="str">
        <x:v>While Magic Armour remains, gain +4 Agility.</x:v>
      </x:c>
      <x:c r="S39" t="str">
        <x:v>First magical attack that breaks enemy Magic Armour grants Minor Focus Up until the end of the next turn.</x:v>
      </x:c>
      <x:c r="T39" t="str">
        <x:v>Ember; Frost; Storm; Venom; Blood; Lunar; Solar</x:v>
      </x:c>
      <x:c r="U39" t="str">
        <x:v>Light magical equipment combining Focus and Agility.</x:v>
      </x:c>
      <x:c r="V39" t="str">
        <x:v>Matching protection blocks its ailments. Restoration: 1-turn cooldown and no overflow. Fortify/Ward: heal and overflow with 2-turn cooldown. Dual Bastion/Aegis: 3-turn cooldown.</x:v>
      </x:c>
      <x:c r="W39" t="str">
        <x:v>Active</x:v>
      </x:c>
      <x:c r="X39" t="str">
        <x:v>Storm Sight</x:v>
      </x:c>
      <x:c r="Y39" t="str">
        <x:v>Arcane Wind</x:v>
      </x:c>
      <x:c r="Z39" t="str">
        <x:v>Arcane Wind</x:v>
      </x:c>
      <x:c r="AA39" t="n">
        <x:v>3</x:v>
      </x:c>
      <x:c r="AB39" t="n">
        <x:v>2</x:v>
      </x:c>
      <x:c r="AC39" t="str">
        <x:v>Gain 5 Ward Magic Armour (add 5 to current Magic Armour and temporary Maximum Magic Armour) and Minor Focus Up for 2 turns.</x:v>
      </x:c>
    </x:row>
    <x:row r="40">
      <x:c r="A40" t="str">
        <x:v>HLM-036</x:v>
      </x:c>
      <x:c r="B40" t="str">
        <x:v>Mythic Crystalwind Circlet</x:v>
      </x:c>
      <x:c r="C40" t="str">
        <x:v>Orange</x:v>
      </x:c>
      <x:c r="D40" t="str">
        <x:v>Crystalwind Regalia</x:v>
      </x:c>
      <x:c r="E40" t="str">
        <x:v>Helmet</x:v>
      </x:c>
      <x:c r="F40" t="str">
        <x:v>Light</x:v>
      </x:c>
      <x:c r="G40" t="str">
        <x:v>Fast Mage, Siren, magical Bard</x:v>
      </x:c>
      <x:c r="H40" t="n">
        <x:v>2</x:v>
      </x:c>
      <x:c r="I40" t="n">
        <x:v>7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5</x:v>
      </x:c>
      <x:c r="O40" t="n">
        <x:v>2</x:v>
      </x:c>
      <x:c r="P40" t="n">
        <x:v>2</x:v>
      </x:c>
      <x:c r="Q40" t="n">
        <x:v>0</x:v>
      </x:c>
      <x:c r="R40" t="str">
        <x:v>While Magic Armour remains, gain +5 Agility.</x:v>
      </x:c>
      <x:c r="S40" t="str">
        <x:v>First magical attack that breaks enemy Magic Armour grants Minor Focus Up until the end of the next turn.</x:v>
      </x:c>
      <x:c r="T40" t="str">
        <x:v>Ember; Frost; Storm; Venom; Blood; Lunar; Solar</x:v>
      </x:c>
      <x:c r="U40" t="str">
        <x:v>Light magical equipment combining Focus and Agility.</x:v>
      </x:c>
      <x:c r="V40" t="str">
        <x:v>Matching protection blocks its ailments. Restoration: 1-turn cooldown and no overflow. Fortify/Ward: heal and overflow with 2-turn cooldown. Dual Bastion/Aegis: 3-turn cooldown.</x:v>
      </x:c>
      <x:c r="W40" t="str">
        <x:v>Active</x:v>
      </x:c>
      <x:c r="X40" t="str">
        <x:v>Storm Sight</x:v>
      </x:c>
      <x:c r="Y40" t="str">
        <x:v>Arcane Wind</x:v>
      </x:c>
      <x:c r="Z40" t="str">
        <x:v>Arcane Wind</x:v>
      </x:c>
      <x:c r="AA40" t="n">
        <x:v>3</x:v>
      </x:c>
      <x:c r="AB40" t="n">
        <x:v>2</x:v>
      </x:c>
      <x:c r="AC40" t="str">
        <x:v>Gain 5 Ward Magic Armour (add 5 to current Magic Armour and temporary Maximum Magic Armour) and Minor Focus Up for 2 turns.</x:v>
      </x:c>
    </x:row>
    <x:row r="41">
      <x:c r="A41" t="str">
        <x:v>HLM-037</x:v>
      </x:c>
      <x:c r="B41" t="str">
        <x:v>Suncrest Circlet</x:v>
      </x:c>
      <x:c r="C41" t="str">
        <x:v>Grey</x:v>
      </x:c>
      <x:c r="D41" t="str">
        <x:v>Dawnfeather Vestments</x:v>
      </x:c>
      <x:c r="E41" t="str">
        <x:v>Helmet</x:v>
      </x:c>
      <x:c r="F41" t="str">
        <x:v>Medium</x:v>
      </x:c>
      <x:c r="G41" t="str">
        <x:v>Inquisitor, support Bard, defensive Mage</x:v>
      </x:c>
      <x:c r="H41" t="n">
        <x:v>1</x:v>
      </x:c>
      <x:c r="I41" t="n">
        <x:v>1</x:v>
      </x:c>
      <x:c r="J41" t="n">
        <x:v>1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str">
        <x:v>First time Health is healed each combat, restore 1 Armour and 1 Magic Armour.</x:v>
      </x:c>
      <x:c r="S41" t="str">
        <x:v>Once per combat below 30% Health, restore 1 to the lower protection pool.</x:v>
      </x:c>
      <x:c r="T41" t="str">
        <x:v>Ember; Frost; Storm; Venom; Blood; Lunar; Solar</x:v>
      </x:c>
      <x:c r="U41" t="str">
        <x:v>Restoration, survivability, and mixed defence.</x:v>
      </x:c>
      <x:c r="V41" t="str">
        <x:v>Matching protection blocks its ailments. Restoration: 1-turn cooldown and no overflow. Fortify/Ward: heal and overflow with 2-turn cooldown. Dual Bastion/Aegis: 3-turn cooldown.</x:v>
      </x:c>
      <x:c r="W41" t="str">
        <x:v>Active</x:v>
      </x:c>
      <x:c r="X41" t="str">
        <x:v>Renewing Light</x:v>
      </x:c>
      <x:c r="Y41" t="str">
        <x:v>Protective Prayer</x:v>
      </x:c>
      <x:c r="Z41" t="str">
        <x:v>None</x:v>
      </x:c>
      <x:c r="AA41" t="n">
        <x:v>0</x:v>
      </x:c>
      <x:c r="AB41" t="n">
        <x:v>0</x:v>
      </x:c>
      <x:c r="AC41" t="str">
        <x:v>No granted equipment skill at Grey rarity.</x:v>
      </x:c>
    </x:row>
    <x:row r="42">
      <x:c r="A42" t="str">
        <x:v>HLM-038</x:v>
      </x:c>
      <x:c r="B42" t="str">
        <x:v>Sturdy Suncrest Circlet</x:v>
      </x:c>
      <x:c r="C42" t="str">
        <x:v>Green</x:v>
      </x:c>
      <x:c r="D42" t="str">
        <x:v>Dawnfeather Vestments</x:v>
      </x:c>
      <x:c r="E42" t="str">
        <x:v>Helmet</x:v>
      </x:c>
      <x:c r="F42" t="str">
        <x:v>Medium</x:v>
      </x:c>
      <x:c r="G42" t="str">
        <x:v>Inquisitor, support Bard, defensive Mage</x:v>
      </x:c>
      <x:c r="H42" t="n">
        <x:v>1</x:v>
      </x:c>
      <x:c r="I42" t="n">
        <x:v>2</x:v>
      </x:c>
      <x:c r="J42" t="n">
        <x:v>1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1</x:v>
      </x:c>
      <x:c r="P42" t="n">
        <x:v>0</x:v>
      </x:c>
      <x:c r="Q42" t="n">
        <x:v>0</x:v>
      </x:c>
      <x:c r="R42" t="str">
        <x:v>First time Health is healed each combat, restore 1 Armour and 1 Magic Armour.</x:v>
      </x:c>
      <x:c r="S42" t="str">
        <x:v>Once per combat below 30% Health, restore 1 to the lower protection pool.</x:v>
      </x:c>
      <x:c r="T42" t="str">
        <x:v>Ember; Frost; Storm; Venom; Blood; Lunar; Solar</x:v>
      </x:c>
      <x:c r="U42" t="str">
        <x:v>Restoration, survivability, and mixed defence.</x:v>
      </x:c>
      <x:c r="V42" t="str">
        <x:v>Matching protection blocks its ailments. Restoration: 1-turn cooldown and no overflow. Fortify/Ward: heal and overflow with 2-turn cooldown. Dual Bastion/Aegis: 3-turn cooldown.</x:v>
      </x:c>
      <x:c r="W42" t="str">
        <x:v>Active</x:v>
      </x:c>
      <x:c r="X42" t="str">
        <x:v>Renewing Light</x:v>
      </x:c>
      <x:c r="Y42" t="str">
        <x:v>Protective Prayer</x:v>
      </x:c>
      <x:c r="Z42" t="str">
        <x:v>Renewing Light</x:v>
      </x:c>
      <x:c r="AA42" t="n">
        <x:v>2</x:v>
      </x:c>
      <x:c r="AB42" t="n">
        <x:v>1</x:v>
      </x:c>
      <x:c r="AC42" t="str">
        <x:v>Restore 4 to whichever protection pool is currently lower.</x:v>
      </x:c>
    </x:row>
    <x:row r="43">
      <x:c r="A43" t="str">
        <x:v>HLM-039</x:v>
      </x:c>
      <x:c r="B43" t="str">
        <x:v>Tempered Suncrest Circlet</x:v>
      </x:c>
      <x:c r="C43" t="str">
        <x:v>Blue</x:v>
      </x:c>
      <x:c r="D43" t="str">
        <x:v>Dawnfeather Vestments</x:v>
      </x:c>
      <x:c r="E43" t="str">
        <x:v>Helmet</x:v>
      </x:c>
      <x:c r="F43" t="str">
        <x:v>Medium</x:v>
      </x:c>
      <x:c r="G43" t="str">
        <x:v>Inquisitor, support Bard, defensive Mage</x:v>
      </x:c>
      <x:c r="H43" t="n">
        <x:v>2</x:v>
      </x:c>
      <x:c r="I43" t="n">
        <x:v>2</x:v>
      </x:c>
      <x:c r="J43" t="n">
        <x:v>2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1</x:v>
      </x:c>
      <x:c r="P43" t="n">
        <x:v>0</x:v>
      </x:c>
      <x:c r="Q43" t="n">
        <x:v>0</x:v>
      </x:c>
      <x:c r="R43" t="str">
        <x:v>First time Health is healed each combat, restore 2 Armour and 2 Magic Armour.</x:v>
      </x:c>
      <x:c r="S43" t="str">
        <x:v>Once per combat below 30% Health, restore 2 to the lower protection pool.</x:v>
      </x:c>
      <x:c r="T43" t="str">
        <x:v>Ember; Frost; Storm; Venom; Blood; Lunar; Solar</x:v>
      </x:c>
      <x:c r="U43" t="str">
        <x:v>Restoration, survivability, and mixed defence.</x:v>
      </x:c>
      <x:c r="V43" t="str">
        <x:v>Matching protection blocks its ailments. Restoration: 1-turn cooldown and no overflow. Fortify/Ward: heal and overflow with 2-turn cooldown. Dual Bastion/Aegis: 3-turn cooldown.</x:v>
      </x:c>
      <x:c r="W43" t="str">
        <x:v>Active</x:v>
      </x:c>
      <x:c r="X43" t="str">
        <x:v>Renewing Light</x:v>
      </x:c>
      <x:c r="Y43" t="str">
        <x:v>Protective Prayer</x:v>
      </x:c>
      <x:c r="Z43" t="str">
        <x:v>Renewing Light</x:v>
      </x:c>
      <x:c r="AA43" t="n">
        <x:v>2</x:v>
      </x:c>
      <x:c r="AB43" t="n">
        <x:v>1</x:v>
      </x:c>
      <x:c r="AC43" t="str">
        <x:v>Restore 4 to whichever protection pool is currently lower.</x:v>
      </x:c>
    </x:row>
    <x:row r="44">
      <x:c r="A44" t="str">
        <x:v>HLM-040</x:v>
      </x:c>
      <x:c r="B44" t="str">
        <x:v>Masterwork Suncrest Circlet</x:v>
      </x:c>
      <x:c r="C44" t="str">
        <x:v>Purple</x:v>
      </x:c>
      <x:c r="D44" t="str">
        <x:v>Dawnfeather Vestments</x:v>
      </x:c>
      <x:c r="E44" t="str">
        <x:v>Helmet</x:v>
      </x:c>
      <x:c r="F44" t="str">
        <x:v>Medium</x:v>
      </x:c>
      <x:c r="G44" t="str">
        <x:v>Inquisitor, support Bard, defensive Mage</x:v>
      </x:c>
      <x:c r="H44" t="n">
        <x:v>2</x:v>
      </x:c>
      <x:c r="I44" t="n">
        <x:v>4</x:v>
      </x:c>
      <x:c r="J44" t="n">
        <x:v>3</x:v>
      </x:c>
      <x:c r="K44" t="n">
        <x:v>0</x:v>
      </x:c>
      <x:c r="L44" t="n">
        <x:v>0</x:v>
      </x:c>
      <x:c r="M44" t="n">
        <x:v>1</x:v>
      </x:c>
      <x:c r="N44" t="n">
        <x:v>0</x:v>
      </x:c>
      <x:c r="O44" t="n">
        <x:v>1</x:v>
      </x:c>
      <x:c r="P44" t="n">
        <x:v>0</x:v>
      </x:c>
      <x:c r="Q44" t="n">
        <x:v>0</x:v>
      </x:c>
      <x:c r="R44" t="str">
        <x:v>First time Health is healed each combat, restore 2 Armour and 2 Magic Armour.</x:v>
      </x:c>
      <x:c r="S44" t="str">
        <x:v>Once per combat below 30% Health, restore 2 to the lower protection pool.</x:v>
      </x:c>
      <x:c r="T44" t="str">
        <x:v>Ember; Frost; Storm; Venom; Blood; Lunar; Solar</x:v>
      </x:c>
      <x:c r="U44" t="str">
        <x:v>Restoration, survivability, and mixed defence.</x:v>
      </x:c>
      <x:c r="V44" t="str">
        <x:v>Matching protection blocks its ailments. Restoration: 1-turn cooldown and no overflow. Fortify/Ward: heal and overflow with 2-turn cooldown. Dual Bastion/Aegis: 3-turn cooldown.</x:v>
      </x:c>
      <x:c r="W44" t="str">
        <x:v>Active</x:v>
      </x:c>
      <x:c r="X44" t="str">
        <x:v>Renewing Light</x:v>
      </x:c>
      <x:c r="Y44" t="str">
        <x:v>Protective Prayer</x:v>
      </x:c>
      <x:c r="Z44" t="str">
        <x:v>Protective Prayer</x:v>
      </x:c>
      <x:c r="AA44" t="n">
        <x:v>3</x:v>
      </x:c>
      <x:c r="AB44" t="n">
        <x:v>1</x:v>
      </x:c>
      <x:c r="AC44" t="str">
        <x:v>Gain Minor Guard Up and Minor Resolve Up for 2 turns.</x:v>
      </x:c>
    </x:row>
    <x:row r="45">
      <x:c r="A45" t="str">
        <x:v>HLM-041</x:v>
      </x:c>
      <x:c r="B45" t="str">
        <x:v>Regal Suncrest Circlet</x:v>
      </x:c>
      <x:c r="C45" t="str">
        <x:v>Gold</x:v>
      </x:c>
      <x:c r="D45" t="str">
        <x:v>Dawnfeather Vestments</x:v>
      </x:c>
      <x:c r="E45" t="str">
        <x:v>Helmet</x:v>
      </x:c>
      <x:c r="F45" t="str">
        <x:v>Medium</x:v>
      </x:c>
      <x:c r="G45" t="str">
        <x:v>Inquisitor, support Bard, defensive Mage</x:v>
      </x:c>
      <x:c r="H45" t="n">
        <x:v>3</x:v>
      </x:c>
      <x:c r="I45" t="n">
        <x:v>5</x:v>
      </x:c>
      <x:c r="J45" t="n">
        <x:v>4</x:v>
      </x:c>
      <x:c r="K45" t="n">
        <x:v>0</x:v>
      </x:c>
      <x:c r="L45" t="n">
        <x:v>0</x:v>
      </x:c>
      <x:c r="M45" t="n">
        <x:v>1</x:v>
      </x:c>
      <x:c r="N45" t="n">
        <x:v>0</x:v>
      </x:c>
      <x:c r="O45" t="n">
        <x:v>2</x:v>
      </x:c>
      <x:c r="P45" t="n">
        <x:v>0</x:v>
      </x:c>
      <x:c r="Q45" t="n">
        <x:v>0</x:v>
      </x:c>
      <x:c r="R45" t="str">
        <x:v>First time Health is healed each combat, restore 2 Armour and 2 Magic Armour.</x:v>
      </x:c>
      <x:c r="S45" t="str">
        <x:v>Once per combat below 30% Health, restore 3 to the lower protection pool.</x:v>
      </x:c>
      <x:c r="T45" t="str">
        <x:v>Ember; Frost; Storm; Venom; Blood; Lunar; Solar</x:v>
      </x:c>
      <x:c r="U45" t="str">
        <x:v>Restoration, survivability, and mixed defence.</x:v>
      </x:c>
      <x:c r="V45" t="str">
        <x:v>Matching protection blocks its ailments. Restoration: 1-turn cooldown and no overflow. Fortify/Ward: heal and overflow with 2-turn cooldown. Dual Bastion/Aegis: 3-turn cooldown.</x:v>
      </x:c>
      <x:c r="W45" t="str">
        <x:v>Active</x:v>
      </x:c>
      <x:c r="X45" t="str">
        <x:v>Renewing Light</x:v>
      </x:c>
      <x:c r="Y45" t="str">
        <x:v>Protective Prayer</x:v>
      </x:c>
      <x:c r="Z45" t="str">
        <x:v>Protective Prayer</x:v>
      </x:c>
      <x:c r="AA45" t="n">
        <x:v>3</x:v>
      </x:c>
      <x:c r="AB45" t="n">
        <x:v>1</x:v>
      </x:c>
      <x:c r="AC45" t="str">
        <x:v>Gain Minor Guard Up and Minor Resolve Up for 2 turns.</x:v>
      </x:c>
    </x:row>
    <x:row r="46">
      <x:c r="A46" t="str">
        <x:v>HLM-042</x:v>
      </x:c>
      <x:c r="B46" t="str">
        <x:v>Mythic Suncrest Circlet</x:v>
      </x:c>
      <x:c r="C46" t="str">
        <x:v>Orange</x:v>
      </x:c>
      <x:c r="D46" t="str">
        <x:v>Dawnfeather Vestments</x:v>
      </x:c>
      <x:c r="E46" t="str">
        <x:v>Helmet</x:v>
      </x:c>
      <x:c r="F46" t="str">
        <x:v>Medium</x:v>
      </x:c>
      <x:c r="G46" t="str">
        <x:v>Inquisitor, support Bard, defensive Mage</x:v>
      </x:c>
      <x:c r="H46" t="n">
        <x:v>4</x:v>
      </x:c>
      <x:c r="I46" t="n">
        <x:v>7</x:v>
      </x:c>
      <x:c r="J46" t="n">
        <x:v>5</x:v>
      </x:c>
      <x:c r="K46" t="n">
        <x:v>0</x:v>
      </x:c>
      <x:c r="L46" t="n">
        <x:v>0</x:v>
      </x:c>
      <x:c r="M46" t="n">
        <x:v>2</x:v>
      </x:c>
      <x:c r="N46" t="n">
        <x:v>0</x:v>
      </x:c>
      <x:c r="O46" t="n">
        <x:v>2</x:v>
      </x:c>
      <x:c r="P46" t="n">
        <x:v>0</x:v>
      </x:c>
      <x:c r="Q46" t="n">
        <x:v>0</x:v>
      </x:c>
      <x:c r="R46" t="str">
        <x:v>First time Health is healed each combat, restore 2 Armour and 2 Magic Armour.</x:v>
      </x:c>
      <x:c r="S46" t="str">
        <x:v>Once per combat below 30% Health, restore 4 to the lower protection pool.</x:v>
      </x:c>
      <x:c r="T46" t="str">
        <x:v>Ember; Frost; Storm; Venom; Blood; Lunar; Solar</x:v>
      </x:c>
      <x:c r="U46" t="str">
        <x:v>Restoration, survivability, and mixed defence.</x:v>
      </x:c>
      <x:c r="V46" t="str">
        <x:v>Matching protection blocks its ailments. Restoration: 1-turn cooldown and no overflow. Fortify/Ward: heal and overflow with 2-turn cooldown. Dual Bastion/Aegis: 3-turn cooldown.</x:v>
      </x:c>
      <x:c r="W46" t="str">
        <x:v>Active</x:v>
      </x:c>
      <x:c r="X46" t="str">
        <x:v>Renewing Light</x:v>
      </x:c>
      <x:c r="Y46" t="str">
        <x:v>Protective Prayer</x:v>
      </x:c>
      <x:c r="Z46" t="str">
        <x:v>Protective Prayer</x:v>
      </x:c>
      <x:c r="AA46" t="n">
        <x:v>3</x:v>
      </x:c>
      <x:c r="AB46" t="n">
        <x:v>1</x:v>
      </x:c>
      <x:c r="AC46" t="str">
        <x:v>Gain Minor Guard Up and Minor Resolve Up for 2 turns.</x:v>
      </x:c>
    </x:row>
    <x:row r="47">
      <x:c r="A47" t="str">
        <x:v>HLM-043</x:v>
      </x:c>
      <x:c r="B47" t="str">
        <x:v>Moonveil Hood</x:v>
      </x:c>
      <x:c r="C47" t="str">
        <x:v>Grey</x:v>
      </x:c>
      <x:c r="D47" t="str">
        <x:v>Nightweave Vestments</x:v>
      </x:c>
      <x:c r="E47" t="str">
        <x:v>Helmet</x:v>
      </x:c>
      <x:c r="F47" t="str">
        <x:v>Medium</x:v>
      </x:c>
      <x:c r="G47" t="str">
        <x:v>Siren, Mage, Bard, anti-ailment build</x:v>
      </x:c>
      <x:c r="H47" t="n">
        <x:v>0</x:v>
      </x:c>
      <x:c r="I47" t="n">
        <x:v>2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1</x:v>
      </x:c>
      <x:c r="P47" t="n">
        <x:v>0</x:v>
      </x:c>
      <x:c r="Q47" t="n">
        <x:v>0</x:v>
      </x:c>
      <x:c r="R47" t="str">
        <x:v>After Magic Armour is depleted, hostile magical ailment chance is reduced by 5 percentage points.</x:v>
      </x:c>
      <x:c r="S47" t="str">
        <x:v>First magical ailment successfully applied each combat has its duration reduced by 1 turn, minimum 1.</x:v>
      </x:c>
      <x:c r="T47" t="str">
        <x:v>Ember; Frost; Storm; Venom; Blood; Lunar; Solar</x:v>
      </x:c>
      <x:c r="U47" t="str">
        <x:v>Debuff resistance and magical survival.</x:v>
      </x:c>
      <x:c r="V47" t="str">
        <x:v>Matching protection blocks its ailments. Restoration: 1-turn cooldown and no overflow. Fortify/Ward: heal and overflow with 2-turn cooldown. Dual Bastion/Aegis: 3-turn cooldown.</x:v>
      </x:c>
      <x:c r="W47" t="str">
        <x:v>Active</x:v>
      </x:c>
      <x:c r="X47" t="str">
        <x:v>Veiled Mind</x:v>
      </x:c>
      <x:c r="Y47" t="str">
        <x:v>Hex Guard</x:v>
      </x:c>
      <x:c r="Z47" t="str">
        <x:v>None</x:v>
      </x:c>
      <x:c r="AA47" t="n">
        <x:v>0</x:v>
      </x:c>
      <x:c r="AB47" t="n">
        <x:v>0</x:v>
      </x:c>
      <x:c r="AC47" t="str">
        <x:v>No granted equipment skill at Grey rarity.</x:v>
      </x:c>
    </x:row>
    <x:row r="48">
      <x:c r="A48" t="str">
        <x:v>HLM-044</x:v>
      </x:c>
      <x:c r="B48" t="str">
        <x:v>Sturdy Moonveil Hood</x:v>
      </x:c>
      <x:c r="C48" t="str">
        <x:v>Green</x:v>
      </x:c>
      <x:c r="D48" t="str">
        <x:v>Nightweave Vestments</x:v>
      </x:c>
      <x:c r="E48" t="str">
        <x:v>Helmet</x:v>
      </x:c>
      <x:c r="F48" t="str">
        <x:v>Medium</x:v>
      </x:c>
      <x:c r="G48" t="str">
        <x:v>Siren, Mage, Bard, anti-ailment build</x:v>
      </x:c>
      <x:c r="H48" t="n">
        <x:v>0</x:v>
      </x:c>
      <x:c r="I48" t="n">
        <x:v>3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1</x:v>
      </x:c>
      <x:c r="O48" t="n">
        <x:v>1</x:v>
      </x:c>
      <x:c r="P48" t="n">
        <x:v>0</x:v>
      </x:c>
      <x:c r="Q48" t="n">
        <x:v>0</x:v>
      </x:c>
      <x:c r="R48" t="str">
        <x:v>After Magic Armour is depleted, hostile magical ailment chance is reduced by 5 percentage points.</x:v>
      </x:c>
      <x:c r="S48" t="str">
        <x:v>First magical ailment successfully applied each combat has its duration reduced by 1 turn, minimum 1.</x:v>
      </x:c>
      <x:c r="T48" t="str">
        <x:v>Ember; Frost; Storm; Venom; Blood; Lunar; Solar</x:v>
      </x:c>
      <x:c r="U48" t="str">
        <x:v>Debuff resistance and magical survival.</x:v>
      </x:c>
      <x:c r="V48" t="str">
        <x:v>Matching protection blocks its ailments. Restoration: 1-turn cooldown and no overflow. Fortify/Ward: heal and overflow with 2-turn cooldown. Dual Bastion/Aegis: 3-turn cooldown.</x:v>
      </x:c>
      <x:c r="W48" t="str">
        <x:v>Active</x:v>
      </x:c>
      <x:c r="X48" t="str">
        <x:v>Veiled Mind</x:v>
      </x:c>
      <x:c r="Y48" t="str">
        <x:v>Hex Guard</x:v>
      </x:c>
      <x:c r="Z48" t="str">
        <x:v>Veiled Mind</x:v>
      </x:c>
      <x:c r="AA48" t="n">
        <x:v>2</x:v>
      </x:c>
      <x:c r="AB48" t="n">
        <x:v>0</x:v>
      </x:c>
      <x:c r="AC48" t="str">
        <x:v>Gain Minor Resolve Up for 2 turns.</x:v>
      </x:c>
    </x:row>
    <x:row r="49">
      <x:c r="A49" t="str">
        <x:v>HLM-045</x:v>
      </x:c>
      <x:c r="B49" t="str">
        <x:v>Tempered Moonveil Hood</x:v>
      </x:c>
      <x:c r="C49" t="str">
        <x:v>Blue</x:v>
      </x:c>
      <x:c r="D49" t="str">
        <x:v>Nightweave Vestments</x:v>
      </x:c>
      <x:c r="E49" t="str">
        <x:v>Helmet</x:v>
      </x:c>
      <x:c r="F49" t="str">
        <x:v>Medium</x:v>
      </x:c>
      <x:c r="G49" t="str">
        <x:v>Siren, Mage, Bard, anti-ailment build</x:v>
      </x:c>
      <x:c r="H49" t="n">
        <x:v>1</x:v>
      </x:c>
      <x:c r="I49" t="n">
        <x:v>3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1</x:v>
      </x:c>
      <x:c r="O49" t="n">
        <x:v>2</x:v>
      </x:c>
      <x:c r="P49" t="n">
        <x:v>0</x:v>
      </x:c>
      <x:c r="Q49" t="n">
        <x:v>0</x:v>
      </x:c>
      <x:c r="R49" t="str">
        <x:v>After Magic Armour is depleted, hostile magical ailment chance is reduced by 10 percentage points.</x:v>
      </x:c>
      <x:c r="S49" t="str">
        <x:v>First magical ailment successfully applied each combat has its duration reduced by 1 turn, minimum 1.</x:v>
      </x:c>
      <x:c r="T49" t="str">
        <x:v>Ember; Frost; Storm; Venom; Blood; Lunar; Solar</x:v>
      </x:c>
      <x:c r="U49" t="str">
        <x:v>Debuff resistance and magical survival.</x:v>
      </x:c>
      <x:c r="V49" t="str">
        <x:v>Matching protection blocks its ailments. Restoration: 1-turn cooldown and no overflow. Fortify/Ward: heal and overflow with 2-turn cooldown. Dual Bastion/Aegis: 3-turn cooldown.</x:v>
      </x:c>
      <x:c r="W49" t="str">
        <x:v>Active</x:v>
      </x:c>
      <x:c r="X49" t="str">
        <x:v>Veiled Mind</x:v>
      </x:c>
      <x:c r="Y49" t="str">
        <x:v>Hex Guard</x:v>
      </x:c>
      <x:c r="Z49" t="str">
        <x:v>Veiled Mind</x:v>
      </x:c>
      <x:c r="AA49" t="n">
        <x:v>2</x:v>
      </x:c>
      <x:c r="AB49" t="n">
        <x:v>0</x:v>
      </x:c>
      <x:c r="AC49" t="str">
        <x:v>Gain Minor Resolve Up for 2 turns.</x:v>
      </x:c>
    </x:row>
    <x:row r="50">
      <x:c r="A50" t="str">
        <x:v>HLM-046</x:v>
      </x:c>
      <x:c r="B50" t="str">
        <x:v>Masterwork Moonveil Hood</x:v>
      </x:c>
      <x:c r="C50" t="str">
        <x:v>Purple</x:v>
      </x:c>
      <x:c r="D50" t="str">
        <x:v>Nightweave Vestments</x:v>
      </x:c>
      <x:c r="E50" t="str">
        <x:v>Helmet</x:v>
      </x:c>
      <x:c r="F50" t="str">
        <x:v>Medium</x:v>
      </x:c>
      <x:c r="G50" t="str">
        <x:v>Siren, Mage, Bard, anti-ailment build</x:v>
      </x:c>
      <x:c r="H50" t="n">
        <x:v>1</x:v>
      </x:c>
      <x:c r="I50" t="n">
        <x:v>5</x:v>
      </x:c>
      <x:c r="J50" t="n">
        <x:v>1</x:v>
      </x:c>
      <x:c r="K50" t="n">
        <x:v>0</x:v>
      </x:c>
      <x:c r="L50" t="n">
        <x:v>0</x:v>
      </x:c>
      <x:c r="M50" t="n">
        <x:v>0</x:v>
      </x:c>
      <x:c r="N50" t="n">
        <x:v>1</x:v>
      </x:c>
      <x:c r="O50" t="n">
        <x:v>3</x:v>
      </x:c>
      <x:c r="P50" t="n">
        <x:v>0</x:v>
      </x:c>
      <x:c r="Q50" t="n">
        <x:v>0</x:v>
      </x:c>
      <x:c r="R50" t="str">
        <x:v>After Magic Armour is depleted, hostile magical ailment chance is reduced by 10 percentage points.</x:v>
      </x:c>
      <x:c r="S50" t="str">
        <x:v>First magical ailment successfully applied each combat has its duration reduced by 1 turn, minimum 1.</x:v>
      </x:c>
      <x:c r="T50" t="str">
        <x:v>Ember; Frost; Storm; Venom; Blood; Lunar; Solar</x:v>
      </x:c>
      <x:c r="U50" t="str">
        <x:v>Debuff resistance and magical survival.</x:v>
      </x:c>
      <x:c r="V50" t="str">
        <x:v>Matching protection blocks its ailments. Restoration: 1-turn cooldown and no overflow. Fortify/Ward: heal and overflow with 2-turn cooldown. Dual Bastion/Aegis: 3-turn cooldown.</x:v>
      </x:c>
      <x:c r="W50" t="str">
        <x:v>Active</x:v>
      </x:c>
      <x:c r="X50" t="str">
        <x:v>Veiled Mind</x:v>
      </x:c>
      <x:c r="Y50" t="str">
        <x:v>Hex Guard</x:v>
      </x:c>
      <x:c r="Z50" t="str">
        <x:v>Hex Guard</x:v>
      </x:c>
      <x:c r="AA50" t="n">
        <x:v>3</x:v>
      </x:c>
      <x:c r="AB50" t="n">
        <x:v>2</x:v>
      </x:c>
      <x:c r="AC50" t="str">
        <x:v>Gain 5 Ward Magic Armour (add 5 to current Magic Armour and temporary Maximum Magic Armour). The next magical debuff applied has its duration reduced by 1 turn, minimum 1.</x:v>
      </x:c>
    </x:row>
    <x:row r="51">
      <x:c r="A51" t="str">
        <x:v>HLM-047</x:v>
      </x:c>
      <x:c r="B51" t="str">
        <x:v>Regal Moonveil Hood</x:v>
      </x:c>
      <x:c r="C51" t="str">
        <x:v>Gold</x:v>
      </x:c>
      <x:c r="D51" t="str">
        <x:v>Nightweave Vestments</x:v>
      </x:c>
      <x:c r="E51" t="str">
        <x:v>Helmet</x:v>
      </x:c>
      <x:c r="F51" t="str">
        <x:v>Medium</x:v>
      </x:c>
      <x:c r="G51" t="str">
        <x:v>Siren, Mage, Bard, anti-ailment build</x:v>
      </x:c>
      <x:c r="H51" t="n">
        <x:v>2</x:v>
      </x:c>
      <x:c r="I51" t="n">
        <x:v>6</x:v>
      </x:c>
      <x:c r="J51" t="n">
        <x:v>1</x:v>
      </x:c>
      <x:c r="K51" t="n">
        <x:v>0</x:v>
      </x:c>
      <x:c r="L51" t="n">
        <x:v>0</x:v>
      </x:c>
      <x:c r="M51" t="n">
        <x:v>0</x:v>
      </x:c>
      <x:c r="N51" t="n">
        <x:v>2</x:v>
      </x:c>
      <x:c r="O51" t="n">
        <x:v>4</x:v>
      </x:c>
      <x:c r="P51" t="n">
        <x:v>0</x:v>
      </x:c>
      <x:c r="Q51" t="n">
        <x:v>0</x:v>
      </x:c>
      <x:c r="R51" t="str">
        <x:v>After Magic Armour is depleted, hostile magical ailment chance is reduced by 15 percentage points.</x:v>
      </x:c>
      <x:c r="S51" t="str">
        <x:v>First magical ailment successfully applied each combat has its duration reduced by 1 turn, minimum 1.</x:v>
      </x:c>
      <x:c r="T51" t="str">
        <x:v>Ember; Frost; Storm; Venom; Blood; Lunar; Solar</x:v>
      </x:c>
      <x:c r="U51" t="str">
        <x:v>Debuff resistance and magical survival.</x:v>
      </x:c>
      <x:c r="V51" t="str">
        <x:v>Matching protection blocks its ailments. Restoration: 1-turn cooldown and no overflow. Fortify/Ward: heal and overflow with 2-turn cooldown. Dual Bastion/Aegis: 3-turn cooldown.</x:v>
      </x:c>
      <x:c r="W51" t="str">
        <x:v>Active</x:v>
      </x:c>
      <x:c r="X51" t="str">
        <x:v>Veiled Mind</x:v>
      </x:c>
      <x:c r="Y51" t="str">
        <x:v>Hex Guard</x:v>
      </x:c>
      <x:c r="Z51" t="str">
        <x:v>Hex Guard</x:v>
      </x:c>
      <x:c r="AA51" t="n">
        <x:v>3</x:v>
      </x:c>
      <x:c r="AB51" t="n">
        <x:v>2</x:v>
      </x:c>
      <x:c r="AC51" t="str">
        <x:v>Gain 5 Ward Magic Armour (add 5 to current Magic Armour and temporary Maximum Magic Armour). The next magical debuff applied has its duration reduced by 1 turn, minimum 1.</x:v>
      </x:c>
    </x:row>
    <x:row r="52">
      <x:c r="A52" t="str">
        <x:v>HLM-048</x:v>
      </x:c>
      <x:c r="B52" t="str">
        <x:v>Mythic Moonveil Hood</x:v>
      </x:c>
      <x:c r="C52" t="str">
        <x:v>Orange</x:v>
      </x:c>
      <x:c r="D52" t="str">
        <x:v>Nightweave Vestments</x:v>
      </x:c>
      <x:c r="E52" t="str">
        <x:v>Helmet</x:v>
      </x:c>
      <x:c r="F52" t="str">
        <x:v>Medium</x:v>
      </x:c>
      <x:c r="G52" t="str">
        <x:v>Siren, Mage, Bard, anti-ailment build</x:v>
      </x:c>
      <x:c r="H52" t="n">
        <x:v>3</x:v>
      </x:c>
      <x:c r="I52" t="n">
        <x:v>8</x:v>
      </x:c>
      <x:c r="J52" t="n">
        <x:v>2</x:v>
      </x:c>
      <x:c r="K52" t="n">
        <x:v>0</x:v>
      </x:c>
      <x:c r="L52" t="n">
        <x:v>0</x:v>
      </x:c>
      <x:c r="M52" t="n">
        <x:v>0</x:v>
      </x:c>
      <x:c r="N52" t="n">
        <x:v>2</x:v>
      </x:c>
      <x:c r="O52" t="n">
        <x:v>5</x:v>
      </x:c>
      <x:c r="P52" t="n">
        <x:v>0</x:v>
      </x:c>
      <x:c r="Q52" t="n">
        <x:v>0</x:v>
      </x:c>
      <x:c r="R52" t="str">
        <x:v>After Magic Armour is depleted, hostile magical ailment chance is reduced by 20 percentage points.</x:v>
      </x:c>
      <x:c r="S52" t="str">
        <x:v>First magical ailment successfully applied each combat has its duration reduced by 1 turn, minimum 1.</x:v>
      </x:c>
      <x:c r="T52" t="str">
        <x:v>Ember; Frost; Storm; Venom; Blood; Lunar; Solar</x:v>
      </x:c>
      <x:c r="U52" t="str">
        <x:v>Debuff resistance and magical survival.</x:v>
      </x:c>
      <x:c r="V52" t="str">
        <x:v>Matching protection blocks its ailments. Restoration: 1-turn cooldown and no overflow. Fortify/Ward: heal and overflow with 2-turn cooldown. Dual Bastion/Aegis: 3-turn cooldown.</x:v>
      </x:c>
      <x:c r="W52" t="str">
        <x:v>Active</x:v>
      </x:c>
      <x:c r="X52" t="str">
        <x:v>Veiled Mind</x:v>
      </x:c>
      <x:c r="Y52" t="str">
        <x:v>Hex Guard</x:v>
      </x:c>
      <x:c r="Z52" t="str">
        <x:v>Hex Guard</x:v>
      </x:c>
      <x:c r="AA52" t="n">
        <x:v>3</x:v>
      </x:c>
      <x:c r="AB52" t="n">
        <x:v>2</x:v>
      </x:c>
      <x:c r="AC52" t="str">
        <x:v>Gain 5 Ward Magic Armour (add 5 to current Magic Armour and temporary Maximum Magic Armour). The next magical debuff applied has its duration reduced by 1 turn, minimum 1.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sheetData>
    <x:row r="1">
      <x:c r="A1" t="str">
        <x:v>Shields Catalogue — Expanded Equipment Skills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</x:row>
    <x:row r="4">
      <x:c r="A4" t="str">
        <x:v>Item ID</x:v>
      </x:c>
      <x:c r="B4" t="str">
        <x:v>Item Name</x:v>
      </x:c>
      <x:c r="C4" t="str">
        <x:v>Rarity</x:v>
      </x:c>
      <x:c r="D4" t="str">
        <x:v>Set</x:v>
      </x:c>
      <x:c r="E4" t="str">
        <x:v>Slot</x:v>
      </x:c>
      <x:c r="F4" t="str">
        <x:v>Weight</x:v>
      </x:c>
      <x:c r="G4" t="str">
        <x:v>Best Suited</x:v>
      </x:c>
      <x:c r="H4" t="str">
        <x:v>Armour</x:v>
      </x:c>
      <x:c r="I4" t="str">
        <x:v>Magic Armour</x:v>
      </x:c>
      <x:c r="J4" t="str">
        <x:v>Vitality</x:v>
      </x:c>
      <x:c r="K4" t="str">
        <x:v>Might</x:v>
      </x:c>
      <x:c r="L4" t="str">
        <x:v>Dexterity</x:v>
      </x:c>
      <x:c r="M4" t="str">
        <x:v>Guard</x:v>
      </x:c>
      <x:c r="N4" t="str">
        <x:v>Focus</x:v>
      </x:c>
      <x:c r="O4" t="str">
        <x:v>Resolve</x:v>
      </x:c>
      <x:c r="P4" t="str">
        <x:v>Agility</x:v>
      </x:c>
      <x:c r="Q4" t="str">
        <x:v>Agility Penalty</x:v>
      </x:c>
      <x:c r="R4" t="str">
        <x:v>2-Piece Bonus</x:v>
      </x:c>
      <x:c r="S4" t="str">
        <x:v>3-Piece Bonus</x:v>
      </x:c>
      <x:c r="T4" t="str">
        <x:v>Eligible Infusions</x:v>
      </x:c>
      <x:c r="U4" t="str">
        <x:v>Identity</x:v>
      </x:c>
      <x:c r="V4" t="str">
        <x:v>Rules Note</x:v>
      </x:c>
      <x:c r="W4" t="str">
        <x:v>Status</x:v>
      </x:c>
      <x:c r="X4" t="str">
        <x:v>Skill Pool A (2 EN)</x:v>
      </x:c>
      <x:c r="Y4" t="str">
        <x:v>Skill Pool B (3 EN)</x:v>
      </x:c>
      <x:c r="Z4" t="str">
        <x:v>Default Granted Skill</x:v>
      </x:c>
      <x:c r="AA4" t="str">
        <x:v>Skill EN</x:v>
      </x:c>
      <x:c r="AB4" t="str">
        <x:v>Cooldown</x:v>
      </x:c>
      <x:c r="AC4" t="str">
        <x:v>Granted Skill Effect</x:v>
      </x:c>
    </x:row>
    <x:row r="5">
      <x:c r="A5" t="str">
        <x:v>SHD-001</x:v>
      </x:c>
      <x:c r="B5" t="str">
        <x:v>Ironwing Bastion Shield</x:v>
      </x:c>
      <x:c r="C5" t="str">
        <x:v>Grey</x:v>
      </x:c>
      <x:c r="D5" t="str">
        <x:v>Ironfeather Bastion</x:v>
      </x:c>
      <x:c r="E5" t="str">
        <x:v>Shield</x:v>
      </x:c>
      <x:c r="F5" t="str">
        <x:v>Heavy</x:v>
      </x:c>
      <x:c r="G5" t="str">
        <x:v>Knight, Brute, physical Inquisitor</x:v>
      </x:c>
      <x:c r="H5" t="n">
        <x:v>3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1</x:v>
      </x:c>
      <x:c r="N5" t="n">
        <x:v>0</x:v>
      </x:c>
      <x:c r="O5" t="n">
        <x:v>0</x:v>
      </x:c>
      <x:c r="P5" t="n">
        <x:v>0</x:v>
      </x:c>
      <x:c r="Q5" t="n">
        <x:v>-2</x:v>
      </x:c>
      <x:c r="R5" t="str">
        <x:v>While Armour remains, gain +2 Guard.</x:v>
      </x:c>
      <x:c r="S5" t="str">
        <x:v>First time Armour is depleted each combat, restore 1 Armour.</x:v>
      </x:c>
      <x:c r="T5" t="str">
        <x:v>Ember; Frost; Storm; Venom; Blood; Lunar; Solar</x:v>
      </x:c>
      <x:c r="U5" t="str">
        <x:v>Heavy physical protection; Armour-focused.</x:v>
      </x:c>
      <x:c r="V5" t="str">
        <x:v>Matching protection blocks its ailments. Restoration: 1-turn cooldown and no overflow. Fortify/Ward: heal and overflow with 2-turn cooldown. Dual Bastion/Aegis: 3-turn cooldown.</x:v>
      </x:c>
      <x:c r="W5" t="str">
        <x:v>Active</x:v>
      </x:c>
      <x:c r="X5" t="str">
        <x:v>Guarded Wing</x:v>
      </x:c>
      <x:c r="Y5" t="str">
        <x:v>Bastion Stance</x:v>
      </x:c>
      <x:c r="Z5" t="str">
        <x:v>None</x:v>
      </x:c>
      <x:c r="AA5" t="n">
        <x:v>0</x:v>
      </x:c>
      <x:c r="AB5" t="n">
        <x:v>0</x:v>
      </x:c>
      <x:c r="AC5" t="str">
        <x:v>No granted equipment skill at Grey rarity.</x:v>
      </x:c>
    </x:row>
    <x:row r="6">
      <x:c r="A6" t="str">
        <x:v>SHD-002</x:v>
      </x:c>
      <x:c r="B6" t="str">
        <x:v>Sturdy Ironwing Bastion Shield</x:v>
      </x:c>
      <x:c r="C6" t="str">
        <x:v>Green</x:v>
      </x:c>
      <x:c r="D6" t="str">
        <x:v>Ironfeather Bastion</x:v>
      </x:c>
      <x:c r="E6" t="str">
        <x:v>Shield</x:v>
      </x:c>
      <x:c r="F6" t="str">
        <x:v>Heavy</x:v>
      </x:c>
      <x:c r="G6" t="str">
        <x:v>Knight, Brute, physical Inquisitor</x:v>
      </x:c>
      <x:c r="H6" t="n">
        <x:v>4</x:v>
      </x:c>
      <x:c r="I6" t="n">
        <x:v>0</x:v>
      </x:c>
      <x:c r="J6" t="n">
        <x:v>1</x:v>
      </x:c>
      <x:c r="K6" t="n">
        <x:v>0</x:v>
      </x:c>
      <x:c r="L6" t="n">
        <x:v>0</x:v>
      </x:c>
      <x:c r="M6" t="n">
        <x:v>1</x:v>
      </x:c>
      <x:c r="N6" t="n">
        <x:v>0</x:v>
      </x:c>
      <x:c r="O6" t="n">
        <x:v>0</x:v>
      </x:c>
      <x:c r="P6" t="n">
        <x:v>0</x:v>
      </x:c>
      <x:c r="Q6" t="n">
        <x:v>-2</x:v>
      </x:c>
      <x:c r="R6" t="str">
        <x:v>While Armour remains, gain +2 Guard.</x:v>
      </x:c>
      <x:c r="S6" t="str">
        <x:v>First time Armour is depleted each combat, restore 1 Armour.</x:v>
      </x:c>
      <x:c r="T6" t="str">
        <x:v>Ember; Frost; Storm; Venom; Blood; Lunar; Solar</x:v>
      </x:c>
      <x:c r="U6" t="str">
        <x:v>Heavy physical protection; Armour-focused.</x:v>
      </x:c>
      <x:c r="V6" t="str">
        <x:v>Matching protection blocks its ailments. Restoration: 1-turn cooldown and no overflow. Fortify/Ward: heal and overflow with 2-turn cooldown. Dual Bastion/Aegis: 3-turn cooldown.</x:v>
      </x:c>
      <x:c r="W6" t="str">
        <x:v>Active</x:v>
      </x:c>
      <x:c r="X6" t="str">
        <x:v>Guarded Wing</x:v>
      </x:c>
      <x:c r="Y6" t="str">
        <x:v>Bastion Stance</x:v>
      </x:c>
      <x:c r="Z6" t="str">
        <x:v>Guarded Wing</x:v>
      </x:c>
      <x:c r="AA6" t="n">
        <x:v>2</x:v>
      </x:c>
      <x:c r="AB6" t="n">
        <x:v>1</x:v>
      </x:c>
      <x:c r="AC6" t="str">
        <x:v>Restore 5 Armour, capped at normal Maximum Armour.</x:v>
      </x:c>
    </x:row>
    <x:row r="7">
      <x:c r="A7" t="str">
        <x:v>SHD-003</x:v>
      </x:c>
      <x:c r="B7" t="str">
        <x:v>Tempered Ironwing Bastion Shield</x:v>
      </x:c>
      <x:c r="C7" t="str">
        <x:v>Blue</x:v>
      </x:c>
      <x:c r="D7" t="str">
        <x:v>Ironfeather Bastion</x:v>
      </x:c>
      <x:c r="E7" t="str">
        <x:v>Shield</x:v>
      </x:c>
      <x:c r="F7" t="str">
        <x:v>Heavy</x:v>
      </x:c>
      <x:c r="G7" t="str">
        <x:v>Knight, Brute, physical Inquisitor</x:v>
      </x:c>
      <x:c r="H7" t="n">
        <x:v>6</x:v>
      </x:c>
      <x:c r="I7" t="n">
        <x:v>1</x:v>
      </x:c>
      <x:c r="J7" t="n">
        <x:v>1</x:v>
      </x:c>
      <x:c r="K7" t="n">
        <x:v>0</x:v>
      </x:c>
      <x:c r="L7" t="n">
        <x:v>0</x:v>
      </x:c>
      <x:c r="M7" t="n">
        <x:v>2</x:v>
      </x:c>
      <x:c r="N7" t="n">
        <x:v>0</x:v>
      </x:c>
      <x:c r="O7" t="n">
        <x:v>0</x:v>
      </x:c>
      <x:c r="P7" t="n">
        <x:v>0</x:v>
      </x:c>
      <x:c r="Q7" t="n">
        <x:v>-2</x:v>
      </x:c>
      <x:c r="R7" t="str">
        <x:v>While Armour remains, gain +3 Guard.</x:v>
      </x:c>
      <x:c r="S7" t="str">
        <x:v>First time Armour is depleted each combat, restore 2 Armour.</x:v>
      </x:c>
      <x:c r="T7" t="str">
        <x:v>Ember; Frost; Storm; Venom; Blood; Lunar; Solar</x:v>
      </x:c>
      <x:c r="U7" t="str">
        <x:v>Heavy physical protection; Armour-focused.</x:v>
      </x:c>
      <x:c r="V7" t="str">
        <x:v>Matching protection blocks its ailments. Restoration: 1-turn cooldown and no overflow. Fortify/Ward: heal and overflow with 2-turn cooldown. Dual Bastion/Aegis: 3-turn cooldown.</x:v>
      </x:c>
      <x:c r="W7" t="str">
        <x:v>Active</x:v>
      </x:c>
      <x:c r="X7" t="str">
        <x:v>Guarded Wing</x:v>
      </x:c>
      <x:c r="Y7" t="str">
        <x:v>Bastion Stance</x:v>
      </x:c>
      <x:c r="Z7" t="str">
        <x:v>Guarded Wing</x:v>
      </x:c>
      <x:c r="AA7" t="n">
        <x:v>2</x:v>
      </x:c>
      <x:c r="AB7" t="n">
        <x:v>1</x:v>
      </x:c>
      <x:c r="AC7" t="str">
        <x:v>Restore 5 Armour, capped at normal Maximum Armour.</x:v>
      </x:c>
    </x:row>
    <x:row r="8">
      <x:c r="A8" t="str">
        <x:v>SHD-004</x:v>
      </x:c>
      <x:c r="B8" t="str">
        <x:v>Masterwork Ironwing Bastion Shield</x:v>
      </x:c>
      <x:c r="C8" t="str">
        <x:v>Purple</x:v>
      </x:c>
      <x:c r="D8" t="str">
        <x:v>Ironfeather Bastion</x:v>
      </x:c>
      <x:c r="E8" t="str">
        <x:v>Shield</x:v>
      </x:c>
      <x:c r="F8" t="str">
        <x:v>Heavy</x:v>
      </x:c>
      <x:c r="G8" t="str">
        <x:v>Knight, Brute, physical Inquisitor</x:v>
      </x:c>
      <x:c r="H8" t="n">
        <x:v>8</x:v>
      </x:c>
      <x:c r="I8" t="n">
        <x:v>1</x:v>
      </x:c>
      <x:c r="J8" t="n">
        <x:v>1</x:v>
      </x:c>
      <x:c r="K8" t="n">
        <x:v>1</x:v>
      </x:c>
      <x:c r="L8" t="n">
        <x:v>0</x:v>
      </x:c>
      <x:c r="M8" t="n">
        <x:v>3</x:v>
      </x:c>
      <x:c r="N8" t="n">
        <x:v>0</x:v>
      </x:c>
      <x:c r="O8" t="n">
        <x:v>0</x:v>
      </x:c>
      <x:c r="P8" t="n">
        <x:v>0</x:v>
      </x:c>
      <x:c r="Q8" t="n">
        <x:v>-2</x:v>
      </x:c>
      <x:c r="R8" t="str">
        <x:v>While Armour remains, gain +3 Guard.</x:v>
      </x:c>
      <x:c r="S8" t="str">
        <x:v>First time Armour is depleted each combat, restore 2 Armour.</x:v>
      </x:c>
      <x:c r="T8" t="str">
        <x:v>Ember; Frost; Storm; Venom; Blood; Lunar; Solar</x:v>
      </x:c>
      <x:c r="U8" t="str">
        <x:v>Heavy physical protection; Armour-focused.</x:v>
      </x:c>
      <x:c r="V8" t="str">
        <x:v>Matching protection blocks its ailments. Restoration: 1-turn cooldown and no overflow. Fortify/Ward: heal and overflow with 2-turn cooldown. Dual Bastion/Aegis: 3-turn cooldown.</x:v>
      </x:c>
      <x:c r="W8" t="str">
        <x:v>Active</x:v>
      </x:c>
      <x:c r="X8" t="str">
        <x:v>Guarded Wing</x:v>
      </x:c>
      <x:c r="Y8" t="str">
        <x:v>Bastion Stance</x:v>
      </x:c>
      <x:c r="Z8" t="str">
        <x:v>Bastion Stance</x:v>
      </x:c>
      <x:c r="AA8" t="n">
        <x:v>3</x:v>
      </x:c>
      <x:c r="AB8" t="n">
        <x:v>2</x:v>
      </x:c>
      <x:c r="AC8" t="str">
        <x:v>Gain 10 Fortified Armour (add 10 to current Armour and temporary Maximum Armour) for 2 turns.</x:v>
      </x:c>
    </x:row>
    <x:row r="9">
      <x:c r="A9" t="str">
        <x:v>SHD-005</x:v>
      </x:c>
      <x:c r="B9" t="str">
        <x:v>Regal Ironwing Bastion Shield</x:v>
      </x:c>
      <x:c r="C9" t="str">
        <x:v>Gold</x:v>
      </x:c>
      <x:c r="D9" t="str">
        <x:v>Ironfeather Bastion</x:v>
      </x:c>
      <x:c r="E9" t="str">
        <x:v>Shield</x:v>
      </x:c>
      <x:c r="F9" t="str">
        <x:v>Heavy</x:v>
      </x:c>
      <x:c r="G9" t="str">
        <x:v>Knight, Brute, physical Inquisitor</x:v>
      </x:c>
      <x:c r="H9" t="n">
        <x:v>12</x:v>
      </x:c>
      <x:c r="I9" t="n">
        <x:v>1</x:v>
      </x:c>
      <x:c r="J9" t="n">
        <x:v>2</x:v>
      </x:c>
      <x:c r="K9" t="n">
        <x:v>1</x:v>
      </x:c>
      <x:c r="L9" t="n">
        <x:v>0</x:v>
      </x:c>
      <x:c r="M9" t="n">
        <x:v>4</x:v>
      </x:c>
      <x:c r="N9" t="n">
        <x:v>0</x:v>
      </x:c>
      <x:c r="O9" t="n">
        <x:v>0</x:v>
      </x:c>
      <x:c r="P9" t="n">
        <x:v>0</x:v>
      </x:c>
      <x:c r="Q9" t="n">
        <x:v>-3</x:v>
      </x:c>
      <x:c r="R9" t="str">
        <x:v>While Armour remains, gain +4 Guard.</x:v>
      </x:c>
      <x:c r="S9" t="str">
        <x:v>First time Armour is depleted each combat, restore 3 Armour.</x:v>
      </x:c>
      <x:c r="T9" t="str">
        <x:v>Ember; Frost; Storm; Venom; Blood; Lunar; Solar</x:v>
      </x:c>
      <x:c r="U9" t="str">
        <x:v>Heavy physical protection; Armour-focused.</x:v>
      </x:c>
      <x:c r="V9" t="str">
        <x:v>Matching protection blocks its ailments. Restoration: 1-turn cooldown and no overflow. Fortify/Ward: heal and overflow with 2-turn cooldown. Dual Bastion/Aegis: 3-turn cooldown.</x:v>
      </x:c>
      <x:c r="W9" t="str">
        <x:v>Active</x:v>
      </x:c>
      <x:c r="X9" t="str">
        <x:v>Guarded Wing</x:v>
      </x:c>
      <x:c r="Y9" t="str">
        <x:v>Bastion Stance</x:v>
      </x:c>
      <x:c r="Z9" t="str">
        <x:v>Bastion Stance</x:v>
      </x:c>
      <x:c r="AA9" t="n">
        <x:v>3</x:v>
      </x:c>
      <x:c r="AB9" t="n">
        <x:v>2</x:v>
      </x:c>
      <x:c r="AC9" t="str">
        <x:v>Gain 10 Fortified Armour (add 10 to current Armour and temporary Maximum Armour) for 2 turns.</x:v>
      </x:c>
    </x:row>
    <x:row r="10">
      <x:c r="A10" t="str">
        <x:v>SHD-006</x:v>
      </x:c>
      <x:c r="B10" t="str">
        <x:v>Mythic Ironwing Bastion Shield</x:v>
      </x:c>
      <x:c r="C10" t="str">
        <x:v>Orange</x:v>
      </x:c>
      <x:c r="D10" t="str">
        <x:v>Ironfeather Bastion</x:v>
      </x:c>
      <x:c r="E10" t="str">
        <x:v>Shield</x:v>
      </x:c>
      <x:c r="F10" t="str">
        <x:v>Heavy</x:v>
      </x:c>
      <x:c r="G10" t="str">
        <x:v>Knight, Brute, physical Inquisitor</x:v>
      </x:c>
      <x:c r="H10" t="n">
        <x:v>16</x:v>
      </x:c>
      <x:c r="I10" t="n">
        <x:v>2</x:v>
      </x:c>
      <x:c r="J10" t="n">
        <x:v>2</x:v>
      </x:c>
      <x:c r="K10" t="n">
        <x:v>2</x:v>
      </x:c>
      <x:c r="L10" t="n">
        <x:v>0</x:v>
      </x:c>
      <x:c r="M10" t="n">
        <x:v>5</x:v>
      </x:c>
      <x:c r="N10" t="n">
        <x:v>0</x:v>
      </x:c>
      <x:c r="O10" t="n">
        <x:v>0</x:v>
      </x:c>
      <x:c r="P10" t="n">
        <x:v>0</x:v>
      </x:c>
      <x:c r="Q10" t="n">
        <x:v>-3</x:v>
      </x:c>
      <x:c r="R10" t="str">
        <x:v>While Armour remains, gain +5 Guard.</x:v>
      </x:c>
      <x:c r="S10" t="str">
        <x:v>First time Armour is depleted each combat, restore 4 Armour.</x:v>
      </x:c>
      <x:c r="T10" t="str">
        <x:v>Ember; Frost; Storm; Venom; Blood; Lunar; Solar</x:v>
      </x:c>
      <x:c r="U10" t="str">
        <x:v>Heavy physical protection; Armour-focused.</x:v>
      </x:c>
      <x:c r="V10" t="str">
        <x:v>Matching protection blocks its ailments. Restoration: 1-turn cooldown and no overflow. Fortify/Ward: heal and overflow with 2-turn cooldown. Dual Bastion/Aegis: 3-turn cooldown.</x:v>
      </x:c>
      <x:c r="W10" t="str">
        <x:v>Active</x:v>
      </x:c>
      <x:c r="X10" t="str">
        <x:v>Guarded Wing</x:v>
      </x:c>
      <x:c r="Y10" t="str">
        <x:v>Bastion Stance</x:v>
      </x:c>
      <x:c r="Z10" t="str">
        <x:v>Bastion Stance</x:v>
      </x:c>
      <x:c r="AA10" t="n">
        <x:v>3</x:v>
      </x:c>
      <x:c r="AB10" t="n">
        <x:v>2</x:v>
      </x:c>
      <x:c r="AC10" t="str">
        <x:v>Gain 10 Fortified Armour (add 10 to current Armour and temporary Maximum Armour) for 2 turns.</x:v>
      </x:c>
    </x:row>
    <x:row r="11">
      <x:c r="A11" t="str">
        <x:v>SHD-007</x:v>
      </x:c>
      <x:c r="B11" t="str">
        <x:v>Runewoven Wing Ward</x:v>
      </x:c>
      <x:c r="C11" t="str">
        <x:v>Grey</x:v>
      </x:c>
      <x:c r="D11" t="str">
        <x:v>Runewoven Aegis</x:v>
      </x:c>
      <x:c r="E11" t="str">
        <x:v>Shield</x:v>
      </x:c>
      <x:c r="F11" t="str">
        <x:v>Medium</x:v>
      </x:c>
      <x:c r="G11" t="str">
        <x:v>Mage, Siren, magical Bard</x:v>
      </x:c>
      <x:c r="H11" t="n">
        <x:v>0</x:v>
      </x:c>
      <x:c r="I11" t="n">
        <x:v>3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1</x:v>
      </x:c>
      <x:c r="P11" t="n">
        <x:v>0</x:v>
      </x:c>
      <x:c r="Q11" t="n">
        <x:v>0</x:v>
      </x:c>
      <x:c r="R11" t="str">
        <x:v>While Magic Armour remains, gain +2 Resolve.</x:v>
      </x:c>
      <x:c r="S11" t="str">
        <x:v>First time Magic Armour is depleted each combat, restore 1 Magic Armour.</x:v>
      </x:c>
      <x:c r="T11" t="str">
        <x:v>Ember; Frost; Storm; Venom; Blood; Lunar; Solar</x:v>
      </x:c>
      <x:c r="U11" t="str">
        <x:v>Heavy magical protection; Magic Armour-focused.</x:v>
      </x:c>
      <x:c r="V11" t="str">
        <x:v>Matching protection blocks its ailments. Restoration: 1-turn cooldown and no overflow. Fortify/Ward: heal and overflow with 2-turn cooldown. Dual Bastion/Aegis: 3-turn cooldown.</x:v>
      </x:c>
      <x:c r="W11" t="str">
        <x:v>Active</x:v>
      </x:c>
      <x:c r="X11" t="str">
        <x:v>Warding Wing</x:v>
      </x:c>
      <x:c r="Y11" t="str">
        <x:v>Aegis of Runes</x:v>
      </x:c>
      <x:c r="Z11" t="str">
        <x:v>None</x:v>
      </x:c>
      <x:c r="AA11" t="n">
        <x:v>0</x:v>
      </x:c>
      <x:c r="AB11" t="n">
        <x:v>0</x:v>
      </x:c>
      <x:c r="AC11" t="str">
        <x:v>No granted equipment skill at Grey rarity.</x:v>
      </x:c>
    </x:row>
    <x:row r="12">
      <x:c r="A12" t="str">
        <x:v>SHD-008</x:v>
      </x:c>
      <x:c r="B12" t="str">
        <x:v>Sturdy Runewoven Wing Ward</x:v>
      </x:c>
      <x:c r="C12" t="str">
        <x:v>Green</x:v>
      </x:c>
      <x:c r="D12" t="str">
        <x:v>Runewoven Aegis</x:v>
      </x:c>
      <x:c r="E12" t="str">
        <x:v>Shield</x:v>
      </x:c>
      <x:c r="F12" t="str">
        <x:v>Medium</x:v>
      </x:c>
      <x:c r="G12" t="str">
        <x:v>Mage, Siren, magical Bard</x:v>
      </x:c>
      <x:c r="H12" t="n">
        <x:v>0</x:v>
      </x:c>
      <x:c r="I12" t="n">
        <x:v>4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1</x:v>
      </x:c>
      <x:c r="O12" t="n">
        <x:v>1</x:v>
      </x:c>
      <x:c r="P12" t="n">
        <x:v>0</x:v>
      </x:c>
      <x:c r="Q12" t="n">
        <x:v>0</x:v>
      </x:c>
      <x:c r="R12" t="str">
        <x:v>While Magic Armour remains, gain +2 Resolve.</x:v>
      </x:c>
      <x:c r="S12" t="str">
        <x:v>First time Magic Armour is depleted each combat, restore 1 Magic Armour.</x:v>
      </x:c>
      <x:c r="T12" t="str">
        <x:v>Ember; Frost; Storm; Venom; Blood; Lunar; Solar</x:v>
      </x:c>
      <x:c r="U12" t="str">
        <x:v>Heavy magical protection; Magic Armour-focused.</x:v>
      </x:c>
      <x:c r="V12" t="str">
        <x:v>Matching protection blocks its ailments. Restoration: 1-turn cooldown and no overflow. Fortify/Ward: heal and overflow with 2-turn cooldown. Dual Bastion/Aegis: 3-turn cooldown.</x:v>
      </x:c>
      <x:c r="W12" t="str">
        <x:v>Active</x:v>
      </x:c>
      <x:c r="X12" t="str">
        <x:v>Warding Wing</x:v>
      </x:c>
      <x:c r="Y12" t="str">
        <x:v>Aegis of Runes</x:v>
      </x:c>
      <x:c r="Z12" t="str">
        <x:v>Warding Wing</x:v>
      </x:c>
      <x:c r="AA12" t="n">
        <x:v>2</x:v>
      </x:c>
      <x:c r="AB12" t="n">
        <x:v>1</x:v>
      </x:c>
      <x:c r="AC12" t="str">
        <x:v>Restore 5 Magic Armour, capped at normal Maximum Magic Armour.</x:v>
      </x:c>
    </x:row>
    <x:row r="13">
      <x:c r="A13" t="str">
        <x:v>SHD-009</x:v>
      </x:c>
      <x:c r="B13" t="str">
        <x:v>Tempered Runewoven Wing Ward</x:v>
      </x:c>
      <x:c r="C13" t="str">
        <x:v>Blue</x:v>
      </x:c>
      <x:c r="D13" t="str">
        <x:v>Runewoven Aegis</x:v>
      </x:c>
      <x:c r="E13" t="str">
        <x:v>Shield</x:v>
      </x:c>
      <x:c r="F13" t="str">
        <x:v>Medium</x:v>
      </x:c>
      <x:c r="G13" t="str">
        <x:v>Mage, Siren, magical Bard</x:v>
      </x:c>
      <x:c r="H13" t="n">
        <x:v>0</x:v>
      </x:c>
      <x:c r="I13" t="n">
        <x:v>6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1</x:v>
      </x:c>
      <x:c r="O13" t="n">
        <x:v>2</x:v>
      </x:c>
      <x:c r="P13" t="n">
        <x:v>0</x:v>
      </x:c>
      <x:c r="Q13" t="n">
        <x:v>0</x:v>
      </x:c>
      <x:c r="R13" t="str">
        <x:v>While Magic Armour remains, gain +3 Resolve.</x:v>
      </x:c>
      <x:c r="S13" t="str">
        <x:v>First time Magic Armour is depleted each combat, restore 2 Magic Armour.</x:v>
      </x:c>
      <x:c r="T13" t="str">
        <x:v>Ember; Frost; Storm; Venom; Blood; Lunar; Solar</x:v>
      </x:c>
      <x:c r="U13" t="str">
        <x:v>Heavy magical protection; Magic Armour-focused.</x:v>
      </x:c>
      <x:c r="V13" t="str">
        <x:v>Matching protection blocks its ailments. Restoration: 1-turn cooldown and no overflow. Fortify/Ward: heal and overflow with 2-turn cooldown. Dual Bastion/Aegis: 3-turn cooldown.</x:v>
      </x:c>
      <x:c r="W13" t="str">
        <x:v>Active</x:v>
      </x:c>
      <x:c r="X13" t="str">
        <x:v>Warding Wing</x:v>
      </x:c>
      <x:c r="Y13" t="str">
        <x:v>Aegis of Runes</x:v>
      </x:c>
      <x:c r="Z13" t="str">
        <x:v>Warding Wing</x:v>
      </x:c>
      <x:c r="AA13" t="n">
        <x:v>2</x:v>
      </x:c>
      <x:c r="AB13" t="n">
        <x:v>1</x:v>
      </x:c>
      <x:c r="AC13" t="str">
        <x:v>Restore 5 Magic Armour, capped at normal Maximum Magic Armour.</x:v>
      </x:c>
    </x:row>
    <x:row r="14">
      <x:c r="A14" t="str">
        <x:v>SHD-010</x:v>
      </x:c>
      <x:c r="B14" t="str">
        <x:v>Masterwork Runewoven Wing Ward</x:v>
      </x:c>
      <x:c r="C14" t="str">
        <x:v>Purple</x:v>
      </x:c>
      <x:c r="D14" t="str">
        <x:v>Runewoven Aegis</x:v>
      </x:c>
      <x:c r="E14" t="str">
        <x:v>Shield</x:v>
      </x:c>
      <x:c r="F14" t="str">
        <x:v>Medium</x:v>
      </x:c>
      <x:c r="G14" t="str">
        <x:v>Mage, Siren, magical Bard</x:v>
      </x:c>
      <x:c r="H14" t="n">
        <x:v>1</x:v>
      </x:c>
      <x:c r="I14" t="n">
        <x:v>7</x:v>
      </x:c>
      <x:c r="J14" t="n">
        <x:v>1</x:v>
      </x:c>
      <x:c r="K14" t="n">
        <x:v>0</x:v>
      </x:c>
      <x:c r="L14" t="n">
        <x:v>0</x:v>
      </x:c>
      <x:c r="M14" t="n">
        <x:v>0</x:v>
      </x:c>
      <x:c r="N14" t="n">
        <x:v>1</x:v>
      </x:c>
      <x:c r="O14" t="n">
        <x:v>3</x:v>
      </x:c>
      <x:c r="P14" t="n">
        <x:v>0</x:v>
      </x:c>
      <x:c r="Q14" t="n">
        <x:v>0</x:v>
      </x:c>
      <x:c r="R14" t="str">
        <x:v>While Magic Armour remains, gain +3 Resolve.</x:v>
      </x:c>
      <x:c r="S14" t="str">
        <x:v>First time Magic Armour is depleted each combat, restore 2 Magic Armour.</x:v>
      </x:c>
      <x:c r="T14" t="str">
        <x:v>Ember; Frost; Storm; Venom; Blood; Lunar; Solar</x:v>
      </x:c>
      <x:c r="U14" t="str">
        <x:v>Heavy magical protection; Magic Armour-focused.</x:v>
      </x:c>
      <x:c r="V14" t="str">
        <x:v>Matching protection blocks its ailments. Restoration: 1-turn cooldown and no overflow. Fortify/Ward: heal and overflow with 2-turn cooldown. Dual Bastion/Aegis: 3-turn cooldown.</x:v>
      </x:c>
      <x:c r="W14" t="str">
        <x:v>Active</x:v>
      </x:c>
      <x:c r="X14" t="str">
        <x:v>Warding Wing</x:v>
      </x:c>
      <x:c r="Y14" t="str">
        <x:v>Aegis of Runes</x:v>
      </x:c>
      <x:c r="Z14" t="str">
        <x:v>Aegis of Runes</x:v>
      </x:c>
      <x:c r="AA14" t="n">
        <x:v>3</x:v>
      </x:c>
      <x:c r="AB14" t="n">
        <x:v>2</x:v>
      </x:c>
      <x:c r="AC14" t="str">
        <x:v>Gain 10 Ward Magic Armour (add 10 to current Magic Armour and temporary Maximum Magic Armour) for 2 turns.</x:v>
      </x:c>
    </x:row>
    <x:row r="15">
      <x:c r="A15" t="str">
        <x:v>SHD-011</x:v>
      </x:c>
      <x:c r="B15" t="str">
        <x:v>Regal Runewoven Wing Ward</x:v>
      </x:c>
      <x:c r="C15" t="str">
        <x:v>Gold</x:v>
      </x:c>
      <x:c r="D15" t="str">
        <x:v>Runewoven Aegis</x:v>
      </x:c>
      <x:c r="E15" t="str">
        <x:v>Shield</x:v>
      </x:c>
      <x:c r="F15" t="str">
        <x:v>Medium</x:v>
      </x:c>
      <x:c r="G15" t="str">
        <x:v>Mage, Siren, magical Bard</x:v>
      </x:c>
      <x:c r="H15" t="n">
        <x:v>1</x:v>
      </x:c>
      <x:c r="I15" t="n">
        <x:v>11</x:v>
      </x:c>
      <x:c r="J15" t="n">
        <x:v>1</x:v>
      </x:c>
      <x:c r="K15" t="n">
        <x:v>0</x:v>
      </x:c>
      <x:c r="L15" t="n">
        <x:v>0</x:v>
      </x:c>
      <x:c r="M15" t="n">
        <x:v>0</x:v>
      </x:c>
      <x:c r="N15" t="n">
        <x:v>2</x:v>
      </x:c>
      <x:c r="O15" t="n">
        <x:v>4</x:v>
      </x:c>
      <x:c r="P15" t="n">
        <x:v>0</x:v>
      </x:c>
      <x:c r="Q15" t="n">
        <x:v>0</x:v>
      </x:c>
      <x:c r="R15" t="str">
        <x:v>While Magic Armour remains, gain +4 Resolve.</x:v>
      </x:c>
      <x:c r="S15" t="str">
        <x:v>First time Magic Armour is depleted each combat, restore 3 Magic Armour.</x:v>
      </x:c>
      <x:c r="T15" t="str">
        <x:v>Ember; Frost; Storm; Venom; Blood; Lunar; Solar</x:v>
      </x:c>
      <x:c r="U15" t="str">
        <x:v>Heavy magical protection; Magic Armour-focused.</x:v>
      </x:c>
      <x:c r="V15" t="str">
        <x:v>Matching protection blocks its ailments. Restoration: 1-turn cooldown and no overflow. Fortify/Ward: heal and overflow with 2-turn cooldown. Dual Bastion/Aegis: 3-turn cooldown.</x:v>
      </x:c>
      <x:c r="W15" t="str">
        <x:v>Active</x:v>
      </x:c>
      <x:c r="X15" t="str">
        <x:v>Warding Wing</x:v>
      </x:c>
      <x:c r="Y15" t="str">
        <x:v>Aegis of Runes</x:v>
      </x:c>
      <x:c r="Z15" t="str">
        <x:v>Aegis of Runes</x:v>
      </x:c>
      <x:c r="AA15" t="n">
        <x:v>3</x:v>
      </x:c>
      <x:c r="AB15" t="n">
        <x:v>2</x:v>
      </x:c>
      <x:c r="AC15" t="str">
        <x:v>Gain 10 Ward Magic Armour (add 10 to current Magic Armour and temporary Maximum Magic Armour) for 2 turns.</x:v>
      </x:c>
    </x:row>
    <x:row r="16">
      <x:c r="A16" t="str">
        <x:v>SHD-012</x:v>
      </x:c>
      <x:c r="B16" t="str">
        <x:v>Mythic Runewoven Wing Ward</x:v>
      </x:c>
      <x:c r="C16" t="str">
        <x:v>Orange</x:v>
      </x:c>
      <x:c r="D16" t="str">
        <x:v>Runewoven Aegis</x:v>
      </x:c>
      <x:c r="E16" t="str">
        <x:v>Shield</x:v>
      </x:c>
      <x:c r="F16" t="str">
        <x:v>Medium</x:v>
      </x:c>
      <x:c r="G16" t="str">
        <x:v>Mage, Siren, magical Bard</x:v>
      </x:c>
      <x:c r="H16" t="n">
        <x:v>2</x:v>
      </x:c>
      <x:c r="I16" t="n">
        <x:v>14</x:v>
      </x:c>
      <x:c r="J16" t="n">
        <x:v>2</x:v>
      </x:c>
      <x:c r="K16" t="n">
        <x:v>0</x:v>
      </x:c>
      <x:c r="L16" t="n">
        <x:v>0</x:v>
      </x:c>
      <x:c r="M16" t="n">
        <x:v>0</x:v>
      </x:c>
      <x:c r="N16" t="n">
        <x:v>2</x:v>
      </x:c>
      <x:c r="O16" t="n">
        <x:v>5</x:v>
      </x:c>
      <x:c r="P16" t="n">
        <x:v>0</x:v>
      </x:c>
      <x:c r="Q16" t="n">
        <x:v>0</x:v>
      </x:c>
      <x:c r="R16" t="str">
        <x:v>While Magic Armour remains, gain +5 Resolve.</x:v>
      </x:c>
      <x:c r="S16" t="str">
        <x:v>First time Magic Armour is depleted each combat, restore 4 Magic Armour.</x:v>
      </x:c>
      <x:c r="T16" t="str">
        <x:v>Ember; Frost; Storm; Venom; Blood; Lunar; Solar</x:v>
      </x:c>
      <x:c r="U16" t="str">
        <x:v>Heavy magical protection; Magic Armour-focused.</x:v>
      </x:c>
      <x:c r="V16" t="str">
        <x:v>Matching protection blocks its ailments. Restoration: 1-turn cooldown and no overflow. Fortify/Ward: heal and overflow with 2-turn cooldown. Dual Bastion/Aegis: 3-turn cooldown.</x:v>
      </x:c>
      <x:c r="W16" t="str">
        <x:v>Active</x:v>
      </x:c>
      <x:c r="X16" t="str">
        <x:v>Warding Wing</x:v>
      </x:c>
      <x:c r="Y16" t="str">
        <x:v>Aegis of Runes</x:v>
      </x:c>
      <x:c r="Z16" t="str">
        <x:v>Aegis of Runes</x:v>
      </x:c>
      <x:c r="AA16" t="n">
        <x:v>3</x:v>
      </x:c>
      <x:c r="AB16" t="n">
        <x:v>2</x:v>
      </x:c>
      <x:c r="AC16" t="str">
        <x:v>Gain 10 Ward Magic Armour (add 10 to current Magic Armour and temporary Maximum Magic Armour) for 2 turns.</x:v>
      </x:c>
    </x:row>
    <x:row r="17">
      <x:c r="A17" t="str">
        <x:v>SHD-013</x:v>
      </x:c>
      <x:c r="B17" t="str">
        <x:v>Layered Scale Shield</x:v>
      </x:c>
      <x:c r="C17" t="str">
        <x:v>Grey</x:v>
      </x:c>
      <x:c r="D17" t="str">
        <x:v>Layered Scale</x:v>
      </x:c>
      <x:c r="E17" t="str">
        <x:v>Shield</x:v>
      </x:c>
      <x:c r="F17" t="str">
        <x:v>Medium</x:v>
      </x:c>
      <x:c r="G17" t="str">
        <x:v>Generalist, Inquisitor, Bard</x:v>
      </x:c>
      <x:c r="H17" t="n">
        <x:v>2</x:v>
      </x:c>
      <x:c r="I17" t="n">
        <x:v>1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str">
        <x:v>Begin combat with +1 Maximum Armour and +1 Maximum Magic Armour.</x:v>
      </x:c>
      <x:c r="S17" t="str">
        <x:v>Once per combat when either protection pool is depleted, restore 1 to both pools.</x:v>
      </x:c>
      <x:c r="T17" t="str">
        <x:v>Ember; Frost; Storm; Venom; Blood; Lunar; Solar</x:v>
      </x:c>
      <x:c r="U17" t="str">
        <x:v>Balanced physical and magical protection.</x:v>
      </x:c>
      <x:c r="V17" t="str">
        <x:v>Matching protection blocks its ailments. Restoration: 1-turn cooldown and no overflow. Fortify/Ward: heal and overflow with 2-turn cooldown. Dual Bastion/Aegis: 3-turn cooldown.</x:v>
      </x:c>
      <x:c r="W17" t="str">
        <x:v>Active</x:v>
      </x:c>
      <x:c r="X17" t="str">
        <x:v>Split Guard</x:v>
      </x:c>
      <x:c r="Y17" t="str">
        <x:v>Layered Bastion</x:v>
      </x:c>
      <x:c r="Z17" t="str">
        <x:v>None</x:v>
      </x:c>
      <x:c r="AA17" t="n">
        <x:v>0</x:v>
      </x:c>
      <x:c r="AB17" t="n">
        <x:v>0</x:v>
      </x:c>
      <x:c r="AC17" t="str">
        <x:v>No granted equipment skill at Grey rarity.</x:v>
      </x:c>
    </x:row>
    <x:row r="18">
      <x:c r="A18" t="str">
        <x:v>SHD-014</x:v>
      </x:c>
      <x:c r="B18" t="str">
        <x:v>Sturdy Layered Scale Shield</x:v>
      </x:c>
      <x:c r="C18" t="str">
        <x:v>Green</x:v>
      </x:c>
      <x:c r="D18" t="str">
        <x:v>Layered Scale</x:v>
      </x:c>
      <x:c r="E18" t="str">
        <x:v>Shield</x:v>
      </x:c>
      <x:c r="F18" t="str">
        <x:v>Medium</x:v>
      </x:c>
      <x:c r="G18" t="str">
        <x:v>Generalist, Inquisitor, Bard</x:v>
      </x:c>
      <x:c r="H18" t="n">
        <x:v>2</x:v>
      </x:c>
      <x:c r="I18" t="n">
        <x:v>2</x:v>
      </x:c>
      <x:c r="J18" t="n">
        <x:v>1</x:v>
      </x:c>
      <x:c r="K18" t="n">
        <x:v>0</x:v>
      </x:c>
      <x:c r="L18" t="n">
        <x:v>0</x:v>
      </x:c>
      <x:c r="M18" t="n">
        <x:v>1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str">
        <x:v>Begin combat with +1 Maximum Armour and +1 Maximum Magic Armour.</x:v>
      </x:c>
      <x:c r="S18" t="str">
        <x:v>Once per combat when either protection pool is depleted, restore 1 to both pools.</x:v>
      </x:c>
      <x:c r="T18" t="str">
        <x:v>Ember; Frost; Storm; Venom; Blood; Lunar; Solar</x:v>
      </x:c>
      <x:c r="U18" t="str">
        <x:v>Balanced physical and magical protection.</x:v>
      </x:c>
      <x:c r="V18" t="str">
        <x:v>Matching protection blocks its ailments. Restoration: 1-turn cooldown and no overflow. Fortify/Ward: heal and overflow with 2-turn cooldown. Dual Bastion/Aegis: 3-turn cooldown.</x:v>
      </x:c>
      <x:c r="W18" t="str">
        <x:v>Active</x:v>
      </x:c>
      <x:c r="X18" t="str">
        <x:v>Split Guard</x:v>
      </x:c>
      <x:c r="Y18" t="str">
        <x:v>Layered Bastion</x:v>
      </x:c>
      <x:c r="Z18" t="str">
        <x:v>Split Guard</x:v>
      </x:c>
      <x:c r="AA18" t="n">
        <x:v>2</x:v>
      </x:c>
      <x:c r="AB18" t="n">
        <x:v>1</x:v>
      </x:c>
      <x:c r="AC18" t="str">
        <x:v>Restore 5 to whichever protection pool is currently lower.</x:v>
      </x:c>
    </x:row>
    <x:row r="19">
      <x:c r="A19" t="str">
        <x:v>SHD-015</x:v>
      </x:c>
      <x:c r="B19" t="str">
        <x:v>Tempered Layered Scale Shield</x:v>
      </x:c>
      <x:c r="C19" t="str">
        <x:v>Blue</x:v>
      </x:c>
      <x:c r="D19" t="str">
        <x:v>Layered Scale</x:v>
      </x:c>
      <x:c r="E19" t="str">
        <x:v>Shield</x:v>
      </x:c>
      <x:c r="F19" t="str">
        <x:v>Medium</x:v>
      </x:c>
      <x:c r="G19" t="str">
        <x:v>Generalist, Inquisitor, Bard</x:v>
      </x:c>
      <x:c r="H19" t="n">
        <x:v>3</x:v>
      </x:c>
      <x:c r="I19" t="n">
        <x:v>3</x:v>
      </x:c>
      <x:c r="J19" t="n">
        <x:v>2</x:v>
      </x:c>
      <x:c r="K19" t="n">
        <x:v>0</x:v>
      </x:c>
      <x:c r="L19" t="n">
        <x:v>0</x:v>
      </x:c>
      <x:c r="M19" t="n">
        <x:v>1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str">
        <x:v>Begin combat with +2 Maximum Armour and +2 Maximum Magic Armour.</x:v>
      </x:c>
      <x:c r="S19" t="str">
        <x:v>Once per combat when either protection pool is depleted, restore 1 to both pools.</x:v>
      </x:c>
      <x:c r="T19" t="str">
        <x:v>Ember; Frost; Storm; Venom; Blood; Lunar; Solar</x:v>
      </x:c>
      <x:c r="U19" t="str">
        <x:v>Balanced physical and magical protection.</x:v>
      </x:c>
      <x:c r="V19" t="str">
        <x:v>Matching protection blocks its ailments. Restoration: 1-turn cooldown and no overflow. Fortify/Ward: heal and overflow with 2-turn cooldown. Dual Bastion/Aegis: 3-turn cooldown.</x:v>
      </x:c>
      <x:c r="W19" t="str">
        <x:v>Active</x:v>
      </x:c>
      <x:c r="X19" t="str">
        <x:v>Split Guard</x:v>
      </x:c>
      <x:c r="Y19" t="str">
        <x:v>Layered Bastion</x:v>
      </x:c>
      <x:c r="Z19" t="str">
        <x:v>Split Guard</x:v>
      </x:c>
      <x:c r="AA19" t="n">
        <x:v>2</x:v>
      </x:c>
      <x:c r="AB19" t="n">
        <x:v>1</x:v>
      </x:c>
      <x:c r="AC19" t="str">
        <x:v>Restore 5 to whichever protection pool is currently lower.</x:v>
      </x:c>
    </x:row>
    <x:row r="20">
      <x:c r="A20" t="str">
        <x:v>SHD-016</x:v>
      </x:c>
      <x:c r="B20" t="str">
        <x:v>Masterwork Layered Scale Shield</x:v>
      </x:c>
      <x:c r="C20" t="str">
        <x:v>Purple</x:v>
      </x:c>
      <x:c r="D20" t="str">
        <x:v>Layered Scale</x:v>
      </x:c>
      <x:c r="E20" t="str">
        <x:v>Shield</x:v>
      </x:c>
      <x:c r="F20" t="str">
        <x:v>Medium</x:v>
      </x:c>
      <x:c r="G20" t="str">
        <x:v>Generalist, Inquisitor, Bard</x:v>
      </x:c>
      <x:c r="H20" t="n">
        <x:v>4</x:v>
      </x:c>
      <x:c r="I20" t="n">
        <x:v>4</x:v>
      </x:c>
      <x:c r="J20" t="n">
        <x:v>3</x:v>
      </x:c>
      <x:c r="K20" t="n">
        <x:v>0</x:v>
      </x:c>
      <x:c r="L20" t="n">
        <x:v>0</x:v>
      </x:c>
      <x:c r="M20" t="n">
        <x:v>1</x:v>
      </x:c>
      <x:c r="N20" t="n">
        <x:v>0</x:v>
      </x:c>
      <x:c r="O20" t="n">
        <x:v>1</x:v>
      </x:c>
      <x:c r="P20" t="n">
        <x:v>0</x:v>
      </x:c>
      <x:c r="Q20" t="n">
        <x:v>0</x:v>
      </x:c>
      <x:c r="R20" t="str">
        <x:v>Begin combat with +2 Maximum Armour and +2 Maximum Magic Armour.</x:v>
      </x:c>
      <x:c r="S20" t="str">
        <x:v>Once per combat when either protection pool is depleted, restore 1 to both pools.</x:v>
      </x:c>
      <x:c r="T20" t="str">
        <x:v>Ember; Frost; Storm; Venom; Blood; Lunar; Solar</x:v>
      </x:c>
      <x:c r="U20" t="str">
        <x:v>Balanced physical and magical protection.</x:v>
      </x:c>
      <x:c r="V20" t="str">
        <x:v>Matching protection blocks its ailments. Restoration: 1-turn cooldown and no overflow. Fortify/Ward: heal and overflow with 2-turn cooldown. Dual Bastion/Aegis: 3-turn cooldown.</x:v>
      </x:c>
      <x:c r="W20" t="str">
        <x:v>Active</x:v>
      </x:c>
      <x:c r="X20" t="str">
        <x:v>Split Guard</x:v>
      </x:c>
      <x:c r="Y20" t="str">
        <x:v>Layered Bastion</x:v>
      </x:c>
      <x:c r="Z20" t="str">
        <x:v>Layered Bastion</x:v>
      </x:c>
      <x:c r="AA20" t="n">
        <x:v>3</x:v>
      </x:c>
      <x:c r="AB20" t="n">
        <x:v>3</x:v>
      </x:c>
      <x:c r="AC20" t="str">
        <x:v>Gain 6 Fortified Armour (add 6 to current Armour and temporary Maximum Armour) and 6 Ward Magic Armour (add 6 to current Magic Armour and temporary Maximum Magic Armour) for 2 turns.</x:v>
      </x:c>
    </x:row>
    <x:row r="21">
      <x:c r="A21" t="str">
        <x:v>SHD-017</x:v>
      </x:c>
      <x:c r="B21" t="str">
        <x:v>Regal Layered Scale Shield</x:v>
      </x:c>
      <x:c r="C21" t="str">
        <x:v>Gold</x:v>
      </x:c>
      <x:c r="D21" t="str">
        <x:v>Layered Scale</x:v>
      </x:c>
      <x:c r="E21" t="str">
        <x:v>Shield</x:v>
      </x:c>
      <x:c r="F21" t="str">
        <x:v>Medium</x:v>
      </x:c>
      <x:c r="G21" t="str">
        <x:v>Generalist, Inquisitor, Bard</x:v>
      </x:c>
      <x:c r="H21" t="n">
        <x:v>6</x:v>
      </x:c>
      <x:c r="I21" t="n">
        <x:v>6</x:v>
      </x:c>
      <x:c r="J21" t="n">
        <x:v>4</x:v>
      </x:c>
      <x:c r="K21" t="n">
        <x:v>0</x:v>
      </x:c>
      <x:c r="L21" t="n">
        <x:v>0</x:v>
      </x:c>
      <x:c r="M21" t="n">
        <x:v>2</x:v>
      </x:c>
      <x:c r="N21" t="n">
        <x:v>0</x:v>
      </x:c>
      <x:c r="O21" t="n">
        <x:v>1</x:v>
      </x:c>
      <x:c r="P21" t="n">
        <x:v>0</x:v>
      </x:c>
      <x:c r="Q21" t="n">
        <x:v>0</x:v>
      </x:c>
      <x:c r="R21" t="str">
        <x:v>Begin combat with +3 Maximum Armour and +3 Maximum Magic Armour.</x:v>
      </x:c>
      <x:c r="S21" t="str">
        <x:v>Once per combat when either protection pool is depleted, restore 2 to both pools.</x:v>
      </x:c>
      <x:c r="T21" t="str">
        <x:v>Ember; Frost; Storm; Venom; Blood; Lunar; Solar</x:v>
      </x:c>
      <x:c r="U21" t="str">
        <x:v>Balanced physical and magical protection.</x:v>
      </x:c>
      <x:c r="V21" t="str">
        <x:v>Matching protection blocks its ailments. Restoration: 1-turn cooldown and no overflow. Fortify/Ward: heal and overflow with 2-turn cooldown. Dual Bastion/Aegis: 3-turn cooldown.</x:v>
      </x:c>
      <x:c r="W21" t="str">
        <x:v>Active</x:v>
      </x:c>
      <x:c r="X21" t="str">
        <x:v>Split Guard</x:v>
      </x:c>
      <x:c r="Y21" t="str">
        <x:v>Layered Bastion</x:v>
      </x:c>
      <x:c r="Z21" t="str">
        <x:v>Layered Bastion</x:v>
      </x:c>
      <x:c r="AA21" t="n">
        <x:v>3</x:v>
      </x:c>
      <x:c r="AB21" t="n">
        <x:v>3</x:v>
      </x:c>
      <x:c r="AC21" t="str">
        <x:v>Gain 6 Fortified Armour (add 6 to current Armour and temporary Maximum Armour) and 6 Ward Magic Armour (add 6 to current Magic Armour and temporary Maximum Magic Armour) for 2 turns.</x:v>
      </x:c>
    </x:row>
    <x:row r="22">
      <x:c r="A22" t="str">
        <x:v>SHD-018</x:v>
      </x:c>
      <x:c r="B22" t="str">
        <x:v>Mythic Layered Scale Shield</x:v>
      </x:c>
      <x:c r="C22" t="str">
        <x:v>Orange</x:v>
      </x:c>
      <x:c r="D22" t="str">
        <x:v>Layered Scale</x:v>
      </x:c>
      <x:c r="E22" t="str">
        <x:v>Shield</x:v>
      </x:c>
      <x:c r="F22" t="str">
        <x:v>Medium</x:v>
      </x:c>
      <x:c r="G22" t="str">
        <x:v>Generalist, Inquisitor, Bard</x:v>
      </x:c>
      <x:c r="H22" t="n">
        <x:v>8</x:v>
      </x:c>
      <x:c r="I22" t="n">
        <x:v>8</x:v>
      </x:c>
      <x:c r="J22" t="n">
        <x:v>5</x:v>
      </x:c>
      <x:c r="K22" t="n">
        <x:v>0</x:v>
      </x:c>
      <x:c r="L22" t="n">
        <x:v>0</x:v>
      </x:c>
      <x:c r="M22" t="n">
        <x:v>2</x:v>
      </x:c>
      <x:c r="N22" t="n">
        <x:v>0</x:v>
      </x:c>
      <x:c r="O22" t="n">
        <x:v>2</x:v>
      </x:c>
      <x:c r="P22" t="n">
        <x:v>0</x:v>
      </x:c>
      <x:c r="Q22" t="n">
        <x:v>0</x:v>
      </x:c>
      <x:c r="R22" t="str">
        <x:v>Begin combat with +4 Maximum Armour and +4 Maximum Magic Armour.</x:v>
      </x:c>
      <x:c r="S22" t="str">
        <x:v>Once per combat when either protection pool is depleted, restore 2 to both pools.</x:v>
      </x:c>
      <x:c r="T22" t="str">
        <x:v>Ember; Frost; Storm; Venom; Blood; Lunar; Solar</x:v>
      </x:c>
      <x:c r="U22" t="str">
        <x:v>Balanced physical and magical protection.</x:v>
      </x:c>
      <x:c r="V22" t="str">
        <x:v>Matching protection blocks its ailments. Restoration: 1-turn cooldown and no overflow. Fortify/Ward: heal and overflow with 2-turn cooldown. Dual Bastion/Aegis: 3-turn cooldown.</x:v>
      </x:c>
      <x:c r="W22" t="str">
        <x:v>Active</x:v>
      </x:c>
      <x:c r="X22" t="str">
        <x:v>Split Guard</x:v>
      </x:c>
      <x:c r="Y22" t="str">
        <x:v>Layered Bastion</x:v>
      </x:c>
      <x:c r="Z22" t="str">
        <x:v>Layered Bastion</x:v>
      </x:c>
      <x:c r="AA22" t="n">
        <x:v>3</x:v>
      </x:c>
      <x:c r="AB22" t="n">
        <x:v>3</x:v>
      </x:c>
      <x:c r="AC22" t="str">
        <x:v>Gain 6 Fortified Armour (add 6 to current Armour and temporary Maximum Armour) and 6 Ward Magic Armour (add 6 to current Magic Armour and temporary Maximum Magic Armour) for 2 turns.</x:v>
      </x:c>
    </x:row>
    <x:row r="23">
      <x:c r="A23" t="str">
        <x:v>SHD-019</x:v>
      </x:c>
      <x:c r="B23" t="str">
        <x:v>Featherwood Buckler</x:v>
      </x:c>
      <x:c r="C23" t="str">
        <x:v>Grey</x:v>
      </x:c>
      <x:c r="D23" t="str">
        <x:v>Shadowplume</x:v>
      </x:c>
      <x:c r="E23" t="str">
        <x:v>Shield</x:v>
      </x:c>
      <x:c r="F23" t="str">
        <x:v>Light</x:v>
      </x:c>
      <x:c r="G23" t="str">
        <x:v>Rogue, Dexterity Bard, bow user</x:v>
      </x:c>
      <x:c r="H23" t="n">
        <x:v>1</x:v>
      </x:c>
      <x:c r="I23" t="n">
        <x:v>1</x:v>
      </x:c>
      <x:c r="J23" t="n">
        <x:v>0</x:v>
      </x:c>
      <x:c r="K23" t="n">
        <x:v>0</x:v>
      </x:c>
      <x:c r="L23" t="n">
        <x:v>1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str">
        <x:v>While both protection pools remain above zero, gain +2 Agility.</x:v>
      </x:c>
      <x:c r="S23" t="str">
        <x:v>First successful Dodge each combat restores 1 to the lower protection pool.</x:v>
      </x:c>
      <x:c r="T23" t="str">
        <x:v>Ember; Frost; Storm; Venom; Blood; Lunar; Solar</x:v>
      </x:c>
      <x:c r="U23" t="str">
        <x:v>Light finesse and mobility equipment.</x:v>
      </x:c>
      <x:c r="V23" t="str">
        <x:v>Matching protection blocks its ailments. Restoration: 1-turn cooldown and no overflow. Fortify/Ward: heal and overflow with 2-turn cooldown. Dual Bastion/Aegis: 3-turn cooldown.</x:v>
      </x:c>
      <x:c r="W23" t="str">
        <x:v>Active</x:v>
      </x:c>
      <x:c r="X23" t="str">
        <x:v>Buckler Shift</x:v>
      </x:c>
      <x:c r="Y23" t="str">
        <x:v>Featherwood Deflection</x:v>
      </x:c>
      <x:c r="Z23" t="str">
        <x:v>None</x:v>
      </x:c>
      <x:c r="AA23" t="n">
        <x:v>0</x:v>
      </x:c>
      <x:c r="AB23" t="n">
        <x:v>0</x:v>
      </x:c>
      <x:c r="AC23" t="str">
        <x:v>No granted equipment skill at Grey rarity.</x:v>
      </x:c>
    </x:row>
    <x:row r="24">
      <x:c r="A24" t="str">
        <x:v>SHD-020</x:v>
      </x:c>
      <x:c r="B24" t="str">
        <x:v>Sturdy Featherwood Buckler</x:v>
      </x:c>
      <x:c r="C24" t="str">
        <x:v>Green</x:v>
      </x:c>
      <x:c r="D24" t="str">
        <x:v>Shadowplume</x:v>
      </x:c>
      <x:c r="E24" t="str">
        <x:v>Shield</x:v>
      </x:c>
      <x:c r="F24" t="str">
        <x:v>Light</x:v>
      </x:c>
      <x:c r="G24" t="str">
        <x:v>Rogue, Dexterity Bard, bow user</x:v>
      </x:c>
      <x:c r="H24" t="n">
        <x:v>1</x:v>
      </x:c>
      <x:c r="I24" t="n">
        <x:v>2</x:v>
      </x:c>
      <x:c r="J24" t="n">
        <x:v>0</x:v>
      </x:c>
      <x:c r="K24" t="n">
        <x:v>0</x:v>
      </x:c>
      <x:c r="L24" t="n">
        <x:v>1</x:v>
      </x:c>
      <x:c r="M24" t="n">
        <x:v>0</x:v>
      </x:c>
      <x:c r="N24" t="n">
        <x:v>0</x:v>
      </x:c>
      <x:c r="O24" t="n">
        <x:v>0</x:v>
      </x:c>
      <x:c r="P24" t="n">
        <x:v>1</x:v>
      </x:c>
      <x:c r="Q24" t="n">
        <x:v>0</x:v>
      </x:c>
      <x:c r="R24" t="str">
        <x:v>While both protection pools remain above zero, gain +2 Agility.</x:v>
      </x:c>
      <x:c r="S24" t="str">
        <x:v>First successful Dodge each combat restores 1 to the lower protection pool.</x:v>
      </x:c>
      <x:c r="T24" t="str">
        <x:v>Ember; Frost; Storm; Venom; Blood; Lunar; Solar</x:v>
      </x:c>
      <x:c r="U24" t="str">
        <x:v>Light finesse and mobility equipment.</x:v>
      </x:c>
      <x:c r="V24" t="str">
        <x:v>Matching protection blocks its ailments. Restoration: 1-turn cooldown and no overflow. Fortify/Ward: heal and overflow with 2-turn cooldown. Dual Bastion/Aegis: 3-turn cooldown.</x:v>
      </x:c>
      <x:c r="W24" t="str">
        <x:v>Active</x:v>
      </x:c>
      <x:c r="X24" t="str">
        <x:v>Buckler Shift</x:v>
      </x:c>
      <x:c r="Y24" t="str">
        <x:v>Featherwood Deflection</x:v>
      </x:c>
      <x:c r="Z24" t="str">
        <x:v>Buckler Shift</x:v>
      </x:c>
      <x:c r="AA24" t="n">
        <x:v>2</x:v>
      </x:c>
      <x:c r="AB24" t="n">
        <x:v>1</x:v>
      </x:c>
      <x:c r="AC24" t="str">
        <x:v>Restore 3 to the lower protection pool, gain Minor Agility Up for 1 turn, and remove 1 Crippled stack. Does not remove Immobilised.</x:v>
      </x:c>
    </x:row>
    <x:row r="25">
      <x:c r="A25" t="str">
        <x:v>SHD-021</x:v>
      </x:c>
      <x:c r="B25" t="str">
        <x:v>Tempered Featherwood Buckler</x:v>
      </x:c>
      <x:c r="C25" t="str">
        <x:v>Blue</x:v>
      </x:c>
      <x:c r="D25" t="str">
        <x:v>Shadowplume</x:v>
      </x:c>
      <x:c r="E25" t="str">
        <x:v>Shield</x:v>
      </x:c>
      <x:c r="F25" t="str">
        <x:v>Light</x:v>
      </x:c>
      <x:c r="G25" t="str">
        <x:v>Rogue, Dexterity Bard, bow user</x:v>
      </x:c>
      <x:c r="H25" t="n">
        <x:v>2</x:v>
      </x:c>
      <x:c r="I25" t="n">
        <x:v>3</x:v>
      </x:c>
      <x:c r="J25" t="n">
        <x:v>0</x:v>
      </x:c>
      <x:c r="K25" t="n">
        <x:v>0</x:v>
      </x:c>
      <x:c r="L25" t="n">
        <x:v>2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0</x:v>
      </x:c>
      <x:c r="R25" t="str">
        <x:v>While both protection pools remain above zero, gain +3 Agility.</x:v>
      </x:c>
      <x:c r="S25" t="str">
        <x:v>First successful Dodge each combat restores 1 to the lower protection pool.</x:v>
      </x:c>
      <x:c r="T25" t="str">
        <x:v>Ember; Frost; Storm; Venom; Blood; Lunar; Solar</x:v>
      </x:c>
      <x:c r="U25" t="str">
        <x:v>Light finesse and mobility equipment.</x:v>
      </x:c>
      <x:c r="V25" t="str">
        <x:v>Matching protection blocks its ailments. Restoration: 1-turn cooldown and no overflow. Fortify/Ward: heal and overflow with 2-turn cooldown. Dual Bastion/Aegis: 3-turn cooldown.</x:v>
      </x:c>
      <x:c r="W25" t="str">
        <x:v>Active</x:v>
      </x:c>
      <x:c r="X25" t="str">
        <x:v>Buckler Shift</x:v>
      </x:c>
      <x:c r="Y25" t="str">
        <x:v>Featherwood Deflection</x:v>
      </x:c>
      <x:c r="Z25" t="str">
        <x:v>Buckler Shift</x:v>
      </x:c>
      <x:c r="AA25" t="n">
        <x:v>2</x:v>
      </x:c>
      <x:c r="AB25" t="n">
        <x:v>1</x:v>
      </x:c>
      <x:c r="AC25" t="str">
        <x:v>Restore 3 to the lower protection pool, gain Minor Agility Up for 1 turn, and remove 1 Crippled stack. Does not remove Immobilised.</x:v>
      </x:c>
    </x:row>
    <x:row r="26">
      <x:c r="A26" t="str">
        <x:v>SHD-022</x:v>
      </x:c>
      <x:c r="B26" t="str">
        <x:v>Masterwork Featherwood Buckler</x:v>
      </x:c>
      <x:c r="C26" t="str">
        <x:v>Purple</x:v>
      </x:c>
      <x:c r="D26" t="str">
        <x:v>Shadowplume</x:v>
      </x:c>
      <x:c r="E26" t="str">
        <x:v>Shield</x:v>
      </x:c>
      <x:c r="F26" t="str">
        <x:v>Light</x:v>
      </x:c>
      <x:c r="G26" t="str">
        <x:v>Rogue, Dexterity Bard, bow user</x:v>
      </x:c>
      <x:c r="H26" t="n">
        <x:v>2</x:v>
      </x:c>
      <x:c r="I26" t="n">
        <x:v>4</x:v>
      </x:c>
      <x:c r="J26" t="n">
        <x:v>0</x:v>
      </x:c>
      <x:c r="K26" t="n">
        <x:v>0</x:v>
      </x:c>
      <x:c r="L26" t="n">
        <x:v>3</x:v>
      </x:c>
      <x:c r="M26" t="n">
        <x:v>0</x:v>
      </x:c>
      <x:c r="N26" t="n">
        <x:v>0</x:v>
      </x:c>
      <x:c r="O26" t="n">
        <x:v>1</x:v>
      </x:c>
      <x:c r="P26" t="n">
        <x:v>1</x:v>
      </x:c>
      <x:c r="Q26" t="n">
        <x:v>0</x:v>
      </x:c>
      <x:c r="R26" t="str">
        <x:v>While both protection pools remain above zero, gain +3 Agility.</x:v>
      </x:c>
      <x:c r="S26" t="str">
        <x:v>First successful Dodge each combat restores 1 to the lower protection pool.</x:v>
      </x:c>
      <x:c r="T26" t="str">
        <x:v>Ember; Frost; Storm; Venom; Blood; Lunar; Solar</x:v>
      </x:c>
      <x:c r="U26" t="str">
        <x:v>Light finesse and mobility equipment.</x:v>
      </x:c>
      <x:c r="V26" t="str">
        <x:v>Matching protection blocks its ailments. Restoration: 1-turn cooldown and no overflow. Fortify/Ward: heal and overflow with 2-turn cooldown. Dual Bastion/Aegis: 3-turn cooldown.</x:v>
      </x:c>
      <x:c r="W26" t="str">
        <x:v>Active</x:v>
      </x:c>
      <x:c r="X26" t="str">
        <x:v>Buckler Shift</x:v>
      </x:c>
      <x:c r="Y26" t="str">
        <x:v>Featherwood Deflection</x:v>
      </x:c>
      <x:c r="Z26" t="str">
        <x:v>Featherwood Deflection</x:v>
      </x:c>
      <x:c r="AA26" t="n">
        <x:v>3</x:v>
      </x:c>
      <x:c r="AB26" t="n">
        <x:v>3</x:v>
      </x:c>
      <x:c r="AC26" t="str">
        <x:v>Gain 5 Fortified Armour (add 5 to current Armour and temporary Maximum Armour) and 5 Ward Magic Armour (add 5 to current Magic Armour and temporary Maximum Magic Armour) for 1 turn.</x:v>
      </x:c>
    </x:row>
    <x:row r="27">
      <x:c r="A27" t="str">
        <x:v>SHD-023</x:v>
      </x:c>
      <x:c r="B27" t="str">
        <x:v>Regal Featherwood Buckler</x:v>
      </x:c>
      <x:c r="C27" t="str">
        <x:v>Gold</x:v>
      </x:c>
      <x:c r="D27" t="str">
        <x:v>Shadowplume</x:v>
      </x:c>
      <x:c r="E27" t="str">
        <x:v>Shield</x:v>
      </x:c>
      <x:c r="F27" t="str">
        <x:v>Light</x:v>
      </x:c>
      <x:c r="G27" t="str">
        <x:v>Rogue, Dexterity Bard, bow user</x:v>
      </x:c>
      <x:c r="H27" t="n">
        <x:v>4</x:v>
      </x:c>
      <x:c r="I27" t="n">
        <x:v>6</x:v>
      </x:c>
      <x:c r="J27" t="n">
        <x:v>0</x:v>
      </x:c>
      <x:c r="K27" t="n">
        <x:v>0</x:v>
      </x:c>
      <x:c r="L27" t="n">
        <x:v>4</x:v>
      </x:c>
      <x:c r="M27" t="n">
        <x:v>0</x:v>
      </x:c>
      <x:c r="N27" t="n">
        <x:v>0</x:v>
      </x:c>
      <x:c r="O27" t="n">
        <x:v>1</x:v>
      </x:c>
      <x:c r="P27" t="n">
        <x:v>2</x:v>
      </x:c>
      <x:c r="Q27" t="n">
        <x:v>0</x:v>
      </x:c>
      <x:c r="R27" t="str">
        <x:v>While both protection pools remain above zero, gain +4 Agility.</x:v>
      </x:c>
      <x:c r="S27" t="str">
        <x:v>First successful Dodge each combat restores 2 to the lower protection pool.</x:v>
      </x:c>
      <x:c r="T27" t="str">
        <x:v>Ember; Frost; Storm; Venom; Blood; Lunar; Solar</x:v>
      </x:c>
      <x:c r="U27" t="str">
        <x:v>Light finesse and mobility equipment.</x:v>
      </x:c>
      <x:c r="V27" t="str">
        <x:v>Matching protection blocks its ailments. Restoration: 1-turn cooldown and no overflow. Fortify/Ward: heal and overflow with 2-turn cooldown. Dual Bastion/Aegis: 3-turn cooldown.</x:v>
      </x:c>
      <x:c r="W27" t="str">
        <x:v>Active</x:v>
      </x:c>
      <x:c r="X27" t="str">
        <x:v>Buckler Shift</x:v>
      </x:c>
      <x:c r="Y27" t="str">
        <x:v>Featherwood Deflection</x:v>
      </x:c>
      <x:c r="Z27" t="str">
        <x:v>Featherwood Deflection</x:v>
      </x:c>
      <x:c r="AA27" t="n">
        <x:v>3</x:v>
      </x:c>
      <x:c r="AB27" t="n">
        <x:v>3</x:v>
      </x:c>
      <x:c r="AC27" t="str">
        <x:v>Gain 5 Fortified Armour (add 5 to current Armour and temporary Maximum Armour) and 5 Ward Magic Armour (add 5 to current Magic Armour and temporary Maximum Magic Armour) for 1 turn.</x:v>
      </x:c>
    </x:row>
    <x:row r="28">
      <x:c r="A28" t="str">
        <x:v>SHD-024</x:v>
      </x:c>
      <x:c r="B28" t="str">
        <x:v>Mythic Featherwood Buckler</x:v>
      </x:c>
      <x:c r="C28" t="str">
        <x:v>Orange</x:v>
      </x:c>
      <x:c r="D28" t="str">
        <x:v>Shadowplume</x:v>
      </x:c>
      <x:c r="E28" t="str">
        <x:v>Shield</x:v>
      </x:c>
      <x:c r="F28" t="str">
        <x:v>Light</x:v>
      </x:c>
      <x:c r="G28" t="str">
        <x:v>Rogue, Dexterity Bard, bow user</x:v>
      </x:c>
      <x:c r="H28" t="n">
        <x:v>5</x:v>
      </x:c>
      <x:c r="I28" t="n">
        <x:v>8</x:v>
      </x:c>
      <x:c r="J28" t="n">
        <x:v>0</x:v>
      </x:c>
      <x:c r="K28" t="n">
        <x:v>0</x:v>
      </x:c>
      <x:c r="L28" t="n">
        <x:v>5</x:v>
      </x:c>
      <x:c r="M28" t="n">
        <x:v>0</x:v>
      </x:c>
      <x:c r="N28" t="n">
        <x:v>0</x:v>
      </x:c>
      <x:c r="O28" t="n">
        <x:v>2</x:v>
      </x:c>
      <x:c r="P28" t="n">
        <x:v>2</x:v>
      </x:c>
      <x:c r="Q28" t="n">
        <x:v>0</x:v>
      </x:c>
      <x:c r="R28" t="str">
        <x:v>While both protection pools remain above zero, gain +5 Agility.</x:v>
      </x:c>
      <x:c r="S28" t="str">
        <x:v>First successful Dodge each combat restores 2 to the lower protection pool.</x:v>
      </x:c>
      <x:c r="T28" t="str">
        <x:v>Ember; Frost; Storm; Venom; Blood; Lunar; Solar</x:v>
      </x:c>
      <x:c r="U28" t="str">
        <x:v>Light finesse and mobility equipment.</x:v>
      </x:c>
      <x:c r="V28" t="str">
        <x:v>Matching protection blocks its ailments. Restoration: 1-turn cooldown and no overflow. Fortify/Ward: heal and overflow with 2-turn cooldown. Dual Bastion/Aegis: 3-turn cooldown.</x:v>
      </x:c>
      <x:c r="W28" t="str">
        <x:v>Active</x:v>
      </x:c>
      <x:c r="X28" t="str">
        <x:v>Buckler Shift</x:v>
      </x:c>
      <x:c r="Y28" t="str">
        <x:v>Featherwood Deflection</x:v>
      </x:c>
      <x:c r="Z28" t="str">
        <x:v>Featherwood Deflection</x:v>
      </x:c>
      <x:c r="AA28" t="n">
        <x:v>3</x:v>
      </x:c>
      <x:c r="AB28" t="n">
        <x:v>3</x:v>
      </x:c>
      <x:c r="AC28" t="str">
        <x:v>Gain 5 Fortified Armour (add 5 to current Armour and temporary Maximum Armour) and 5 Ward Magic Armour (add 5 to current Magic Armour and temporary Maximum Magic Armour) for 1 turn.</x:v>
      </x:c>
    </x:row>
    <x:row r="29">
      <x:c r="A29" t="str">
        <x:v>SHD-025</x:v>
      </x:c>
      <x:c r="B29" t="str">
        <x:v>Bonecrest War Shield</x:v>
      </x:c>
      <x:c r="C29" t="str">
        <x:v>Grey</x:v>
      </x:c>
      <x:c r="D29" t="str">
        <x:v>Bonecrest Warplate</x:v>
      </x:c>
      <x:c r="E29" t="str">
        <x:v>Shield</x:v>
      </x:c>
      <x:c r="F29" t="str">
        <x:v>Medium</x:v>
      </x:c>
      <x:c r="G29" t="str">
        <x:v>Brute, offensive Knight, Might Inquisitor</x:v>
      </x:c>
      <x:c r="H29" t="n">
        <x:v>3</x:v>
      </x:c>
      <x:c r="I29" t="n">
        <x:v>0</x:v>
      </x:c>
      <x:c r="J29" t="n">
        <x:v>0</x:v>
      </x:c>
      <x:c r="K29" t="n">
        <x:v>1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str">
        <x:v>While Armour remains, gain +2 Might.</x:v>
      </x:c>
      <x:c r="S29" t="str">
        <x:v>First physical attack that breaks enemy Armour each combat gains +10 Skill Power.</x:v>
      </x:c>
      <x:c r="T29" t="str">
        <x:v>Ember; Frost; Storm; Venom; Blood; Lunar; Solar</x:v>
      </x:c>
      <x:c r="U29" t="str">
        <x:v>Aggressive physical armour and Armour-break synergy.</x:v>
      </x:c>
      <x:c r="V29" t="str">
        <x:v>Matching protection blocks its ailments. Restoration: 1-turn cooldown and no overflow. Fortify/Ward: heal and overflow with 2-turn cooldown. Dual Bastion/Aegis: 3-turn cooldown.</x:v>
      </x:c>
      <x:c r="W29" t="str">
        <x:v>Active</x:v>
      </x:c>
      <x:c r="X29" t="str">
        <x:v>Offensive Guard</x:v>
      </x:c>
      <x:c r="Y29" t="str">
        <x:v>Bonewall Rush</x:v>
      </x:c>
      <x:c r="Z29" t="str">
        <x:v>None</x:v>
      </x:c>
      <x:c r="AA29" t="n">
        <x:v>0</x:v>
      </x:c>
      <x:c r="AB29" t="n">
        <x:v>0</x:v>
      </x:c>
      <x:c r="AC29" t="str">
        <x:v>No granted equipment skill at Grey rarity.</x:v>
      </x:c>
    </x:row>
    <x:row r="30">
      <x:c r="A30" t="str">
        <x:v>SHD-026</x:v>
      </x:c>
      <x:c r="B30" t="str">
        <x:v>Sturdy Bonecrest War Shield</x:v>
      </x:c>
      <x:c r="C30" t="str">
        <x:v>Green</x:v>
      </x:c>
      <x:c r="D30" t="str">
        <x:v>Bonecrest Warplate</x:v>
      </x:c>
      <x:c r="E30" t="str">
        <x:v>Shield</x:v>
      </x:c>
      <x:c r="F30" t="str">
        <x:v>Medium</x:v>
      </x:c>
      <x:c r="G30" t="str">
        <x:v>Brute, offensive Knight, Might Inquisitor</x:v>
      </x:c>
      <x:c r="H30" t="n">
        <x:v>3</x:v>
      </x:c>
      <x:c r="I30" t="n">
        <x:v>1</x:v>
      </x:c>
      <x:c r="J30" t="n">
        <x:v>0</x:v>
      </x:c>
      <x:c r="K30" t="n">
        <x:v>1</x:v>
      </x:c>
      <x:c r="L30" t="n">
        <x:v>0</x:v>
      </x:c>
      <x:c r="M30" t="n">
        <x:v>1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str">
        <x:v>While Armour remains, gain +2 Might.</x:v>
      </x:c>
      <x:c r="S30" t="str">
        <x:v>First physical attack that breaks enemy Armour each combat gains +10 Skill Power.</x:v>
      </x:c>
      <x:c r="T30" t="str">
        <x:v>Ember; Frost; Storm; Venom; Blood; Lunar; Solar</x:v>
      </x:c>
      <x:c r="U30" t="str">
        <x:v>Aggressive physical armour and Armour-break synergy.</x:v>
      </x:c>
      <x:c r="V30" t="str">
        <x:v>Matching protection blocks its ailments. Restoration: 1-turn cooldown and no overflow. Fortify/Ward: heal and overflow with 2-turn cooldown. Dual Bastion/Aegis: 3-turn cooldown.</x:v>
      </x:c>
      <x:c r="W30" t="str">
        <x:v>Active</x:v>
      </x:c>
      <x:c r="X30" t="str">
        <x:v>Offensive Guard</x:v>
      </x:c>
      <x:c r="Y30" t="str">
        <x:v>Bonewall Rush</x:v>
      </x:c>
      <x:c r="Z30" t="str">
        <x:v>Offensive Guard</x:v>
      </x:c>
      <x:c r="AA30" t="n">
        <x:v>2</x:v>
      </x:c>
      <x:c r="AB30" t="n">
        <x:v>1</x:v>
      </x:c>
      <x:c r="AC30" t="str">
        <x:v>Restore 4 Armour. The next Strength skill before the end of the turn gains +10 Skill Power.</x:v>
      </x:c>
    </x:row>
    <x:row r="31">
      <x:c r="A31" t="str">
        <x:v>SHD-027</x:v>
      </x:c>
      <x:c r="B31" t="str">
        <x:v>Tempered Bonecrest War Shield</x:v>
      </x:c>
      <x:c r="C31" t="str">
        <x:v>Blue</x:v>
      </x:c>
      <x:c r="D31" t="str">
        <x:v>Bonecrest Warplate</x:v>
      </x:c>
      <x:c r="E31" t="str">
        <x:v>Shield</x:v>
      </x:c>
      <x:c r="F31" t="str">
        <x:v>Medium</x:v>
      </x:c>
      <x:c r="G31" t="str">
        <x:v>Brute, offensive Knight, Might Inquisitor</x:v>
      </x:c>
      <x:c r="H31" t="n">
        <x:v>5</x:v>
      </x:c>
      <x:c r="I31" t="n">
        <x:v>1</x:v>
      </x:c>
      <x:c r="J31" t="n">
        <x:v>0</x:v>
      </x:c>
      <x:c r="K31" t="n">
        <x:v>2</x:v>
      </x:c>
      <x:c r="L31" t="n">
        <x:v>0</x:v>
      </x:c>
      <x:c r="M31" t="n">
        <x:v>1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str">
        <x:v>While Armour remains, gain +3 Might.</x:v>
      </x:c>
      <x:c r="S31" t="str">
        <x:v>First physical attack that breaks enemy Armour each combat gains +10 Skill Power.</x:v>
      </x:c>
      <x:c r="T31" t="str">
        <x:v>Ember; Frost; Storm; Venom; Blood; Lunar; Solar</x:v>
      </x:c>
      <x:c r="U31" t="str">
        <x:v>Aggressive physical armour and Armour-break synergy.</x:v>
      </x:c>
      <x:c r="V31" t="str">
        <x:v>Matching protection blocks its ailments. Restoration: 1-turn cooldown and no overflow. Fortify/Ward: heal and overflow with 2-turn cooldown. Dual Bastion/Aegis: 3-turn cooldown.</x:v>
      </x:c>
      <x:c r="W31" t="str">
        <x:v>Active</x:v>
      </x:c>
      <x:c r="X31" t="str">
        <x:v>Offensive Guard</x:v>
      </x:c>
      <x:c r="Y31" t="str">
        <x:v>Bonewall Rush</x:v>
      </x:c>
      <x:c r="Z31" t="str">
        <x:v>Offensive Guard</x:v>
      </x:c>
      <x:c r="AA31" t="n">
        <x:v>2</x:v>
      </x:c>
      <x:c r="AB31" t="n">
        <x:v>1</x:v>
      </x:c>
      <x:c r="AC31" t="str">
        <x:v>Restore 4 Armour. The next Strength skill before the end of the turn gains +10 Skill Power.</x:v>
      </x:c>
    </x:row>
    <x:row r="32">
      <x:c r="A32" t="str">
        <x:v>SHD-028</x:v>
      </x:c>
      <x:c r="B32" t="str">
        <x:v>Masterwork Bonecrest War Shield</x:v>
      </x:c>
      <x:c r="C32" t="str">
        <x:v>Purple</x:v>
      </x:c>
      <x:c r="D32" t="str">
        <x:v>Bonecrest Warplate</x:v>
      </x:c>
      <x:c r="E32" t="str">
        <x:v>Shield</x:v>
      </x:c>
      <x:c r="F32" t="str">
        <x:v>Medium</x:v>
      </x:c>
      <x:c r="G32" t="str">
        <x:v>Brute, offensive Knight, Might Inquisitor</x:v>
      </x:c>
      <x:c r="H32" t="n">
        <x:v>6</x:v>
      </x:c>
      <x:c r="I32" t="n">
        <x:v>2</x:v>
      </x:c>
      <x:c r="J32" t="n">
        <x:v>1</x:v>
      </x:c>
      <x:c r="K32" t="n">
        <x:v>3</x:v>
      </x:c>
      <x:c r="L32" t="n">
        <x:v>0</x:v>
      </x:c>
      <x:c r="M32" t="n">
        <x:v>1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str">
        <x:v>While Armour remains, gain +3 Might.</x:v>
      </x:c>
      <x:c r="S32" t="str">
        <x:v>First physical attack that breaks enemy Armour each combat gains +15 Skill Power.</x:v>
      </x:c>
      <x:c r="T32" t="str">
        <x:v>Ember; Frost; Storm; Venom; Blood; Lunar; Solar</x:v>
      </x:c>
      <x:c r="U32" t="str">
        <x:v>Aggressive physical armour and Armour-break synergy.</x:v>
      </x:c>
      <x:c r="V32" t="str">
        <x:v>Matching protection blocks its ailments. Restoration: 1-turn cooldown and no overflow. Fortify/Ward: heal and overflow with 2-turn cooldown. Dual Bastion/Aegis: 3-turn cooldown.</x:v>
      </x:c>
      <x:c r="W32" t="str">
        <x:v>Active</x:v>
      </x:c>
      <x:c r="X32" t="str">
        <x:v>Offensive Guard</x:v>
      </x:c>
      <x:c r="Y32" t="str">
        <x:v>Bonewall Rush</x:v>
      </x:c>
      <x:c r="Z32" t="str">
        <x:v>Bonewall Rush</x:v>
      </x:c>
      <x:c r="AA32" t="n">
        <x:v>3</x:v>
      </x:c>
      <x:c r="AB32" t="n">
        <x:v>2</x:v>
      </x:c>
      <x:c r="AC32" t="str">
        <x:v>Gain 8 Fortified Armour (add 8 to current Armour and temporary Maximum Armour) for 2 turns. The next Strength skill before the end of the next turn gains +10 Skill Power.</x:v>
      </x:c>
    </x:row>
    <x:row r="33">
      <x:c r="A33" t="str">
        <x:v>SHD-029</x:v>
      </x:c>
      <x:c r="B33" t="str">
        <x:v>Regal Bonecrest War Shield</x:v>
      </x:c>
      <x:c r="C33" t="str">
        <x:v>Gold</x:v>
      </x:c>
      <x:c r="D33" t="str">
        <x:v>Bonecrest Warplate</x:v>
      </x:c>
      <x:c r="E33" t="str">
        <x:v>Shield</x:v>
      </x:c>
      <x:c r="F33" t="str">
        <x:v>Medium</x:v>
      </x:c>
      <x:c r="G33" t="str">
        <x:v>Brute, offensive Knight, Might Inquisitor</x:v>
      </x:c>
      <x:c r="H33" t="n">
        <x:v>9</x:v>
      </x:c>
      <x:c r="I33" t="n">
        <x:v>3</x:v>
      </x:c>
      <x:c r="J33" t="n">
        <x:v>1</x:v>
      </x:c>
      <x:c r="K33" t="n">
        <x:v>4</x:v>
      </x:c>
      <x:c r="L33" t="n">
        <x:v>0</x:v>
      </x:c>
      <x:c r="M33" t="n">
        <x:v>2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str">
        <x:v>While Armour remains, gain +4 Might.</x:v>
      </x:c>
      <x:c r="S33" t="str">
        <x:v>First physical attack that breaks enemy Armour each combat gains +20 Skill Power.</x:v>
      </x:c>
      <x:c r="T33" t="str">
        <x:v>Ember; Frost; Storm; Venom; Blood; Lunar; Solar</x:v>
      </x:c>
      <x:c r="U33" t="str">
        <x:v>Aggressive physical armour and Armour-break synergy.</x:v>
      </x:c>
      <x:c r="V33" t="str">
        <x:v>Matching protection blocks its ailments. Restoration: 1-turn cooldown and no overflow. Fortify/Ward: heal and overflow with 2-turn cooldown. Dual Bastion/Aegis: 3-turn cooldown.</x:v>
      </x:c>
      <x:c r="W33" t="str">
        <x:v>Active</x:v>
      </x:c>
      <x:c r="X33" t="str">
        <x:v>Offensive Guard</x:v>
      </x:c>
      <x:c r="Y33" t="str">
        <x:v>Bonewall Rush</x:v>
      </x:c>
      <x:c r="Z33" t="str">
        <x:v>Bonewall Rush</x:v>
      </x:c>
      <x:c r="AA33" t="n">
        <x:v>3</x:v>
      </x:c>
      <x:c r="AB33" t="n">
        <x:v>2</x:v>
      </x:c>
      <x:c r="AC33" t="str">
        <x:v>Gain 8 Fortified Armour (add 8 to current Armour and temporary Maximum Armour) for 2 turns. The next Strength skill before the end of the next turn gains +10 Skill Power.</x:v>
      </x:c>
    </x:row>
    <x:row r="34">
      <x:c r="A34" t="str">
        <x:v>SHD-030</x:v>
      </x:c>
      <x:c r="B34" t="str">
        <x:v>Mythic Bonecrest War Shield</x:v>
      </x:c>
      <x:c r="C34" t="str">
        <x:v>Orange</x:v>
      </x:c>
      <x:c r="D34" t="str">
        <x:v>Bonecrest Warplate</x:v>
      </x:c>
      <x:c r="E34" t="str">
        <x:v>Shield</x:v>
      </x:c>
      <x:c r="F34" t="str">
        <x:v>Medium</x:v>
      </x:c>
      <x:c r="G34" t="str">
        <x:v>Brute, offensive Knight, Might Inquisitor</x:v>
      </x:c>
      <x:c r="H34" t="n">
        <x:v>12</x:v>
      </x:c>
      <x:c r="I34" t="n">
        <x:v>4</x:v>
      </x:c>
      <x:c r="J34" t="n">
        <x:v>2</x:v>
      </x:c>
      <x:c r="K34" t="n">
        <x:v>5</x:v>
      </x:c>
      <x:c r="L34" t="n">
        <x:v>0</x:v>
      </x:c>
      <x:c r="M34" t="n">
        <x:v>2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str">
        <x:v>While Armour remains, gain +5 Might.</x:v>
      </x:c>
      <x:c r="S34" t="str">
        <x:v>First physical attack that breaks enemy Armour each combat gains +20 Skill Power.</x:v>
      </x:c>
      <x:c r="T34" t="str">
        <x:v>Ember; Frost; Storm; Venom; Blood; Lunar; Solar</x:v>
      </x:c>
      <x:c r="U34" t="str">
        <x:v>Aggressive physical armour and Armour-break synergy.</x:v>
      </x:c>
      <x:c r="V34" t="str">
        <x:v>Matching protection blocks its ailments. Restoration: 1-turn cooldown and no overflow. Fortify/Ward: heal and overflow with 2-turn cooldown. Dual Bastion/Aegis: 3-turn cooldown.</x:v>
      </x:c>
      <x:c r="W34" t="str">
        <x:v>Active</x:v>
      </x:c>
      <x:c r="X34" t="str">
        <x:v>Offensive Guard</x:v>
      </x:c>
      <x:c r="Y34" t="str">
        <x:v>Bonewall Rush</x:v>
      </x:c>
      <x:c r="Z34" t="str">
        <x:v>Bonewall Rush</x:v>
      </x:c>
      <x:c r="AA34" t="n">
        <x:v>3</x:v>
      </x:c>
      <x:c r="AB34" t="n">
        <x:v>2</x:v>
      </x:c>
      <x:c r="AC34" t="str">
        <x:v>Gain 8 Fortified Armour (add 8 to current Armour and temporary Maximum Armour) for 2 turns. The next Strength skill before the end of the next turn gains +10 Skill Power.</x:v>
      </x:c>
    </x:row>
    <x:row r="35">
      <x:c r="A35" t="str">
        <x:v>SHD-031</x:v>
      </x:c>
      <x:c r="B35" t="str">
        <x:v>Crystal Wing Ward</x:v>
      </x:c>
      <x:c r="C35" t="str">
        <x:v>Grey</x:v>
      </x:c>
      <x:c r="D35" t="str">
        <x:v>Crystalwind Regalia</x:v>
      </x:c>
      <x:c r="E35" t="str">
        <x:v>Shield</x:v>
      </x:c>
      <x:c r="F35" t="str">
        <x:v>Light</x:v>
      </x:c>
      <x:c r="G35" t="str">
        <x:v>Fast Mage, Siren, magical Bard</x:v>
      </x:c>
      <x:c r="H35" t="n">
        <x:v>0</x:v>
      </x:c>
      <x:c r="I35" t="n">
        <x:v>2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1</x:v>
      </x:c>
      <x:c r="O35" t="n">
        <x:v>0</x:v>
      </x:c>
      <x:c r="P35" t="n">
        <x:v>0</x:v>
      </x:c>
      <x:c r="Q35" t="n">
        <x:v>0</x:v>
      </x:c>
      <x:c r="R35" t="str">
        <x:v>While Magic Armour remains, gain +2 Agility.</x:v>
      </x:c>
      <x:c r="S35" t="str">
        <x:v>First magical attack that breaks enemy Magic Armour grants Minor Focus Up until the end of the next turn.</x:v>
      </x:c>
      <x:c r="T35" t="str">
        <x:v>Ember; Frost; Storm; Venom; Blood; Lunar; Solar</x:v>
      </x:c>
      <x:c r="U35" t="str">
        <x:v>Light magical equipment combining Focus and Agility.</x:v>
      </x:c>
      <x:c r="V35" t="str">
        <x:v>Matching protection blocks its ailments. Restoration: 1-turn cooldown and no overflow. Fortify/Ward: heal and overflow with 2-turn cooldown. Dual Bastion/Aegis: 3-turn cooldown.</x:v>
      </x:c>
      <x:c r="W35" t="str">
        <x:v>Active</x:v>
      </x:c>
      <x:c r="X35" t="str">
        <x:v>Crystal Screen</x:v>
      </x:c>
      <x:c r="Y35" t="str">
        <x:v>Windglass Ward</x:v>
      </x:c>
      <x:c r="Z35" t="str">
        <x:v>None</x:v>
      </x:c>
      <x:c r="AA35" t="n">
        <x:v>0</x:v>
      </x:c>
      <x:c r="AB35" t="n">
        <x:v>0</x:v>
      </x:c>
      <x:c r="AC35" t="str">
        <x:v>No granted equipment skill at Grey rarity.</x:v>
      </x:c>
    </x:row>
    <x:row r="36">
      <x:c r="A36" t="str">
        <x:v>SHD-032</x:v>
      </x:c>
      <x:c r="B36" t="str">
        <x:v>Sturdy Crystal Wing Ward</x:v>
      </x:c>
      <x:c r="C36" t="str">
        <x:v>Green</x:v>
      </x:c>
      <x:c r="D36" t="str">
        <x:v>Crystalwind Regalia</x:v>
      </x:c>
      <x:c r="E36" t="str">
        <x:v>Shield</x:v>
      </x:c>
      <x:c r="F36" t="str">
        <x:v>Light</x:v>
      </x:c>
      <x:c r="G36" t="str">
        <x:v>Fast Mage, Siren, magical Bard</x:v>
      </x:c>
      <x:c r="H36" t="n">
        <x:v>0</x:v>
      </x:c>
      <x:c r="I36" t="n">
        <x:v>3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1</x:v>
      </x:c>
      <x:c r="O36" t="n">
        <x:v>0</x:v>
      </x:c>
      <x:c r="P36" t="n">
        <x:v>1</x:v>
      </x:c>
      <x:c r="Q36" t="n">
        <x:v>0</x:v>
      </x:c>
      <x:c r="R36" t="str">
        <x:v>While Magic Armour remains, gain +2 Agility.</x:v>
      </x:c>
      <x:c r="S36" t="str">
        <x:v>First magical attack that breaks enemy Magic Armour grants Minor Focus Up until the end of the next turn.</x:v>
      </x:c>
      <x:c r="T36" t="str">
        <x:v>Ember; Frost; Storm; Venom; Blood; Lunar; Solar</x:v>
      </x:c>
      <x:c r="U36" t="str">
        <x:v>Light magical equipment combining Focus and Agility.</x:v>
      </x:c>
      <x:c r="V36" t="str">
        <x:v>Matching protection blocks its ailments. Restoration: 1-turn cooldown and no overflow. Fortify/Ward: heal and overflow with 2-turn cooldown. Dual Bastion/Aegis: 3-turn cooldown.</x:v>
      </x:c>
      <x:c r="W36" t="str">
        <x:v>Active</x:v>
      </x:c>
      <x:c r="X36" t="str">
        <x:v>Crystal Screen</x:v>
      </x:c>
      <x:c r="Y36" t="str">
        <x:v>Windglass Ward</x:v>
      </x:c>
      <x:c r="Z36" t="str">
        <x:v>Crystal Screen</x:v>
      </x:c>
      <x:c r="AA36" t="n">
        <x:v>2</x:v>
      </x:c>
      <x:c r="AB36" t="n">
        <x:v>1</x:v>
      </x:c>
      <x:c r="AC36" t="str">
        <x:v>Restore 5 Magic Armour.</x:v>
      </x:c>
    </x:row>
    <x:row r="37">
      <x:c r="A37" t="str">
        <x:v>SHD-033</x:v>
      </x:c>
      <x:c r="B37" t="str">
        <x:v>Tempered Crystal Wing Ward</x:v>
      </x:c>
      <x:c r="C37" t="str">
        <x:v>Blue</x:v>
      </x:c>
      <x:c r="D37" t="str">
        <x:v>Crystalwind Regalia</x:v>
      </x:c>
      <x:c r="E37" t="str">
        <x:v>Shield</x:v>
      </x:c>
      <x:c r="F37" t="str">
        <x:v>Light</x:v>
      </x:c>
      <x:c r="G37" t="str">
        <x:v>Fast Mage, Siren, magical Bard</x:v>
      </x:c>
      <x:c r="H37" t="n">
        <x:v>1</x:v>
      </x:c>
      <x:c r="I37" t="n">
        <x:v>4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2</x:v>
      </x:c>
      <x:c r="O37" t="n">
        <x:v>0</x:v>
      </x:c>
      <x:c r="P37" t="n">
        <x:v>1</x:v>
      </x:c>
      <x:c r="Q37" t="n">
        <x:v>0</x:v>
      </x:c>
      <x:c r="R37" t="str">
        <x:v>While Magic Armour remains, gain +3 Agility.</x:v>
      </x:c>
      <x:c r="S37" t="str">
        <x:v>First magical attack that breaks enemy Magic Armour grants Minor Focus Up until the end of the next turn.</x:v>
      </x:c>
      <x:c r="T37" t="str">
        <x:v>Ember; Frost; Storm; Venom; Blood; Lunar; Solar</x:v>
      </x:c>
      <x:c r="U37" t="str">
        <x:v>Light magical equipment combining Focus and Agility.</x:v>
      </x:c>
      <x:c r="V37" t="str">
        <x:v>Matching protection blocks its ailments. Restoration: 1-turn cooldown and no overflow. Fortify/Ward: heal and overflow with 2-turn cooldown. Dual Bastion/Aegis: 3-turn cooldown.</x:v>
      </x:c>
      <x:c r="W37" t="str">
        <x:v>Active</x:v>
      </x:c>
      <x:c r="X37" t="str">
        <x:v>Crystal Screen</x:v>
      </x:c>
      <x:c r="Y37" t="str">
        <x:v>Windglass Ward</x:v>
      </x:c>
      <x:c r="Z37" t="str">
        <x:v>Crystal Screen</x:v>
      </x:c>
      <x:c r="AA37" t="n">
        <x:v>2</x:v>
      </x:c>
      <x:c r="AB37" t="n">
        <x:v>1</x:v>
      </x:c>
      <x:c r="AC37" t="str">
        <x:v>Restore 5 Magic Armour.</x:v>
      </x:c>
    </x:row>
    <x:row r="38">
      <x:c r="A38" t="str">
        <x:v>SHD-034</x:v>
      </x:c>
      <x:c r="B38" t="str">
        <x:v>Masterwork Crystal Wing Ward</x:v>
      </x:c>
      <x:c r="C38" t="str">
        <x:v>Purple</x:v>
      </x:c>
      <x:c r="D38" t="str">
        <x:v>Crystalwind Regalia</x:v>
      </x:c>
      <x:c r="E38" t="str">
        <x:v>Shield</x:v>
      </x:c>
      <x:c r="F38" t="str">
        <x:v>Light</x:v>
      </x:c>
      <x:c r="G38" t="str">
        <x:v>Fast Mage, Siren, magical Bard</x:v>
      </x:c>
      <x:c r="H38" t="n">
        <x:v>1</x:v>
      </x:c>
      <x:c r="I38" t="n">
        <x:v>5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3</x:v>
      </x:c>
      <x:c r="O38" t="n">
        <x:v>1</x:v>
      </x:c>
      <x:c r="P38" t="n">
        <x:v>1</x:v>
      </x:c>
      <x:c r="Q38" t="n">
        <x:v>0</x:v>
      </x:c>
      <x:c r="R38" t="str">
        <x:v>While Magic Armour remains, gain +3 Agility.</x:v>
      </x:c>
      <x:c r="S38" t="str">
        <x:v>First magical attack that breaks enemy Magic Armour grants Minor Focus Up until the end of the next turn.</x:v>
      </x:c>
      <x:c r="T38" t="str">
        <x:v>Ember; Frost; Storm; Venom; Blood; Lunar; Solar</x:v>
      </x:c>
      <x:c r="U38" t="str">
        <x:v>Light magical equipment combining Focus and Agility.</x:v>
      </x:c>
      <x:c r="V38" t="str">
        <x:v>Matching protection blocks its ailments. Restoration: 1-turn cooldown and no overflow. Fortify/Ward: heal and overflow with 2-turn cooldown. Dual Bastion/Aegis: 3-turn cooldown.</x:v>
      </x:c>
      <x:c r="W38" t="str">
        <x:v>Active</x:v>
      </x:c>
      <x:c r="X38" t="str">
        <x:v>Crystal Screen</x:v>
      </x:c>
      <x:c r="Y38" t="str">
        <x:v>Windglass Ward</x:v>
      </x:c>
      <x:c r="Z38" t="str">
        <x:v>Windglass Ward</x:v>
      </x:c>
      <x:c r="AA38" t="n">
        <x:v>3</x:v>
      </x:c>
      <x:c r="AB38" t="n">
        <x:v>2</x:v>
      </x:c>
      <x:c r="AC38" t="str">
        <x:v>Gain 9 Ward Magic Armour (add 9 to current Magic Armour and temporary Maximum Magic Armour) for 2 turns. The next Magic skill before the end of the next turn gains +10 Skill Power.</x:v>
      </x:c>
    </x:row>
    <x:row r="39">
      <x:c r="A39" t="str">
        <x:v>SHD-035</x:v>
      </x:c>
      <x:c r="B39" t="str">
        <x:v>Regal Crystal Wing Ward</x:v>
      </x:c>
      <x:c r="C39" t="str">
        <x:v>Gold</x:v>
      </x:c>
      <x:c r="D39" t="str">
        <x:v>Crystalwind Regalia</x:v>
      </x:c>
      <x:c r="E39" t="str">
        <x:v>Shield</x:v>
      </x:c>
      <x:c r="F39" t="str">
        <x:v>Light</x:v>
      </x:c>
      <x:c r="G39" t="str">
        <x:v>Fast Mage, Siren, magical Bard</x:v>
      </x:c>
      <x:c r="H39" t="n">
        <x:v>2</x:v>
      </x:c>
      <x:c r="I39" t="n">
        <x:v>8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4</x:v>
      </x:c>
      <x:c r="O39" t="n">
        <x:v>1</x:v>
      </x:c>
      <x:c r="P39" t="n">
        <x:v>2</x:v>
      </x:c>
      <x:c r="Q39" t="n">
        <x:v>0</x:v>
      </x:c>
      <x:c r="R39" t="str">
        <x:v>While Magic Armour remains, gain +4 Agility.</x:v>
      </x:c>
      <x:c r="S39" t="str">
        <x:v>First magical attack that breaks enemy Magic Armour grants Minor Focus Up until the end of the next turn.</x:v>
      </x:c>
      <x:c r="T39" t="str">
        <x:v>Ember; Frost; Storm; Venom; Blood; Lunar; Solar</x:v>
      </x:c>
      <x:c r="U39" t="str">
        <x:v>Light magical equipment combining Focus and Agility.</x:v>
      </x:c>
      <x:c r="V39" t="str">
        <x:v>Matching protection blocks its ailments. Restoration: 1-turn cooldown and no overflow. Fortify/Ward: heal and overflow with 2-turn cooldown. Dual Bastion/Aegis: 3-turn cooldown.</x:v>
      </x:c>
      <x:c r="W39" t="str">
        <x:v>Active</x:v>
      </x:c>
      <x:c r="X39" t="str">
        <x:v>Crystal Screen</x:v>
      </x:c>
      <x:c r="Y39" t="str">
        <x:v>Windglass Ward</x:v>
      </x:c>
      <x:c r="Z39" t="str">
        <x:v>Windglass Ward</x:v>
      </x:c>
      <x:c r="AA39" t="n">
        <x:v>3</x:v>
      </x:c>
      <x:c r="AB39" t="n">
        <x:v>2</x:v>
      </x:c>
      <x:c r="AC39" t="str">
        <x:v>Gain 9 Ward Magic Armour (add 9 to current Magic Armour and temporary Maximum Magic Armour) for 2 turns. The next Magic skill before the end of the next turn gains +10 Skill Power.</x:v>
      </x:c>
    </x:row>
    <x:row r="40">
      <x:c r="A40" t="str">
        <x:v>SHD-036</x:v>
      </x:c>
      <x:c r="B40" t="str">
        <x:v>Mythic Crystal Wing Ward</x:v>
      </x:c>
      <x:c r="C40" t="str">
        <x:v>Orange</x:v>
      </x:c>
      <x:c r="D40" t="str">
        <x:v>Crystalwind Regalia</x:v>
      </x:c>
      <x:c r="E40" t="str">
        <x:v>Shield</x:v>
      </x:c>
      <x:c r="F40" t="str">
        <x:v>Light</x:v>
      </x:c>
      <x:c r="G40" t="str">
        <x:v>Fast Mage, Siren, magical Bard</x:v>
      </x:c>
      <x:c r="H40" t="n">
        <x:v>3</x:v>
      </x:c>
      <x:c r="I40" t="n">
        <x:v>10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5</x:v>
      </x:c>
      <x:c r="O40" t="n">
        <x:v>2</x:v>
      </x:c>
      <x:c r="P40" t="n">
        <x:v>2</x:v>
      </x:c>
      <x:c r="Q40" t="n">
        <x:v>0</x:v>
      </x:c>
      <x:c r="R40" t="str">
        <x:v>While Magic Armour remains, gain +5 Agility.</x:v>
      </x:c>
      <x:c r="S40" t="str">
        <x:v>First magical attack that breaks enemy Magic Armour grants Minor Focus Up until the end of the next turn.</x:v>
      </x:c>
      <x:c r="T40" t="str">
        <x:v>Ember; Frost; Storm; Venom; Blood; Lunar; Solar</x:v>
      </x:c>
      <x:c r="U40" t="str">
        <x:v>Light magical equipment combining Focus and Agility.</x:v>
      </x:c>
      <x:c r="V40" t="str">
        <x:v>Matching protection blocks its ailments. Restoration: 1-turn cooldown and no overflow. Fortify/Ward: heal and overflow with 2-turn cooldown. Dual Bastion/Aegis: 3-turn cooldown.</x:v>
      </x:c>
      <x:c r="W40" t="str">
        <x:v>Active</x:v>
      </x:c>
      <x:c r="X40" t="str">
        <x:v>Crystal Screen</x:v>
      </x:c>
      <x:c r="Y40" t="str">
        <x:v>Windglass Ward</x:v>
      </x:c>
      <x:c r="Z40" t="str">
        <x:v>Windglass Ward</x:v>
      </x:c>
      <x:c r="AA40" t="n">
        <x:v>3</x:v>
      </x:c>
      <x:c r="AB40" t="n">
        <x:v>2</x:v>
      </x:c>
      <x:c r="AC40" t="str">
        <x:v>Gain 9 Ward Magic Armour (add 9 to current Magic Armour and temporary Maximum Magic Armour) for 2 turns. The next Magic skill before the end of the next turn gains +10 Skill Power.</x:v>
      </x:c>
    </x:row>
    <x:row r="41">
      <x:c r="A41" t="str">
        <x:v>SHD-037</x:v>
      </x:c>
      <x:c r="B41" t="str">
        <x:v>Dawnward Shield</x:v>
      </x:c>
      <x:c r="C41" t="str">
        <x:v>Grey</x:v>
      </x:c>
      <x:c r="D41" t="str">
        <x:v>Dawnfeather Vestments</x:v>
      </x:c>
      <x:c r="E41" t="str">
        <x:v>Shield</x:v>
      </x:c>
      <x:c r="F41" t="str">
        <x:v>Medium</x:v>
      </x:c>
      <x:c r="G41" t="str">
        <x:v>Inquisitor, support Bard, defensive Mage</x:v>
      </x:c>
      <x:c r="H41" t="n">
        <x:v>1</x:v>
      </x:c>
      <x:c r="I41" t="n">
        <x:v>2</x:v>
      </x:c>
      <x:c r="J41" t="n">
        <x:v>1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str">
        <x:v>First time Health is healed each combat, restore 1 Armour and 1 Magic Armour.</x:v>
      </x:c>
      <x:c r="S41" t="str">
        <x:v>Once per combat below 30% Health, restore 1 to the lower protection pool.</x:v>
      </x:c>
      <x:c r="T41" t="str">
        <x:v>Ember; Frost; Storm; Venom; Blood; Lunar; Solar</x:v>
      </x:c>
      <x:c r="U41" t="str">
        <x:v>Restoration, survivability, and mixed defence.</x:v>
      </x:c>
      <x:c r="V41" t="str">
        <x:v>Matching protection blocks its ailments. Restoration: 1-turn cooldown and no overflow. Fortify/Ward: heal and overflow with 2-turn cooldown. Dual Bastion/Aegis: 3-turn cooldown.</x:v>
      </x:c>
      <x:c r="W41" t="str">
        <x:v>Active</x:v>
      </x:c>
      <x:c r="X41" t="str">
        <x:v>Dawnward Mend</x:v>
      </x:c>
      <x:c r="Y41" t="str">
        <x:v>Solar Aegis</x:v>
      </x:c>
      <x:c r="Z41" t="str">
        <x:v>None</x:v>
      </x:c>
      <x:c r="AA41" t="n">
        <x:v>0</x:v>
      </x:c>
      <x:c r="AB41" t="n">
        <x:v>0</x:v>
      </x:c>
      <x:c r="AC41" t="str">
        <x:v>No granted equipment skill at Grey rarity.</x:v>
      </x:c>
    </x:row>
    <x:row r="42">
      <x:c r="A42" t="str">
        <x:v>SHD-038</x:v>
      </x:c>
      <x:c r="B42" t="str">
        <x:v>Sturdy Dawnward Shield</x:v>
      </x:c>
      <x:c r="C42" t="str">
        <x:v>Green</x:v>
      </x:c>
      <x:c r="D42" t="str">
        <x:v>Dawnfeather Vestments</x:v>
      </x:c>
      <x:c r="E42" t="str">
        <x:v>Shield</x:v>
      </x:c>
      <x:c r="F42" t="str">
        <x:v>Medium</x:v>
      </x:c>
      <x:c r="G42" t="str">
        <x:v>Inquisitor, support Bard, defensive Mage</x:v>
      </x:c>
      <x:c r="H42" t="n">
        <x:v>2</x:v>
      </x:c>
      <x:c r="I42" t="n">
        <x:v>2</x:v>
      </x:c>
      <x:c r="J42" t="n">
        <x:v>1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1</x:v>
      </x:c>
      <x:c r="P42" t="n">
        <x:v>0</x:v>
      </x:c>
      <x:c r="Q42" t="n">
        <x:v>0</x:v>
      </x:c>
      <x:c r="R42" t="str">
        <x:v>First time Health is healed each combat, restore 1 Armour and 1 Magic Armour.</x:v>
      </x:c>
      <x:c r="S42" t="str">
        <x:v>Once per combat below 30% Health, restore 1 to the lower protection pool.</x:v>
      </x:c>
      <x:c r="T42" t="str">
        <x:v>Ember; Frost; Storm; Venom; Blood; Lunar; Solar</x:v>
      </x:c>
      <x:c r="U42" t="str">
        <x:v>Restoration, survivability, and mixed defence.</x:v>
      </x:c>
      <x:c r="V42" t="str">
        <x:v>Matching protection blocks its ailments. Restoration: 1-turn cooldown and no overflow. Fortify/Ward: heal and overflow with 2-turn cooldown. Dual Bastion/Aegis: 3-turn cooldown.</x:v>
      </x:c>
      <x:c r="W42" t="str">
        <x:v>Active</x:v>
      </x:c>
      <x:c r="X42" t="str">
        <x:v>Dawnward Mend</x:v>
      </x:c>
      <x:c r="Y42" t="str">
        <x:v>Solar Aegis</x:v>
      </x:c>
      <x:c r="Z42" t="str">
        <x:v>Dawnward Mend</x:v>
      </x:c>
      <x:c r="AA42" t="n">
        <x:v>2</x:v>
      </x:c>
      <x:c r="AB42" t="n">
        <x:v>1</x:v>
      </x:c>
      <x:c r="AC42" t="str">
        <x:v>Restore 3 Armour and 3 Magic Armour.</x:v>
      </x:c>
    </x:row>
    <x:row r="43">
      <x:c r="A43" t="str">
        <x:v>SHD-039</x:v>
      </x:c>
      <x:c r="B43" t="str">
        <x:v>Tempered Dawnward Shield</x:v>
      </x:c>
      <x:c r="C43" t="str">
        <x:v>Blue</x:v>
      </x:c>
      <x:c r="D43" t="str">
        <x:v>Dawnfeather Vestments</x:v>
      </x:c>
      <x:c r="E43" t="str">
        <x:v>Shield</x:v>
      </x:c>
      <x:c r="F43" t="str">
        <x:v>Medium</x:v>
      </x:c>
      <x:c r="G43" t="str">
        <x:v>Inquisitor, support Bard, defensive Mage</x:v>
      </x:c>
      <x:c r="H43" t="n">
        <x:v>2</x:v>
      </x:c>
      <x:c r="I43" t="n">
        <x:v>4</x:v>
      </x:c>
      <x:c r="J43" t="n">
        <x:v>2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1</x:v>
      </x:c>
      <x:c r="P43" t="n">
        <x:v>0</x:v>
      </x:c>
      <x:c r="Q43" t="n">
        <x:v>0</x:v>
      </x:c>
      <x:c r="R43" t="str">
        <x:v>First time Health is healed each combat, restore 2 Armour and 2 Magic Armour.</x:v>
      </x:c>
      <x:c r="S43" t="str">
        <x:v>Once per combat below 30% Health, restore 2 to the lower protection pool.</x:v>
      </x:c>
      <x:c r="T43" t="str">
        <x:v>Ember; Frost; Storm; Venom; Blood; Lunar; Solar</x:v>
      </x:c>
      <x:c r="U43" t="str">
        <x:v>Restoration, survivability, and mixed defence.</x:v>
      </x:c>
      <x:c r="V43" t="str">
        <x:v>Matching protection blocks its ailments. Restoration: 1-turn cooldown and no overflow. Fortify/Ward: heal and overflow with 2-turn cooldown. Dual Bastion/Aegis: 3-turn cooldown.</x:v>
      </x:c>
      <x:c r="W43" t="str">
        <x:v>Active</x:v>
      </x:c>
      <x:c r="X43" t="str">
        <x:v>Dawnward Mend</x:v>
      </x:c>
      <x:c r="Y43" t="str">
        <x:v>Solar Aegis</x:v>
      </x:c>
      <x:c r="Z43" t="str">
        <x:v>Dawnward Mend</x:v>
      </x:c>
      <x:c r="AA43" t="n">
        <x:v>2</x:v>
      </x:c>
      <x:c r="AB43" t="n">
        <x:v>1</x:v>
      </x:c>
      <x:c r="AC43" t="str">
        <x:v>Restore 3 Armour and 3 Magic Armour.</x:v>
      </x:c>
    </x:row>
    <x:row r="44">
      <x:c r="A44" t="str">
        <x:v>SHD-040</x:v>
      </x:c>
      <x:c r="B44" t="str">
        <x:v>Masterwork Dawnward Shield</x:v>
      </x:c>
      <x:c r="C44" t="str">
        <x:v>Purple</x:v>
      </x:c>
      <x:c r="D44" t="str">
        <x:v>Dawnfeather Vestments</x:v>
      </x:c>
      <x:c r="E44" t="str">
        <x:v>Shield</x:v>
      </x:c>
      <x:c r="F44" t="str">
        <x:v>Medium</x:v>
      </x:c>
      <x:c r="G44" t="str">
        <x:v>Inquisitor, support Bard, defensive Mage</x:v>
      </x:c>
      <x:c r="H44" t="n">
        <x:v>3</x:v>
      </x:c>
      <x:c r="I44" t="n">
        <x:v>5</x:v>
      </x:c>
      <x:c r="J44" t="n">
        <x:v>3</x:v>
      </x:c>
      <x:c r="K44" t="n">
        <x:v>0</x:v>
      </x:c>
      <x:c r="L44" t="n">
        <x:v>0</x:v>
      </x:c>
      <x:c r="M44" t="n">
        <x:v>1</x:v>
      </x:c>
      <x:c r="N44" t="n">
        <x:v>0</x:v>
      </x:c>
      <x:c r="O44" t="n">
        <x:v>1</x:v>
      </x:c>
      <x:c r="P44" t="n">
        <x:v>0</x:v>
      </x:c>
      <x:c r="Q44" t="n">
        <x:v>0</x:v>
      </x:c>
      <x:c r="R44" t="str">
        <x:v>First time Health is healed each combat, restore 2 Armour and 2 Magic Armour.</x:v>
      </x:c>
      <x:c r="S44" t="str">
        <x:v>Once per combat below 30% Health, restore 2 to the lower protection pool.</x:v>
      </x:c>
      <x:c r="T44" t="str">
        <x:v>Ember; Frost; Storm; Venom; Blood; Lunar; Solar</x:v>
      </x:c>
      <x:c r="U44" t="str">
        <x:v>Restoration, survivability, and mixed defence.</x:v>
      </x:c>
      <x:c r="V44" t="str">
        <x:v>Matching protection blocks its ailments. Restoration: 1-turn cooldown and no overflow. Fortify/Ward: heal and overflow with 2-turn cooldown. Dual Bastion/Aegis: 3-turn cooldown.</x:v>
      </x:c>
      <x:c r="W44" t="str">
        <x:v>Active</x:v>
      </x:c>
      <x:c r="X44" t="str">
        <x:v>Dawnward Mend</x:v>
      </x:c>
      <x:c r="Y44" t="str">
        <x:v>Solar Aegis</x:v>
      </x:c>
      <x:c r="Z44" t="str">
        <x:v>Solar Aegis</x:v>
      </x:c>
      <x:c r="AA44" t="n">
        <x:v>3</x:v>
      </x:c>
      <x:c r="AB44" t="n">
        <x:v>3</x:v>
      </x:c>
      <x:c r="AC44" t="str">
        <x:v>Gain 6 Fortified Armour (add 6 to current Armour and temporary Maximum Armour) and 6 Ward Magic Armour (add 6 to current Magic Armour and temporary Maximum Magic Armour) for 2 turns.</x:v>
      </x:c>
    </x:row>
    <x:row r="45">
      <x:c r="A45" t="str">
        <x:v>SHD-041</x:v>
      </x:c>
      <x:c r="B45" t="str">
        <x:v>Regal Dawnward Shield</x:v>
      </x:c>
      <x:c r="C45" t="str">
        <x:v>Gold</x:v>
      </x:c>
      <x:c r="D45" t="str">
        <x:v>Dawnfeather Vestments</x:v>
      </x:c>
      <x:c r="E45" t="str">
        <x:v>Shield</x:v>
      </x:c>
      <x:c r="F45" t="str">
        <x:v>Medium</x:v>
      </x:c>
      <x:c r="G45" t="str">
        <x:v>Inquisitor, support Bard, defensive Mage</x:v>
      </x:c>
      <x:c r="H45" t="n">
        <x:v>5</x:v>
      </x:c>
      <x:c r="I45" t="n">
        <x:v>7</x:v>
      </x:c>
      <x:c r="J45" t="n">
        <x:v>4</x:v>
      </x:c>
      <x:c r="K45" t="n">
        <x:v>0</x:v>
      </x:c>
      <x:c r="L45" t="n">
        <x:v>0</x:v>
      </x:c>
      <x:c r="M45" t="n">
        <x:v>1</x:v>
      </x:c>
      <x:c r="N45" t="n">
        <x:v>0</x:v>
      </x:c>
      <x:c r="O45" t="n">
        <x:v>2</x:v>
      </x:c>
      <x:c r="P45" t="n">
        <x:v>0</x:v>
      </x:c>
      <x:c r="Q45" t="n">
        <x:v>0</x:v>
      </x:c>
      <x:c r="R45" t="str">
        <x:v>First time Health is healed each combat, restore 2 Armour and 2 Magic Armour.</x:v>
      </x:c>
      <x:c r="S45" t="str">
        <x:v>Once per combat below 30% Health, restore 3 to the lower protection pool.</x:v>
      </x:c>
      <x:c r="T45" t="str">
        <x:v>Ember; Frost; Storm; Venom; Blood; Lunar; Solar</x:v>
      </x:c>
      <x:c r="U45" t="str">
        <x:v>Restoration, survivability, and mixed defence.</x:v>
      </x:c>
      <x:c r="V45" t="str">
        <x:v>Matching protection blocks its ailments. Restoration: 1-turn cooldown and no overflow. Fortify/Ward: heal and overflow with 2-turn cooldown. Dual Bastion/Aegis: 3-turn cooldown.</x:v>
      </x:c>
      <x:c r="W45" t="str">
        <x:v>Active</x:v>
      </x:c>
      <x:c r="X45" t="str">
        <x:v>Dawnward Mend</x:v>
      </x:c>
      <x:c r="Y45" t="str">
        <x:v>Solar Aegis</x:v>
      </x:c>
      <x:c r="Z45" t="str">
        <x:v>Solar Aegis</x:v>
      </x:c>
      <x:c r="AA45" t="n">
        <x:v>3</x:v>
      </x:c>
      <x:c r="AB45" t="n">
        <x:v>3</x:v>
      </x:c>
      <x:c r="AC45" t="str">
        <x:v>Gain 6 Fortified Armour (add 6 to current Armour and temporary Maximum Armour) and 6 Ward Magic Armour (add 6 to current Magic Armour and temporary Maximum Magic Armour) for 2 turns.</x:v>
      </x:c>
    </x:row>
    <x:row r="46">
      <x:c r="A46" t="str">
        <x:v>SHD-042</x:v>
      </x:c>
      <x:c r="B46" t="str">
        <x:v>Mythic Dawnward Shield</x:v>
      </x:c>
      <x:c r="C46" t="str">
        <x:v>Orange</x:v>
      </x:c>
      <x:c r="D46" t="str">
        <x:v>Dawnfeather Vestments</x:v>
      </x:c>
      <x:c r="E46" t="str">
        <x:v>Shield</x:v>
      </x:c>
      <x:c r="F46" t="str">
        <x:v>Medium</x:v>
      </x:c>
      <x:c r="G46" t="str">
        <x:v>Inquisitor, support Bard, defensive Mage</x:v>
      </x:c>
      <x:c r="H46" t="n">
        <x:v>6</x:v>
      </x:c>
      <x:c r="I46" t="n">
        <x:v>10</x:v>
      </x:c>
      <x:c r="J46" t="n">
        <x:v>5</x:v>
      </x:c>
      <x:c r="K46" t="n">
        <x:v>0</x:v>
      </x:c>
      <x:c r="L46" t="n">
        <x:v>0</x:v>
      </x:c>
      <x:c r="M46" t="n">
        <x:v>2</x:v>
      </x:c>
      <x:c r="N46" t="n">
        <x:v>0</x:v>
      </x:c>
      <x:c r="O46" t="n">
        <x:v>2</x:v>
      </x:c>
      <x:c r="P46" t="n">
        <x:v>0</x:v>
      </x:c>
      <x:c r="Q46" t="n">
        <x:v>0</x:v>
      </x:c>
      <x:c r="R46" t="str">
        <x:v>First time Health is healed each combat, restore 2 Armour and 2 Magic Armour.</x:v>
      </x:c>
      <x:c r="S46" t="str">
        <x:v>Once per combat below 30% Health, restore 4 to the lower protection pool.</x:v>
      </x:c>
      <x:c r="T46" t="str">
        <x:v>Ember; Frost; Storm; Venom; Blood; Lunar; Solar</x:v>
      </x:c>
      <x:c r="U46" t="str">
        <x:v>Restoration, survivability, and mixed defence.</x:v>
      </x:c>
      <x:c r="V46" t="str">
        <x:v>Matching protection blocks its ailments. Restoration: 1-turn cooldown and no overflow. Fortify/Ward: heal and overflow with 2-turn cooldown. Dual Bastion/Aegis: 3-turn cooldown.</x:v>
      </x:c>
      <x:c r="W46" t="str">
        <x:v>Active</x:v>
      </x:c>
      <x:c r="X46" t="str">
        <x:v>Dawnward Mend</x:v>
      </x:c>
      <x:c r="Y46" t="str">
        <x:v>Solar Aegis</x:v>
      </x:c>
      <x:c r="Z46" t="str">
        <x:v>Solar Aegis</x:v>
      </x:c>
      <x:c r="AA46" t="n">
        <x:v>3</x:v>
      </x:c>
      <x:c r="AB46" t="n">
        <x:v>3</x:v>
      </x:c>
      <x:c r="AC46" t="str">
        <x:v>Gain 6 Fortified Armour (add 6 to current Armour and temporary Maximum Armour) and 6 Ward Magic Armour (add 6 to current Magic Armour and temporary Maximum Magic Armour) for 2 turns.</x:v>
      </x:c>
    </x:row>
    <x:row r="47">
      <x:c r="A47" t="str">
        <x:v>SHD-043</x:v>
      </x:c>
      <x:c r="B47" t="str">
        <x:v>Nightward Shield</x:v>
      </x:c>
      <x:c r="C47" t="str">
        <x:v>Grey</x:v>
      </x:c>
      <x:c r="D47" t="str">
        <x:v>Nightweave Vestments</x:v>
      </x:c>
      <x:c r="E47" t="str">
        <x:v>Shield</x:v>
      </x:c>
      <x:c r="F47" t="str">
        <x:v>Medium</x:v>
      </x:c>
      <x:c r="G47" t="str">
        <x:v>Siren, Mage, Bard, anti-ailment build</x:v>
      </x:c>
      <x:c r="H47" t="n">
        <x:v>0</x:v>
      </x:c>
      <x:c r="I47" t="n">
        <x:v>3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1</x:v>
      </x:c>
      <x:c r="P47" t="n">
        <x:v>0</x:v>
      </x:c>
      <x:c r="Q47" t="n">
        <x:v>0</x:v>
      </x:c>
      <x:c r="R47" t="str">
        <x:v>After Magic Armour is depleted, hostile magical ailment chance is reduced by 5 percentage points.</x:v>
      </x:c>
      <x:c r="S47" t="str">
        <x:v>First magical ailment successfully applied each combat has its duration reduced by 1 turn, minimum 1.</x:v>
      </x:c>
      <x:c r="T47" t="str">
        <x:v>Ember; Frost; Storm; Venom; Blood; Lunar; Solar</x:v>
      </x:c>
      <x:c r="U47" t="str">
        <x:v>Debuff resistance and magical survival.</x:v>
      </x:c>
      <x:c r="V47" t="str">
        <x:v>Matching protection blocks its ailments. Restoration: 1-turn cooldown and no overflow. Fortify/Ward: heal and overflow with 2-turn cooldown. Dual Bastion/Aegis: 3-turn cooldown.</x:v>
      </x:c>
      <x:c r="W47" t="str">
        <x:v>Active</x:v>
      </x:c>
      <x:c r="X47" t="str">
        <x:v>Moonward</x:v>
      </x:c>
      <x:c r="Y47" t="str">
        <x:v>Night Aegis</x:v>
      </x:c>
      <x:c r="Z47" t="str">
        <x:v>None</x:v>
      </x:c>
      <x:c r="AA47" t="n">
        <x:v>0</x:v>
      </x:c>
      <x:c r="AB47" t="n">
        <x:v>0</x:v>
      </x:c>
      <x:c r="AC47" t="str">
        <x:v>No granted equipment skill at Grey rarity.</x:v>
      </x:c>
    </x:row>
    <x:row r="48">
      <x:c r="A48" t="str">
        <x:v>SHD-044</x:v>
      </x:c>
      <x:c r="B48" t="str">
        <x:v>Sturdy Nightward Shield</x:v>
      </x:c>
      <x:c r="C48" t="str">
        <x:v>Green</x:v>
      </x:c>
      <x:c r="D48" t="str">
        <x:v>Nightweave Vestments</x:v>
      </x:c>
      <x:c r="E48" t="str">
        <x:v>Shield</x:v>
      </x:c>
      <x:c r="F48" t="str">
        <x:v>Medium</x:v>
      </x:c>
      <x:c r="G48" t="str">
        <x:v>Siren, Mage, Bard, anti-ailment build</x:v>
      </x:c>
      <x:c r="H48" t="n">
        <x:v>1</x:v>
      </x:c>
      <x:c r="I48" t="n">
        <x:v>3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1</x:v>
      </x:c>
      <x:c r="O48" t="n">
        <x:v>1</x:v>
      </x:c>
      <x:c r="P48" t="n">
        <x:v>0</x:v>
      </x:c>
      <x:c r="Q48" t="n">
        <x:v>0</x:v>
      </x:c>
      <x:c r="R48" t="str">
        <x:v>After Magic Armour is depleted, hostile magical ailment chance is reduced by 5 percentage points.</x:v>
      </x:c>
      <x:c r="S48" t="str">
        <x:v>First magical ailment successfully applied each combat has its duration reduced by 1 turn, minimum 1.</x:v>
      </x:c>
      <x:c r="T48" t="str">
        <x:v>Ember; Frost; Storm; Venom; Blood; Lunar; Solar</x:v>
      </x:c>
      <x:c r="U48" t="str">
        <x:v>Debuff resistance and magical survival.</x:v>
      </x:c>
      <x:c r="V48" t="str">
        <x:v>Matching protection blocks its ailments. Restoration: 1-turn cooldown and no overflow. Fortify/Ward: heal and overflow with 2-turn cooldown. Dual Bastion/Aegis: 3-turn cooldown.</x:v>
      </x:c>
      <x:c r="W48" t="str">
        <x:v>Active</x:v>
      </x:c>
      <x:c r="X48" t="str">
        <x:v>Moonward</x:v>
      </x:c>
      <x:c r="Y48" t="str">
        <x:v>Night Aegis</x:v>
      </x:c>
      <x:c r="Z48" t="str">
        <x:v>Moonward</x:v>
      </x:c>
      <x:c r="AA48" t="n">
        <x:v>2</x:v>
      </x:c>
      <x:c r="AB48" t="n">
        <x:v>1</x:v>
      </x:c>
      <x:c r="AC48" t="str">
        <x:v>Restore 5 Magic Armour.</x:v>
      </x:c>
    </x:row>
    <x:row r="49">
      <x:c r="A49" t="str">
        <x:v>SHD-045</x:v>
      </x:c>
      <x:c r="B49" t="str">
        <x:v>Tempered Nightward Shield</x:v>
      </x:c>
      <x:c r="C49" t="str">
        <x:v>Blue</x:v>
      </x:c>
      <x:c r="D49" t="str">
        <x:v>Nightweave Vestments</x:v>
      </x:c>
      <x:c r="E49" t="str">
        <x:v>Shield</x:v>
      </x:c>
      <x:c r="F49" t="str">
        <x:v>Medium</x:v>
      </x:c>
      <x:c r="G49" t="str">
        <x:v>Siren, Mage, Bard, anti-ailment build</x:v>
      </x:c>
      <x:c r="H49" t="n">
        <x:v>1</x:v>
      </x:c>
      <x:c r="I49" t="n">
        <x:v>5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1</x:v>
      </x:c>
      <x:c r="O49" t="n">
        <x:v>2</x:v>
      </x:c>
      <x:c r="P49" t="n">
        <x:v>0</x:v>
      </x:c>
      <x:c r="Q49" t="n">
        <x:v>0</x:v>
      </x:c>
      <x:c r="R49" t="str">
        <x:v>After Magic Armour is depleted, hostile magical ailment chance is reduced by 10 percentage points.</x:v>
      </x:c>
      <x:c r="S49" t="str">
        <x:v>First magical ailment successfully applied each combat has its duration reduced by 1 turn, minimum 1.</x:v>
      </x:c>
      <x:c r="T49" t="str">
        <x:v>Ember; Frost; Storm; Venom; Blood; Lunar; Solar</x:v>
      </x:c>
      <x:c r="U49" t="str">
        <x:v>Debuff resistance and magical survival.</x:v>
      </x:c>
      <x:c r="V49" t="str">
        <x:v>Matching protection blocks its ailments. Restoration: 1-turn cooldown and no overflow. Fortify/Ward: heal and overflow with 2-turn cooldown. Dual Bastion/Aegis: 3-turn cooldown.</x:v>
      </x:c>
      <x:c r="W49" t="str">
        <x:v>Active</x:v>
      </x:c>
      <x:c r="X49" t="str">
        <x:v>Moonward</x:v>
      </x:c>
      <x:c r="Y49" t="str">
        <x:v>Night Aegis</x:v>
      </x:c>
      <x:c r="Z49" t="str">
        <x:v>Moonward</x:v>
      </x:c>
      <x:c r="AA49" t="n">
        <x:v>2</x:v>
      </x:c>
      <x:c r="AB49" t="n">
        <x:v>1</x:v>
      </x:c>
      <x:c r="AC49" t="str">
        <x:v>Restore 5 Magic Armour.</x:v>
      </x:c>
    </x:row>
    <x:row r="50">
      <x:c r="A50" t="str">
        <x:v>SHD-046</x:v>
      </x:c>
      <x:c r="B50" t="str">
        <x:v>Masterwork Nightward Shield</x:v>
      </x:c>
      <x:c r="C50" t="str">
        <x:v>Purple</x:v>
      </x:c>
      <x:c r="D50" t="str">
        <x:v>Nightweave Vestments</x:v>
      </x:c>
      <x:c r="E50" t="str">
        <x:v>Shield</x:v>
      </x:c>
      <x:c r="F50" t="str">
        <x:v>Medium</x:v>
      </x:c>
      <x:c r="G50" t="str">
        <x:v>Siren, Mage, Bard, anti-ailment build</x:v>
      </x:c>
      <x:c r="H50" t="n">
        <x:v>2</x:v>
      </x:c>
      <x:c r="I50" t="n">
        <x:v>6</x:v>
      </x:c>
      <x:c r="J50" t="n">
        <x:v>1</x:v>
      </x:c>
      <x:c r="K50" t="n">
        <x:v>0</x:v>
      </x:c>
      <x:c r="L50" t="n">
        <x:v>0</x:v>
      </x:c>
      <x:c r="M50" t="n">
        <x:v>0</x:v>
      </x:c>
      <x:c r="N50" t="n">
        <x:v>1</x:v>
      </x:c>
      <x:c r="O50" t="n">
        <x:v>3</x:v>
      </x:c>
      <x:c r="P50" t="n">
        <x:v>0</x:v>
      </x:c>
      <x:c r="Q50" t="n">
        <x:v>0</x:v>
      </x:c>
      <x:c r="R50" t="str">
        <x:v>After Magic Armour is depleted, hostile magical ailment chance is reduced by 10 percentage points.</x:v>
      </x:c>
      <x:c r="S50" t="str">
        <x:v>First magical ailment successfully applied each combat has its duration reduced by 1 turn, minimum 1.</x:v>
      </x:c>
      <x:c r="T50" t="str">
        <x:v>Ember; Frost; Storm; Venom; Blood; Lunar; Solar</x:v>
      </x:c>
      <x:c r="U50" t="str">
        <x:v>Debuff resistance and magical survival.</x:v>
      </x:c>
      <x:c r="V50" t="str">
        <x:v>Matching protection blocks its ailments. Restoration: 1-turn cooldown and no overflow. Fortify/Ward: heal and overflow with 2-turn cooldown. Dual Bastion/Aegis: 3-turn cooldown.</x:v>
      </x:c>
      <x:c r="W50" t="str">
        <x:v>Active</x:v>
      </x:c>
      <x:c r="X50" t="str">
        <x:v>Moonward</x:v>
      </x:c>
      <x:c r="Y50" t="str">
        <x:v>Night Aegis</x:v>
      </x:c>
      <x:c r="Z50" t="str">
        <x:v>Night Aegis</x:v>
      </x:c>
      <x:c r="AA50" t="n">
        <x:v>3</x:v>
      </x:c>
      <x:c r="AB50" t="n">
        <x:v>2</x:v>
      </x:c>
      <x:c r="AC50" t="str">
        <x:v>Gain 9 Ward Magic Armour (add 9 to current Magic Armour and temporary Maximum Magic Armour) and reduce hostile magical ailment application chance by 10 percentage points for 2 turns.</x:v>
      </x:c>
    </x:row>
    <x:row r="51">
      <x:c r="A51" t="str">
        <x:v>SHD-047</x:v>
      </x:c>
      <x:c r="B51" t="str">
        <x:v>Regal Nightward Shield</x:v>
      </x:c>
      <x:c r="C51" t="str">
        <x:v>Gold</x:v>
      </x:c>
      <x:c r="D51" t="str">
        <x:v>Nightweave Vestments</x:v>
      </x:c>
      <x:c r="E51" t="str">
        <x:v>Shield</x:v>
      </x:c>
      <x:c r="F51" t="str">
        <x:v>Medium</x:v>
      </x:c>
      <x:c r="G51" t="str">
        <x:v>Siren, Mage, Bard, anti-ailment build</x:v>
      </x:c>
      <x:c r="H51" t="n">
        <x:v>3</x:v>
      </x:c>
      <x:c r="I51" t="n">
        <x:v>9</x:v>
      </x:c>
      <x:c r="J51" t="n">
        <x:v>1</x:v>
      </x:c>
      <x:c r="K51" t="n">
        <x:v>0</x:v>
      </x:c>
      <x:c r="L51" t="n">
        <x:v>0</x:v>
      </x:c>
      <x:c r="M51" t="n">
        <x:v>0</x:v>
      </x:c>
      <x:c r="N51" t="n">
        <x:v>2</x:v>
      </x:c>
      <x:c r="O51" t="n">
        <x:v>4</x:v>
      </x:c>
      <x:c r="P51" t="n">
        <x:v>0</x:v>
      </x:c>
      <x:c r="Q51" t="n">
        <x:v>0</x:v>
      </x:c>
      <x:c r="R51" t="str">
        <x:v>After Magic Armour is depleted, hostile magical ailment chance is reduced by 15 percentage points.</x:v>
      </x:c>
      <x:c r="S51" t="str">
        <x:v>First magical ailment successfully applied each combat has its duration reduced by 1 turn, minimum 1.</x:v>
      </x:c>
      <x:c r="T51" t="str">
        <x:v>Ember; Frost; Storm; Venom; Blood; Lunar; Solar</x:v>
      </x:c>
      <x:c r="U51" t="str">
        <x:v>Debuff resistance and magical survival.</x:v>
      </x:c>
      <x:c r="V51" t="str">
        <x:v>Matching protection blocks its ailments. Restoration: 1-turn cooldown and no overflow. Fortify/Ward: heal and overflow with 2-turn cooldown. Dual Bastion/Aegis: 3-turn cooldown.</x:v>
      </x:c>
      <x:c r="W51" t="str">
        <x:v>Active</x:v>
      </x:c>
      <x:c r="X51" t="str">
        <x:v>Moonward</x:v>
      </x:c>
      <x:c r="Y51" t="str">
        <x:v>Night Aegis</x:v>
      </x:c>
      <x:c r="Z51" t="str">
        <x:v>Night Aegis</x:v>
      </x:c>
      <x:c r="AA51" t="n">
        <x:v>3</x:v>
      </x:c>
      <x:c r="AB51" t="n">
        <x:v>2</x:v>
      </x:c>
      <x:c r="AC51" t="str">
        <x:v>Gain 9 Ward Magic Armour (add 9 to current Magic Armour and temporary Maximum Magic Armour) and reduce hostile magical ailment application chance by 10 percentage points for 2 turns.</x:v>
      </x:c>
    </x:row>
    <x:row r="52">
      <x:c r="A52" t="str">
        <x:v>SHD-048</x:v>
      </x:c>
      <x:c r="B52" t="str">
        <x:v>Mythic Nightward Shield</x:v>
      </x:c>
      <x:c r="C52" t="str">
        <x:v>Orange</x:v>
      </x:c>
      <x:c r="D52" t="str">
        <x:v>Nightweave Vestments</x:v>
      </x:c>
      <x:c r="E52" t="str">
        <x:v>Shield</x:v>
      </x:c>
      <x:c r="F52" t="str">
        <x:v>Medium</x:v>
      </x:c>
      <x:c r="G52" t="str">
        <x:v>Siren, Mage, Bard, anti-ailment build</x:v>
      </x:c>
      <x:c r="H52" t="n">
        <x:v>4</x:v>
      </x:c>
      <x:c r="I52" t="n">
        <x:v>12</x:v>
      </x:c>
      <x:c r="J52" t="n">
        <x:v>2</x:v>
      </x:c>
      <x:c r="K52" t="n">
        <x:v>0</x:v>
      </x:c>
      <x:c r="L52" t="n">
        <x:v>0</x:v>
      </x:c>
      <x:c r="M52" t="n">
        <x:v>0</x:v>
      </x:c>
      <x:c r="N52" t="n">
        <x:v>2</x:v>
      </x:c>
      <x:c r="O52" t="n">
        <x:v>5</x:v>
      </x:c>
      <x:c r="P52" t="n">
        <x:v>0</x:v>
      </x:c>
      <x:c r="Q52" t="n">
        <x:v>0</x:v>
      </x:c>
      <x:c r="R52" t="str">
        <x:v>After Magic Armour is depleted, hostile magical ailment chance is reduced by 20 percentage points.</x:v>
      </x:c>
      <x:c r="S52" t="str">
        <x:v>First magical ailment successfully applied each combat has its duration reduced by 1 turn, minimum 1.</x:v>
      </x:c>
      <x:c r="T52" t="str">
        <x:v>Ember; Frost; Storm; Venom; Blood; Lunar; Solar</x:v>
      </x:c>
      <x:c r="U52" t="str">
        <x:v>Debuff resistance and magical survival.</x:v>
      </x:c>
      <x:c r="V52" t="str">
        <x:v>Matching protection blocks its ailments. Restoration: 1-turn cooldown and no overflow. Fortify/Ward: heal and overflow with 2-turn cooldown. Dual Bastion/Aegis: 3-turn cooldown.</x:v>
      </x:c>
      <x:c r="W52" t="str">
        <x:v>Active</x:v>
      </x:c>
      <x:c r="X52" t="str">
        <x:v>Moonward</x:v>
      </x:c>
      <x:c r="Y52" t="str">
        <x:v>Night Aegis</x:v>
      </x:c>
      <x:c r="Z52" t="str">
        <x:v>Night Aegis</x:v>
      </x:c>
      <x:c r="AA52" t="n">
        <x:v>3</x:v>
      </x:c>
      <x:c r="AB52" t="n">
        <x:v>2</x:v>
      </x:c>
      <x:c r="AC52" t="str">
        <x:v>Gain 9 Ward Magic Armour (add 9 to current Magic Armour and temporary Maximum Magic Armour) and reduce hostile magical ailment application chance by 10 percentage points for 2 turns.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sheetData>
    <x:row r="1">
      <x:c r="A1" t="str">
        <x:v>Accessory Catalogue — Expanded Equipment Skills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</x:row>
    <x:row r="4">
      <x:c r="A4" t="str">
        <x:v>Item ID</x:v>
      </x:c>
      <x:c r="B4" t="str">
        <x:v>Item Name</x:v>
      </x:c>
      <x:c r="C4" t="str">
        <x:v>Rarity</x:v>
      </x:c>
      <x:c r="D4" t="str">
        <x:v>Slot</x:v>
      </x:c>
      <x:c r="E4" t="str">
        <x:v>Family</x:v>
      </x:c>
      <x:c r="F4" t="str">
        <x:v>Vitality</x:v>
      </x:c>
      <x:c r="G4" t="str">
        <x:v>Might</x:v>
      </x:c>
      <x:c r="H4" t="str">
        <x:v>Dexterity</x:v>
      </x:c>
      <x:c r="I4" t="str">
        <x:v>Guard</x:v>
      </x:c>
      <x:c r="J4" t="str">
        <x:v>Focus</x:v>
      </x:c>
      <x:c r="K4" t="str">
        <x:v>Resolve</x:v>
      </x:c>
      <x:c r="L4" t="str">
        <x:v>Agility</x:v>
      </x:c>
      <x:c r="M4" t="str">
        <x:v>Critical %</x:v>
      </x:c>
      <x:c r="N4" t="str">
        <x:v>Ailment Resistance %</x:v>
      </x:c>
      <x:c r="O4" t="str">
        <x:v>Identity</x:v>
      </x:c>
      <x:c r="P4" t="str">
        <x:v>Notes</x:v>
      </x:c>
      <x:c r="Q4" t="str">
        <x:v>Skill Pool A (2 EN)</x:v>
      </x:c>
      <x:c r="R4" t="str">
        <x:v>Skill Pool B (3 EN)</x:v>
      </x:c>
      <x:c r="S4" t="str">
        <x:v>Default Granted Skill</x:v>
      </x:c>
      <x:c r="T4" t="str">
        <x:v>Skill EN</x:v>
      </x:c>
      <x:c r="U4" t="str">
        <x:v>Cooldown</x:v>
      </x:c>
      <x:c r="V4" t="str">
        <x:v>Granted Skill Effect</x:v>
      </x:c>
    </x:row>
    <x:row r="5">
      <x:c r="A5" t="str">
        <x:v>ACC-001</x:v>
      </x:c>
      <x:c r="B5" t="str">
        <x:v>Fleetstep Anklet</x:v>
      </x:c>
      <x:c r="C5" t="str">
        <x:v>Grey</x:v>
      </x:c>
      <x:c r="D5" t="str">
        <x:v>Anklet</x:v>
      </x:c>
      <x:c r="E5" t="str">
        <x:v>Fleetstep Anklet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1</x:v>
      </x:c>
      <x:c r="M5" t="n">
        <x:v>0</x:v>
      </x:c>
      <x:c r="N5" t="n">
        <x:v>0</x:v>
      </x:c>
      <x:c r="O5" t="str">
        <x:v>Mobility and finesse.</x:v>
      </x:c>
      <x:c r="P5" t="str">
        <x:v>Accessories do not normally grant base Armour or Magic Armour. Restoration skills use 1-turn cooldowns; Fortify/Ward use 2; dual Bastion/Aegis uses 3.</x:v>
      </x:c>
      <x:c r="Q5" t="str">
        <x:v>Quickstep</x:v>
      </x:c>
      <x:c r="R5" t="str">
        <x:v>Slipstream</x:v>
      </x:c>
      <x:c r="S5" t="str">
        <x:v>None</x:v>
      </x:c>
      <x:c r="T5" t="n">
        <x:v>0</x:v>
      </x:c>
      <x:c r="U5" t="n">
        <x:v>0</x:v>
      </x:c>
      <x:c r="V5" t="str">
        <x:v>No granted equipment skill at Grey rarity.</x:v>
      </x:c>
    </x:row>
    <x:row r="6">
      <x:c r="A6" t="str">
        <x:v>ACC-002</x:v>
      </x:c>
      <x:c r="B6" t="str">
        <x:v>Sturdy Fleetstep Anklet</x:v>
      </x:c>
      <x:c r="C6" t="str">
        <x:v>Green</x:v>
      </x:c>
      <x:c r="D6" t="str">
        <x:v>Anklet</x:v>
      </x:c>
      <x:c r="E6" t="str">
        <x:v>Fleetstep Anklet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1</x:v>
      </x:c>
      <x:c r="M6" t="n">
        <x:v>0</x:v>
      </x:c>
      <x:c r="N6" t="n">
        <x:v>0</x:v>
      </x:c>
      <x:c r="O6" t="str">
        <x:v>Mobility and finesse.</x:v>
      </x:c>
      <x:c r="P6" t="str">
        <x:v>Accessories do not normally grant base Armour or Magic Armour. Restoration skills use 1-turn cooldowns; Fortify/Ward use 2; dual Bastion/Aegis uses 3.</x:v>
      </x:c>
      <x:c r="Q6" t="str">
        <x:v>Quickstep</x:v>
      </x:c>
      <x:c r="R6" t="str">
        <x:v>Slipstream</x:v>
      </x:c>
      <x:c r="S6" t="str">
        <x:v>Quickstep</x:v>
      </x:c>
      <x:c r="T6" t="n">
        <x:v>2</x:v>
      </x:c>
      <x:c r="U6" t="n">
        <x:v>0</x:v>
      </x:c>
      <x:c r="V6" t="str">
        <x:v>Gain Minor Agility Up for 2 turns.</x:v>
      </x:c>
    </x:row>
    <x:row r="7">
      <x:c r="A7" t="str">
        <x:v>ACC-003</x:v>
      </x:c>
      <x:c r="B7" t="str">
        <x:v>Tempered Fleetstep Anklet</x:v>
      </x:c>
      <x:c r="C7" t="str">
        <x:v>Blue</x:v>
      </x:c>
      <x:c r="D7" t="str">
        <x:v>Anklet</x:v>
      </x:c>
      <x:c r="E7" t="str">
        <x:v>Fleetstep Anklet</x:v>
      </x:c>
      <x:c r="F7" t="n">
        <x:v>0</x:v>
      </x:c>
      <x:c r="G7" t="n">
        <x:v>0</x:v>
      </x:c>
      <x:c r="H7" t="n">
        <x:v>1</x:v>
      </x:c>
      <x:c r="I7" t="n">
        <x:v>0</x:v>
      </x:c>
      <x:c r="J7" t="n">
        <x:v>0</x:v>
      </x:c>
      <x:c r="K7" t="n">
        <x:v>0</x:v>
      </x:c>
      <x:c r="L7" t="n">
        <x:v>1</x:v>
      </x:c>
      <x:c r="M7" t="n">
        <x:v>0</x:v>
      </x:c>
      <x:c r="N7" t="n">
        <x:v>0</x:v>
      </x:c>
      <x:c r="O7" t="str">
        <x:v>Mobility and finesse.</x:v>
      </x:c>
      <x:c r="P7" t="str">
        <x:v>Accessories do not normally grant base Armour or Magic Armour. Restoration skills use 1-turn cooldowns; Fortify/Ward use 2; dual Bastion/Aegis uses 3.</x:v>
      </x:c>
      <x:c r="Q7" t="str">
        <x:v>Quickstep</x:v>
      </x:c>
      <x:c r="R7" t="str">
        <x:v>Slipstream</x:v>
      </x:c>
      <x:c r="S7" t="str">
        <x:v>Quickstep</x:v>
      </x:c>
      <x:c r="T7" t="n">
        <x:v>2</x:v>
      </x:c>
      <x:c r="U7" t="n">
        <x:v>0</x:v>
      </x:c>
      <x:c r="V7" t="str">
        <x:v>Gain Minor Agility Up for 2 turns.</x:v>
      </x:c>
    </x:row>
    <x:row r="8">
      <x:c r="A8" t="str">
        <x:v>ACC-004</x:v>
      </x:c>
      <x:c r="B8" t="str">
        <x:v>Masterwork Fleetstep Anklet</x:v>
      </x:c>
      <x:c r="C8" t="str">
        <x:v>Purple</x:v>
      </x:c>
      <x:c r="D8" t="str">
        <x:v>Anklet</x:v>
      </x:c>
      <x:c r="E8" t="str">
        <x:v>Fleetstep Anklet</x:v>
      </x:c>
      <x:c r="F8" t="n">
        <x:v>0</x:v>
      </x:c>
      <x:c r="G8" t="n">
        <x:v>0</x:v>
      </x:c>
      <x:c r="H8" t="n">
        <x:v>1</x:v>
      </x:c>
      <x:c r="I8" t="n">
        <x:v>0</x:v>
      </x:c>
      <x:c r="J8" t="n">
        <x:v>0</x:v>
      </x:c>
      <x:c r="K8" t="n">
        <x:v>0</x:v>
      </x:c>
      <x:c r="L8" t="n">
        <x:v>2</x:v>
      </x:c>
      <x:c r="M8" t="n">
        <x:v>0</x:v>
      </x:c>
      <x:c r="N8" t="n">
        <x:v>0</x:v>
      </x:c>
      <x:c r="O8" t="str">
        <x:v>Mobility and finesse.</x:v>
      </x:c>
      <x:c r="P8" t="str">
        <x:v>Accessories do not normally grant base Armour or Magic Armour. Restoration skills use 1-turn cooldowns; Fortify/Ward use 2; dual Bastion/Aegis uses 3.</x:v>
      </x:c>
      <x:c r="Q8" t="str">
        <x:v>Quickstep</x:v>
      </x:c>
      <x:c r="R8" t="str">
        <x:v>Slipstream</x:v>
      </x:c>
      <x:c r="S8" t="str">
        <x:v>Slipstream</x:v>
      </x:c>
      <x:c r="T8" t="n">
        <x:v>3</x:v>
      </x:c>
      <x:c r="U8" t="n">
        <x:v>1</x:v>
      </x:c>
      <x:c r="V8" t="str">
        <x:v>Gain Moderate Agility Up for 1 turn.</x:v>
      </x:c>
    </x:row>
    <x:row r="9">
      <x:c r="A9" t="str">
        <x:v>ACC-005</x:v>
      </x:c>
      <x:c r="B9" t="str">
        <x:v>Regal Fleetstep Anklet</x:v>
      </x:c>
      <x:c r="C9" t="str">
        <x:v>Gold</x:v>
      </x:c>
      <x:c r="D9" t="str">
        <x:v>Anklet</x:v>
      </x:c>
      <x:c r="E9" t="str">
        <x:v>Fleetstep Anklet</x:v>
      </x:c>
      <x:c r="F9" t="n">
        <x:v>0</x:v>
      </x:c>
      <x:c r="G9" t="n">
        <x:v>0</x:v>
      </x:c>
      <x:c r="H9" t="n">
        <x:v>1</x:v>
      </x:c>
      <x:c r="I9" t="n">
        <x:v>0</x:v>
      </x:c>
      <x:c r="J9" t="n">
        <x:v>0</x:v>
      </x:c>
      <x:c r="K9" t="n">
        <x:v>1</x:v>
      </x:c>
      <x:c r="L9" t="n">
        <x:v>2</x:v>
      </x:c>
      <x:c r="M9" t="n">
        <x:v>0</x:v>
      </x:c>
      <x:c r="N9" t="n">
        <x:v>0</x:v>
      </x:c>
      <x:c r="O9" t="str">
        <x:v>Mobility and finesse.</x:v>
      </x:c>
      <x:c r="P9" t="str">
        <x:v>Accessories do not normally grant base Armour or Magic Armour. Restoration skills use 1-turn cooldowns; Fortify/Ward use 2; dual Bastion/Aegis uses 3.</x:v>
      </x:c>
      <x:c r="Q9" t="str">
        <x:v>Quickstep</x:v>
      </x:c>
      <x:c r="R9" t="str">
        <x:v>Slipstream</x:v>
      </x:c>
      <x:c r="S9" t="str">
        <x:v>Slipstream</x:v>
      </x:c>
      <x:c r="T9" t="n">
        <x:v>3</x:v>
      </x:c>
      <x:c r="U9" t="n">
        <x:v>1</x:v>
      </x:c>
      <x:c r="V9" t="str">
        <x:v>Gain Moderate Agility Up for 1 turn.</x:v>
      </x:c>
    </x:row>
    <x:row r="10">
      <x:c r="A10" t="str">
        <x:v>ACC-006</x:v>
      </x:c>
      <x:c r="B10" t="str">
        <x:v>Mythic Fleetstep Anklet</x:v>
      </x:c>
      <x:c r="C10" t="str">
        <x:v>Orange</x:v>
      </x:c>
      <x:c r="D10" t="str">
        <x:v>Anklet</x:v>
      </x:c>
      <x:c r="E10" t="str">
        <x:v>Fleetstep Anklet</x:v>
      </x:c>
      <x:c r="F10" t="n">
        <x:v>0</x:v>
      </x:c>
      <x:c r="G10" t="n">
        <x:v>0</x:v>
      </x:c>
      <x:c r="H10" t="n">
        <x:v>1</x:v>
      </x:c>
      <x:c r="I10" t="n">
        <x:v>0</x:v>
      </x:c>
      <x:c r="J10" t="n">
        <x:v>0</x:v>
      </x:c>
      <x:c r="K10" t="n">
        <x:v>1</x:v>
      </x:c>
      <x:c r="L10" t="n">
        <x:v>3</x:v>
      </x:c>
      <x:c r="M10" t="n">
        <x:v>0</x:v>
      </x:c>
      <x:c r="N10" t="n">
        <x:v>0</x:v>
      </x:c>
      <x:c r="O10" t="str">
        <x:v>Mobility and finesse.</x:v>
      </x:c>
      <x:c r="P10" t="str">
        <x:v>Accessories do not normally grant base Armour or Magic Armour. Restoration skills use 1-turn cooldowns; Fortify/Ward use 2; dual Bastion/Aegis uses 3.</x:v>
      </x:c>
      <x:c r="Q10" t="str">
        <x:v>Quickstep</x:v>
      </x:c>
      <x:c r="R10" t="str">
        <x:v>Slipstream</x:v>
      </x:c>
      <x:c r="S10" t="str">
        <x:v>Slipstream</x:v>
      </x:c>
      <x:c r="T10" t="n">
        <x:v>3</x:v>
      </x:c>
      <x:c r="U10" t="n">
        <x:v>1</x:v>
      </x:c>
      <x:c r="V10" t="str">
        <x:v>Gain Moderate Agility Up for 1 turn.</x:v>
      </x:c>
    </x:row>
    <x:row r="11">
      <x:c r="A11" t="str">
        <x:v>ACC-007</x:v>
      </x:c>
      <x:c r="B11" t="str">
        <x:v>Ironspur Anklet</x:v>
      </x:c>
      <x:c r="C11" t="str">
        <x:v>Grey</x:v>
      </x:c>
      <x:c r="D11" t="str">
        <x:v>Anklet</x:v>
      </x:c>
      <x:c r="E11" t="str">
        <x:v>Ironspur Anklet</x:v>
      </x:c>
      <x:c r="F11" t="n">
        <x:v>0</x:v>
      </x:c>
      <x:c r="G11" t="n">
        <x:v>1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str">
        <x:v>Strength and physical durability.</x:v>
      </x:c>
      <x:c r="P11" t="str">
        <x:v>Accessories do not normally grant base Armour or Magic Armour. Restoration skills use 1-turn cooldowns; Fortify/Ward use 2; dual Bastion/Aegis uses 3.</x:v>
      </x:c>
      <x:c r="Q11" t="str">
        <x:v>Battle Readiness</x:v>
      </x:c>
      <x:c r="R11" t="str">
        <x:v>Iron Stance</x:v>
      </x:c>
      <x:c r="S11" t="str">
        <x:v>None</x:v>
      </x:c>
      <x:c r="T11" t="n">
        <x:v>0</x:v>
      </x:c>
      <x:c r="U11" t="n">
        <x:v>0</x:v>
      </x:c>
      <x:c r="V11" t="str">
        <x:v>No granted equipment skill at Grey rarity.</x:v>
      </x:c>
    </x:row>
    <x:row r="12">
      <x:c r="A12" t="str">
        <x:v>ACC-008</x:v>
      </x:c>
      <x:c r="B12" t="str">
        <x:v>Sturdy Ironspur Anklet</x:v>
      </x:c>
      <x:c r="C12" t="str">
        <x:v>Green</x:v>
      </x:c>
      <x:c r="D12" t="str">
        <x:v>Anklet</x:v>
      </x:c>
      <x:c r="E12" t="str">
        <x:v>Ironspur Anklet</x:v>
      </x:c>
      <x:c r="F12" t="n">
        <x:v>0</x:v>
      </x:c>
      <x:c r="G12" t="n">
        <x:v>1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str">
        <x:v>Strength and physical durability.</x:v>
      </x:c>
      <x:c r="P12" t="str">
        <x:v>Accessories do not normally grant base Armour or Magic Armour. Restoration skills use 1-turn cooldowns; Fortify/Ward use 2; dual Bastion/Aegis uses 3.</x:v>
      </x:c>
      <x:c r="Q12" t="str">
        <x:v>Battle Readiness</x:v>
      </x:c>
      <x:c r="R12" t="str">
        <x:v>Iron Stance</x:v>
      </x:c>
      <x:c r="S12" t="str">
        <x:v>Battle Readiness</x:v>
      </x:c>
      <x:c r="T12" t="n">
        <x:v>2</x:v>
      </x:c>
      <x:c r="U12" t="n">
        <x:v>0</x:v>
      </x:c>
      <x:c r="V12" t="str">
        <x:v>Gain Minor Might Up for 2 turns.</x:v>
      </x:c>
    </x:row>
    <x:row r="13">
      <x:c r="A13" t="str">
        <x:v>ACC-009</x:v>
      </x:c>
      <x:c r="B13" t="str">
        <x:v>Tempered Ironspur Anklet</x:v>
      </x:c>
      <x:c r="C13" t="str">
        <x:v>Blue</x:v>
      </x:c>
      <x:c r="D13" t="str">
        <x:v>Anklet</x:v>
      </x:c>
      <x:c r="E13" t="str">
        <x:v>Ironspur Anklet</x:v>
      </x:c>
      <x:c r="F13" t="n">
        <x:v>0</x:v>
      </x:c>
      <x:c r="G13" t="n">
        <x:v>1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str">
        <x:v>Strength and physical durability.</x:v>
      </x:c>
      <x:c r="P13" t="str">
        <x:v>Accessories do not normally grant base Armour or Magic Armour. Restoration skills use 1-turn cooldowns; Fortify/Ward use 2; dual Bastion/Aegis uses 3.</x:v>
      </x:c>
      <x:c r="Q13" t="str">
        <x:v>Battle Readiness</x:v>
      </x:c>
      <x:c r="R13" t="str">
        <x:v>Iron Stance</x:v>
      </x:c>
      <x:c r="S13" t="str">
        <x:v>Battle Readiness</x:v>
      </x:c>
      <x:c r="T13" t="n">
        <x:v>2</x:v>
      </x:c>
      <x:c r="U13" t="n">
        <x:v>0</x:v>
      </x:c>
      <x:c r="V13" t="str">
        <x:v>Gain Minor Might Up for 2 turns.</x:v>
      </x:c>
    </x:row>
    <x:row r="14">
      <x:c r="A14" t="str">
        <x:v>ACC-010</x:v>
      </x:c>
      <x:c r="B14" t="str">
        <x:v>Masterwork Ironspur Anklet</x:v>
      </x:c>
      <x:c r="C14" t="str">
        <x:v>Purple</x:v>
      </x:c>
      <x:c r="D14" t="str">
        <x:v>Anklet</x:v>
      </x:c>
      <x:c r="E14" t="str">
        <x:v>Ironspur Anklet</x:v>
      </x:c>
      <x:c r="F14" t="n">
        <x:v>0</x:v>
      </x:c>
      <x:c r="G14" t="n">
        <x:v>2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str">
        <x:v>Strength and physical durability.</x:v>
      </x:c>
      <x:c r="P14" t="str">
        <x:v>Accessories do not normally grant base Armour or Magic Armour. Restoration skills use 1-turn cooldowns; Fortify/Ward use 2; dual Bastion/Aegis uses 3.</x:v>
      </x:c>
      <x:c r="Q14" t="str">
        <x:v>Battle Readiness</x:v>
      </x:c>
      <x:c r="R14" t="str">
        <x:v>Iron Stance</x:v>
      </x:c>
      <x:c r="S14" t="str">
        <x:v>Iron Stance</x:v>
      </x:c>
      <x:c r="T14" t="n">
        <x:v>3</x:v>
      </x:c>
      <x:c r="U14" t="n">
        <x:v>1</x:v>
      </x:c>
      <x:c r="V14" t="str">
        <x:v>Gain Minor Might Up and Minor Guard Up for 2 turns.</x:v>
      </x:c>
    </x:row>
    <x:row r="15">
      <x:c r="A15" t="str">
        <x:v>ACC-011</x:v>
      </x:c>
      <x:c r="B15" t="str">
        <x:v>Regal Ironspur Anklet</x:v>
      </x:c>
      <x:c r="C15" t="str">
        <x:v>Gold</x:v>
      </x:c>
      <x:c r="D15" t="str">
        <x:v>Anklet</x:v>
      </x:c>
      <x:c r="E15" t="str">
        <x:v>Ironspur Anklet</x:v>
      </x:c>
      <x:c r="F15" t="n">
        <x:v>1</x:v>
      </x:c>
      <x:c r="G15" t="n">
        <x:v>2</x:v>
      </x:c>
      <x:c r="H15" t="n">
        <x:v>0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str">
        <x:v>Strength and physical durability.</x:v>
      </x:c>
      <x:c r="P15" t="str">
        <x:v>Accessories do not normally grant base Armour or Magic Armour. Restoration skills use 1-turn cooldowns; Fortify/Ward use 2; dual Bastion/Aegis uses 3.</x:v>
      </x:c>
      <x:c r="Q15" t="str">
        <x:v>Battle Readiness</x:v>
      </x:c>
      <x:c r="R15" t="str">
        <x:v>Iron Stance</x:v>
      </x:c>
      <x:c r="S15" t="str">
        <x:v>Iron Stance</x:v>
      </x:c>
      <x:c r="T15" t="n">
        <x:v>3</x:v>
      </x:c>
      <x:c r="U15" t="n">
        <x:v>1</x:v>
      </x:c>
      <x:c r="V15" t="str">
        <x:v>Gain Minor Might Up and Minor Guard Up for 2 turns.</x:v>
      </x:c>
    </x:row>
    <x:row r="16">
      <x:c r="A16" t="str">
        <x:v>ACC-012</x:v>
      </x:c>
      <x:c r="B16" t="str">
        <x:v>Mythic Ironspur Anklet</x:v>
      </x:c>
      <x:c r="C16" t="str">
        <x:v>Orange</x:v>
      </x:c>
      <x:c r="D16" t="str">
        <x:v>Anklet</x:v>
      </x:c>
      <x:c r="E16" t="str">
        <x:v>Ironspur Anklet</x:v>
      </x:c>
      <x:c r="F16" t="n">
        <x:v>1</x:v>
      </x:c>
      <x:c r="G16" t="n">
        <x:v>3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str">
        <x:v>Strength and physical durability.</x:v>
      </x:c>
      <x:c r="P16" t="str">
        <x:v>Accessories do not normally grant base Armour or Magic Armour. Restoration skills use 1-turn cooldowns; Fortify/Ward use 2; dual Bastion/Aegis uses 3.</x:v>
      </x:c>
      <x:c r="Q16" t="str">
        <x:v>Battle Readiness</x:v>
      </x:c>
      <x:c r="R16" t="str">
        <x:v>Iron Stance</x:v>
      </x:c>
      <x:c r="S16" t="str">
        <x:v>Iron Stance</x:v>
      </x:c>
      <x:c r="T16" t="n">
        <x:v>3</x:v>
      </x:c>
      <x:c r="U16" t="n">
        <x:v>1</x:v>
      </x:c>
      <x:c r="V16" t="str">
        <x:v>Gain Minor Might Up and Minor Guard Up for 2 turns.</x:v>
      </x:c>
    </x:row>
    <x:row r="17">
      <x:c r="A17" t="str">
        <x:v>ACC-013</x:v>
      </x:c>
      <x:c r="B17" t="str">
        <x:v>Runeclasp Anklet</x:v>
      </x:c>
      <x:c r="C17" t="str">
        <x:v>Grey</x:v>
      </x:c>
      <x:c r="D17" t="str">
        <x:v>Anklet</x:v>
      </x:c>
      <x:c r="E17" t="str">
        <x:v>Runeclasp Anklet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str">
        <x:v>Magic and warding.</x:v>
      </x:c>
      <x:c r="P17" t="str">
        <x:v>Accessories do not normally grant base Armour or Magic Armour. Restoration skills use 1-turn cooldowns; Fortify/Ward use 2; dual Bastion/Aegis uses 3.</x:v>
      </x:c>
      <x:c r="Q17" t="str">
        <x:v>Rune Mend</x:v>
      </x:c>
      <x:c r="R17" t="str">
        <x:v>Focused Ward</x:v>
      </x:c>
      <x:c r="S17" t="str">
        <x:v>None</x:v>
      </x:c>
      <x:c r="T17" t="n">
        <x:v>0</x:v>
      </x:c>
      <x:c r="U17" t="n">
        <x:v>0</x:v>
      </x:c>
      <x:c r="V17" t="str">
        <x:v>No granted equipment skill at Grey rarity.</x:v>
      </x:c>
    </x:row>
    <x:row r="18">
      <x:c r="A18" t="str">
        <x:v>ACC-014</x:v>
      </x:c>
      <x:c r="B18" t="str">
        <x:v>Sturdy Runeclasp Anklet</x:v>
      </x:c>
      <x:c r="C18" t="str">
        <x:v>Green</x:v>
      </x:c>
      <x:c r="D18" t="str">
        <x:v>Anklet</x:v>
      </x:c>
      <x:c r="E18" t="str">
        <x:v>Runeclasp Anklet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1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str">
        <x:v>Magic and warding.</x:v>
      </x:c>
      <x:c r="P18" t="str">
        <x:v>Accessories do not normally grant base Armour or Magic Armour. Restoration skills use 1-turn cooldowns; Fortify/Ward use 2; dual Bastion/Aegis uses 3.</x:v>
      </x:c>
      <x:c r="Q18" t="str">
        <x:v>Rune Mend</x:v>
      </x:c>
      <x:c r="R18" t="str">
        <x:v>Focused Ward</x:v>
      </x:c>
      <x:c r="S18" t="str">
        <x:v>Rune Mend</x:v>
      </x:c>
      <x:c r="T18" t="n">
        <x:v>2</x:v>
      </x:c>
      <x:c r="U18" t="n">
        <x:v>1</x:v>
      </x:c>
      <x:c r="V18" t="str">
        <x:v>Restore 4 Magic Armour.</x:v>
      </x:c>
    </x:row>
    <x:row r="19">
      <x:c r="A19" t="str">
        <x:v>ACC-015</x:v>
      </x:c>
      <x:c r="B19" t="str">
        <x:v>Tempered Runeclasp Anklet</x:v>
      </x:c>
      <x:c r="C19" t="str">
        <x:v>Blue</x:v>
      </x:c>
      <x:c r="D19" t="str">
        <x:v>Anklet</x:v>
      </x:c>
      <x:c r="E19" t="str">
        <x:v>Runeclasp Anklet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1</x:v>
      </x:c>
      <x:c r="K19" t="n">
        <x:v>1</x:v>
      </x:c>
      <x:c r="L19" t="n">
        <x:v>0</x:v>
      </x:c>
      <x:c r="M19" t="n">
        <x:v>0</x:v>
      </x:c>
      <x:c r="N19" t="n">
        <x:v>0</x:v>
      </x:c>
      <x:c r="O19" t="str">
        <x:v>Magic and warding.</x:v>
      </x:c>
      <x:c r="P19" t="str">
        <x:v>Accessories do not normally grant base Armour or Magic Armour. Restoration skills use 1-turn cooldowns; Fortify/Ward use 2; dual Bastion/Aegis uses 3.</x:v>
      </x:c>
      <x:c r="Q19" t="str">
        <x:v>Rune Mend</x:v>
      </x:c>
      <x:c r="R19" t="str">
        <x:v>Focused Ward</x:v>
      </x:c>
      <x:c r="S19" t="str">
        <x:v>Rune Mend</x:v>
      </x:c>
      <x:c r="T19" t="n">
        <x:v>2</x:v>
      </x:c>
      <x:c r="U19" t="n">
        <x:v>1</x:v>
      </x:c>
      <x:c r="V19" t="str">
        <x:v>Restore 4 Magic Armour.</x:v>
      </x:c>
    </x:row>
    <x:row r="20">
      <x:c r="A20" t="str">
        <x:v>ACC-016</x:v>
      </x:c>
      <x:c r="B20" t="str">
        <x:v>Masterwork Runeclasp Anklet</x:v>
      </x:c>
      <x:c r="C20" t="str">
        <x:v>Purple</x:v>
      </x:c>
      <x:c r="D20" t="str">
        <x:v>Anklet</x:v>
      </x:c>
      <x:c r="E20" t="str">
        <x:v>Runeclasp Anklet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2</x:v>
      </x:c>
      <x:c r="K20" t="n">
        <x:v>1</x:v>
      </x:c>
      <x:c r="L20" t="n">
        <x:v>0</x:v>
      </x:c>
      <x:c r="M20" t="n">
        <x:v>0</x:v>
      </x:c>
      <x:c r="N20" t="n">
        <x:v>0</x:v>
      </x:c>
      <x:c r="O20" t="str">
        <x:v>Magic and warding.</x:v>
      </x:c>
      <x:c r="P20" t="str">
        <x:v>Accessories do not normally grant base Armour or Magic Armour. Restoration skills use 1-turn cooldowns; Fortify/Ward use 2; dual Bastion/Aegis uses 3.</x:v>
      </x:c>
      <x:c r="Q20" t="str">
        <x:v>Rune Mend</x:v>
      </x:c>
      <x:c r="R20" t="str">
        <x:v>Focused Ward</x:v>
      </x:c>
      <x:c r="S20" t="str">
        <x:v>Focused Ward</x:v>
      </x:c>
      <x:c r="T20" t="n">
        <x:v>3</x:v>
      </x:c>
      <x:c r="U20" t="n">
        <x:v>2</x:v>
      </x:c>
      <x:c r="V20" t="str">
        <x:v>Gain 6 Ward Magic Armour (add 6 to current Magic Armour and temporary Maximum Magic Armour) and Minor Focus Up for 2 turns.</x:v>
      </x:c>
    </x:row>
    <x:row r="21">
      <x:c r="A21" t="str">
        <x:v>ACC-017</x:v>
      </x:c>
      <x:c r="B21" t="str">
        <x:v>Regal Runeclasp Anklet</x:v>
      </x:c>
      <x:c r="C21" t="str">
        <x:v>Gold</x:v>
      </x:c>
      <x:c r="D21" t="str">
        <x:v>Anklet</x:v>
      </x:c>
      <x:c r="E21" t="str">
        <x:v>Runeclasp Anklet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2</x:v>
      </x:c>
      <x:c r="K21" t="n">
        <x:v>1</x:v>
      </x:c>
      <x:c r="L21" t="n">
        <x:v>1</x:v>
      </x:c>
      <x:c r="M21" t="n">
        <x:v>0</x:v>
      </x:c>
      <x:c r="N21" t="n">
        <x:v>0</x:v>
      </x:c>
      <x:c r="O21" t="str">
        <x:v>Magic and warding.</x:v>
      </x:c>
      <x:c r="P21" t="str">
        <x:v>Accessories do not normally grant base Armour or Magic Armour. Restoration skills use 1-turn cooldowns; Fortify/Ward use 2; dual Bastion/Aegis uses 3.</x:v>
      </x:c>
      <x:c r="Q21" t="str">
        <x:v>Rune Mend</x:v>
      </x:c>
      <x:c r="R21" t="str">
        <x:v>Focused Ward</x:v>
      </x:c>
      <x:c r="S21" t="str">
        <x:v>Focused Ward</x:v>
      </x:c>
      <x:c r="T21" t="n">
        <x:v>3</x:v>
      </x:c>
      <x:c r="U21" t="n">
        <x:v>2</x:v>
      </x:c>
      <x:c r="V21" t="str">
        <x:v>Gain 6 Ward Magic Armour (add 6 to current Magic Armour and temporary Maximum Magic Armour) and Minor Focus Up for 2 turns.</x:v>
      </x:c>
    </x:row>
    <x:row r="22">
      <x:c r="A22" t="str">
        <x:v>ACC-018</x:v>
      </x:c>
      <x:c r="B22" t="str">
        <x:v>Mythic Runeclasp Anklet</x:v>
      </x:c>
      <x:c r="C22" t="str">
        <x:v>Orange</x:v>
      </x:c>
      <x:c r="D22" t="str">
        <x:v>Anklet</x:v>
      </x:c>
      <x:c r="E22" t="str">
        <x:v>Runeclasp Anklet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3</x:v>
      </x:c>
      <x:c r="K22" t="n">
        <x:v>1</x:v>
      </x:c>
      <x:c r="L22" t="n">
        <x:v>1</x:v>
      </x:c>
      <x:c r="M22" t="n">
        <x:v>0</x:v>
      </x:c>
      <x:c r="N22" t="n">
        <x:v>0</x:v>
      </x:c>
      <x:c r="O22" t="str">
        <x:v>Magic and warding.</x:v>
      </x:c>
      <x:c r="P22" t="str">
        <x:v>Accessories do not normally grant base Armour or Magic Armour. Restoration skills use 1-turn cooldowns; Fortify/Ward use 2; dual Bastion/Aegis uses 3.</x:v>
      </x:c>
      <x:c r="Q22" t="str">
        <x:v>Rune Mend</x:v>
      </x:c>
      <x:c r="R22" t="str">
        <x:v>Focused Ward</x:v>
      </x:c>
      <x:c r="S22" t="str">
        <x:v>Focused Ward</x:v>
      </x:c>
      <x:c r="T22" t="n">
        <x:v>3</x:v>
      </x:c>
      <x:c r="U22" t="n">
        <x:v>2</x:v>
      </x:c>
      <x:c r="V22" t="str">
        <x:v>Gain 6 Ward Magic Armour (add 6 to current Magic Armour and temporary Maximum Magic Armour) and Minor Focus Up for 2 turns.</x:v>
      </x:c>
    </x:row>
    <x:row r="23">
      <x:c r="A23" t="str">
        <x:v>ACC-019</x:v>
      </x:c>
      <x:c r="B23" t="str">
        <x:v>Heartloop Anklet</x:v>
      </x:c>
      <x:c r="C23" t="str">
        <x:v>Grey</x:v>
      </x:c>
      <x:c r="D23" t="str">
        <x:v>Anklet</x:v>
      </x:c>
      <x:c r="E23" t="str">
        <x:v>Heartloop Anklet</x:v>
      </x:c>
      <x:c r="F23" t="n">
        <x:v>1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str">
        <x:v>Health and mixed defence.</x:v>
      </x:c>
      <x:c r="P23" t="str">
        <x:v>Accessories do not normally grant base Armour or Magic Armour. Restoration skills use 1-turn cooldowns; Fortify/Ward use 2; dual Bastion/Aegis uses 3.</x:v>
      </x:c>
      <x:c r="Q23" t="str">
        <x:v>Heartening Pulse</x:v>
      </x:c>
      <x:c r="R23" t="str">
        <x:v>Enduring Rhythm</x:v>
      </x:c>
      <x:c r="S23" t="str">
        <x:v>None</x:v>
      </x:c>
      <x:c r="T23" t="n">
        <x:v>0</x:v>
      </x:c>
      <x:c r="U23" t="n">
        <x:v>0</x:v>
      </x:c>
      <x:c r="V23" t="str">
        <x:v>No granted equipment skill at Grey rarity.</x:v>
      </x:c>
    </x:row>
    <x:row r="24">
      <x:c r="A24" t="str">
        <x:v>ACC-020</x:v>
      </x:c>
      <x:c r="B24" t="str">
        <x:v>Sturdy Heartloop Anklet</x:v>
      </x:c>
      <x:c r="C24" t="str">
        <x:v>Green</x:v>
      </x:c>
      <x:c r="D24" t="str">
        <x:v>Anklet</x:v>
      </x:c>
      <x:c r="E24" t="str">
        <x:v>Heartloop Anklet</x:v>
      </x:c>
      <x:c r="F24" t="n">
        <x:v>1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str">
        <x:v>Health and mixed defence.</x:v>
      </x:c>
      <x:c r="P24" t="str">
        <x:v>Accessories do not normally grant base Armour or Magic Armour. Restoration skills use 1-turn cooldowns; Fortify/Ward use 2; dual Bastion/Aegis uses 3.</x:v>
      </x:c>
      <x:c r="Q24" t="str">
        <x:v>Heartening Pulse</x:v>
      </x:c>
      <x:c r="R24" t="str">
        <x:v>Enduring Rhythm</x:v>
      </x:c>
      <x:c r="S24" t="str">
        <x:v>Heartening Pulse</x:v>
      </x:c>
      <x:c r="T24" t="n">
        <x:v>2</x:v>
      </x:c>
      <x:c r="U24" t="n">
        <x:v>1</x:v>
      </x:c>
      <x:c r="V24" t="str">
        <x:v>Restore 4 to whichever protection pool is currently lower.</x:v>
      </x:c>
    </x:row>
    <x:row r="25">
      <x:c r="A25" t="str">
        <x:v>ACC-021</x:v>
      </x:c>
      <x:c r="B25" t="str">
        <x:v>Tempered Heartloop Anklet</x:v>
      </x:c>
      <x:c r="C25" t="str">
        <x:v>Blue</x:v>
      </x:c>
      <x:c r="D25" t="str">
        <x:v>Anklet</x:v>
      </x:c>
      <x:c r="E25" t="str">
        <x:v>Heartloop Anklet</x:v>
      </x:c>
      <x:c r="F25" t="n">
        <x:v>1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1</x:v>
      </x:c>
      <x:c r="L25" t="n">
        <x:v>0</x:v>
      </x:c>
      <x:c r="M25" t="n">
        <x:v>0</x:v>
      </x:c>
      <x:c r="N25" t="n">
        <x:v>0</x:v>
      </x:c>
      <x:c r="O25" t="str">
        <x:v>Health and mixed defence.</x:v>
      </x:c>
      <x:c r="P25" t="str">
        <x:v>Accessories do not normally grant base Armour or Magic Armour. Restoration skills use 1-turn cooldowns; Fortify/Ward use 2; dual Bastion/Aegis uses 3.</x:v>
      </x:c>
      <x:c r="Q25" t="str">
        <x:v>Heartening Pulse</x:v>
      </x:c>
      <x:c r="R25" t="str">
        <x:v>Enduring Rhythm</x:v>
      </x:c>
      <x:c r="S25" t="str">
        <x:v>Heartening Pulse</x:v>
      </x:c>
      <x:c r="T25" t="n">
        <x:v>2</x:v>
      </x:c>
      <x:c r="U25" t="n">
        <x:v>1</x:v>
      </x:c>
      <x:c r="V25" t="str">
        <x:v>Restore 4 to whichever protection pool is currently lower.</x:v>
      </x:c>
    </x:row>
    <x:row r="26">
      <x:c r="A26" t="str">
        <x:v>ACC-022</x:v>
      </x:c>
      <x:c r="B26" t="str">
        <x:v>Masterwork Heartloop Anklet</x:v>
      </x:c>
      <x:c r="C26" t="str">
        <x:v>Purple</x:v>
      </x:c>
      <x:c r="D26" t="str">
        <x:v>Anklet</x:v>
      </x:c>
      <x:c r="E26" t="str">
        <x:v>Heartloop Anklet</x:v>
      </x:c>
      <x:c r="F26" t="n">
        <x:v>2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1</x:v>
      </x:c>
      <x:c r="L26" t="n">
        <x:v>0</x:v>
      </x:c>
      <x:c r="M26" t="n">
        <x:v>0</x:v>
      </x:c>
      <x:c r="N26" t="n">
        <x:v>0</x:v>
      </x:c>
      <x:c r="O26" t="str">
        <x:v>Health and mixed defence.</x:v>
      </x:c>
      <x:c r="P26" t="str">
        <x:v>Accessories do not normally grant base Armour or Magic Armour. Restoration skills use 1-turn cooldowns; Fortify/Ward use 2; dual Bastion/Aegis uses 3.</x:v>
      </x:c>
      <x:c r="Q26" t="str">
        <x:v>Heartening Pulse</x:v>
      </x:c>
      <x:c r="R26" t="str">
        <x:v>Enduring Rhythm</x:v>
      </x:c>
      <x:c r="S26" t="str">
        <x:v>Enduring Rhythm</x:v>
      </x:c>
      <x:c r="T26" t="n">
        <x:v>3</x:v>
      </x:c>
      <x:c r="U26" t="n">
        <x:v>1</x:v>
      </x:c>
      <x:c r="V26" t="str">
        <x:v>Gain Minor Guard Up and Minor Resolve Up for 2 turns.</x:v>
      </x:c>
    </x:row>
    <x:row r="27">
      <x:c r="A27" t="str">
        <x:v>ACC-023</x:v>
      </x:c>
      <x:c r="B27" t="str">
        <x:v>Regal Heartloop Anklet</x:v>
      </x:c>
      <x:c r="C27" t="str">
        <x:v>Gold</x:v>
      </x:c>
      <x:c r="D27" t="str">
        <x:v>Anklet</x:v>
      </x:c>
      <x:c r="E27" t="str">
        <x:v>Heartloop Anklet</x:v>
      </x:c>
      <x:c r="F27" t="n">
        <x:v>2</x:v>
      </x:c>
      <x:c r="G27" t="n">
        <x:v>0</x:v>
      </x:c>
      <x:c r="H27" t="n">
        <x:v>0</x:v>
      </x:c>
      <x:c r="I27" t="n">
        <x:v>1</x:v>
      </x:c>
      <x:c r="J27" t="n">
        <x:v>0</x:v>
      </x:c>
      <x:c r="K27" t="n">
        <x:v>1</x:v>
      </x:c>
      <x:c r="L27" t="n">
        <x:v>0</x:v>
      </x:c>
      <x:c r="M27" t="n">
        <x:v>0</x:v>
      </x:c>
      <x:c r="N27" t="n">
        <x:v>0</x:v>
      </x:c>
      <x:c r="O27" t="str">
        <x:v>Health and mixed defence.</x:v>
      </x:c>
      <x:c r="P27" t="str">
        <x:v>Accessories do not normally grant base Armour or Magic Armour. Restoration skills use 1-turn cooldowns; Fortify/Ward use 2; dual Bastion/Aegis uses 3.</x:v>
      </x:c>
      <x:c r="Q27" t="str">
        <x:v>Heartening Pulse</x:v>
      </x:c>
      <x:c r="R27" t="str">
        <x:v>Enduring Rhythm</x:v>
      </x:c>
      <x:c r="S27" t="str">
        <x:v>Enduring Rhythm</x:v>
      </x:c>
      <x:c r="T27" t="n">
        <x:v>3</x:v>
      </x:c>
      <x:c r="U27" t="n">
        <x:v>1</x:v>
      </x:c>
      <x:c r="V27" t="str">
        <x:v>Gain Minor Guard Up and Minor Resolve Up for 2 turns.</x:v>
      </x:c>
    </x:row>
    <x:row r="28">
      <x:c r="A28" t="str">
        <x:v>ACC-024</x:v>
      </x:c>
      <x:c r="B28" t="str">
        <x:v>Mythic Heartloop Anklet</x:v>
      </x:c>
      <x:c r="C28" t="str">
        <x:v>Orange</x:v>
      </x:c>
      <x:c r="D28" t="str">
        <x:v>Anklet</x:v>
      </x:c>
      <x:c r="E28" t="str">
        <x:v>Heartloop Anklet</x:v>
      </x:c>
      <x:c r="F28" t="n">
        <x:v>3</x:v>
      </x:c>
      <x:c r="G28" t="n">
        <x:v>0</x:v>
      </x:c>
      <x:c r="H28" t="n">
        <x:v>0</x:v>
      </x:c>
      <x:c r="I28" t="n">
        <x:v>1</x:v>
      </x:c>
      <x:c r="J28" t="n">
        <x:v>0</x:v>
      </x:c>
      <x:c r="K28" t="n">
        <x:v>1</x:v>
      </x:c>
      <x:c r="L28" t="n">
        <x:v>0</x:v>
      </x:c>
      <x:c r="M28" t="n">
        <x:v>0</x:v>
      </x:c>
      <x:c r="N28" t="n">
        <x:v>0</x:v>
      </x:c>
      <x:c r="O28" t="str">
        <x:v>Health and mixed defence.</x:v>
      </x:c>
      <x:c r="P28" t="str">
        <x:v>Accessories do not normally grant base Armour or Magic Armour. Restoration skills use 1-turn cooldowns; Fortify/Ward use 2; dual Bastion/Aegis uses 3.</x:v>
      </x:c>
      <x:c r="Q28" t="str">
        <x:v>Heartening Pulse</x:v>
      </x:c>
      <x:c r="R28" t="str">
        <x:v>Enduring Rhythm</x:v>
      </x:c>
      <x:c r="S28" t="str">
        <x:v>Enduring Rhythm</x:v>
      </x:c>
      <x:c r="T28" t="n">
        <x:v>3</x:v>
      </x:c>
      <x:c r="U28" t="n">
        <x:v>1</x:v>
      </x:c>
      <x:c r="V28" t="str">
        <x:v>Gain Minor Guard Up and Minor Resolve Up for 2 turns.</x:v>
      </x:c>
    </x:row>
    <x:row r="29">
      <x:c r="A29" t="str">
        <x:v>ACC-025</x:v>
      </x:c>
      <x:c r="B29" t="str">
        <x:v>Talonmark Pendant</x:v>
      </x:c>
      <x:c r="C29" t="str">
        <x:v>Grey</x:v>
      </x:c>
      <x:c r="D29" t="str">
        <x:v>Necklace</x:v>
      </x:c>
      <x:c r="E29" t="str">
        <x:v>Talonmark Pendant</x:v>
      </x:c>
      <x:c r="F29" t="n">
        <x:v>0</x:v>
      </x:c>
      <x:c r="G29" t="n">
        <x:v>0</x:v>
      </x:c>
      <x:c r="H29" t="n">
        <x:v>1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str">
        <x:v>Finesse and Critical identity.</x:v>
      </x:c>
      <x:c r="P29" t="str">
        <x:v>Accessories do not normally grant base Armour or Magic Armour. Restoration skills use 1-turn cooldowns; Fortify/Ward use 2; dual Bastion/Aegis uses 3.</x:v>
      </x:c>
      <x:c r="Q29" t="str">
        <x:v>Keen Edge</x:v>
      </x:c>
      <x:c r="R29" t="str">
        <x:v>Marked Opening</x:v>
      </x:c>
      <x:c r="S29" t="str">
        <x:v>None</x:v>
      </x:c>
      <x:c r="T29" t="n">
        <x:v>0</x:v>
      </x:c>
      <x:c r="U29" t="n">
        <x:v>0</x:v>
      </x:c>
      <x:c r="V29" t="str">
        <x:v>No granted equipment skill at Grey rarity.</x:v>
      </x:c>
    </x:row>
    <x:row r="30">
      <x:c r="A30" t="str">
        <x:v>ACC-026</x:v>
      </x:c>
      <x:c r="B30" t="str">
        <x:v>Sturdy Talonmark Pendant</x:v>
      </x:c>
      <x:c r="C30" t="str">
        <x:v>Green</x:v>
      </x:c>
      <x:c r="D30" t="str">
        <x:v>Necklace</x:v>
      </x:c>
      <x:c r="E30" t="str">
        <x:v>Talonmark Pendant</x:v>
      </x:c>
      <x:c r="F30" t="n">
        <x:v>0</x:v>
      </x:c>
      <x:c r="G30" t="n">
        <x:v>0</x:v>
      </x:c>
      <x:c r="H30" t="n">
        <x:v>1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str">
        <x:v>Finesse and Critical identity.</x:v>
      </x:c>
      <x:c r="P30" t="str">
        <x:v>Accessories do not normally grant base Armour or Magic Armour. Restoration skills use 1-turn cooldowns; Fortify/Ward use 2; dual Bastion/Aegis uses 3.</x:v>
      </x:c>
      <x:c r="Q30" t="str">
        <x:v>Keen Edge</x:v>
      </x:c>
      <x:c r="R30" t="str">
        <x:v>Marked Opening</x:v>
      </x:c>
      <x:c r="S30" t="str">
        <x:v>Keen Edge</x:v>
      </x:c>
      <x:c r="T30" t="n">
        <x:v>2</x:v>
      </x:c>
      <x:c r="U30" t="n">
        <x:v>0</x:v>
      </x:c>
      <x:c r="V30" t="str">
        <x:v>Gain Minor Dexterity Up for 2 turns.</x:v>
      </x:c>
    </x:row>
    <x:row r="31">
      <x:c r="A31" t="str">
        <x:v>ACC-027</x:v>
      </x:c>
      <x:c r="B31" t="str">
        <x:v>Tempered Talonmark Pendant</x:v>
      </x:c>
      <x:c r="C31" t="str">
        <x:v>Blue</x:v>
      </x:c>
      <x:c r="D31" t="str">
        <x:v>Necklace</x:v>
      </x:c>
      <x:c r="E31" t="str">
        <x:v>Talonmark Pendant</x:v>
      </x:c>
      <x:c r="F31" t="n">
        <x:v>0</x:v>
      </x:c>
      <x:c r="G31" t="n">
        <x:v>0</x:v>
      </x:c>
      <x:c r="H31" t="n">
        <x:v>1</x:v>
      </x:c>
      <x:c r="I31" t="n">
        <x:v>0</x:v>
      </x:c>
      <x:c r="J31" t="n">
        <x:v>0</x:v>
      </x:c>
      <x:c r="K31" t="n">
        <x:v>0</x:v>
      </x:c>
      <x:c r="L31" t="n">
        <x:v>1</x:v>
      </x:c>
      <x:c r="M31" t="n">
        <x:v>1</x:v>
      </x:c>
      <x:c r="N31" t="n">
        <x:v>0</x:v>
      </x:c>
      <x:c r="O31" t="str">
        <x:v>Finesse and Critical identity.</x:v>
      </x:c>
      <x:c r="P31" t="str">
        <x:v>Accessories do not normally grant base Armour or Magic Armour. Restoration skills use 1-turn cooldowns; Fortify/Ward use 2; dual Bastion/Aegis uses 3.</x:v>
      </x:c>
      <x:c r="Q31" t="str">
        <x:v>Keen Edge</x:v>
      </x:c>
      <x:c r="R31" t="str">
        <x:v>Marked Opening</x:v>
      </x:c>
      <x:c r="S31" t="str">
        <x:v>Keen Edge</x:v>
      </x:c>
      <x:c r="T31" t="n">
        <x:v>2</x:v>
      </x:c>
      <x:c r="U31" t="n">
        <x:v>0</x:v>
      </x:c>
      <x:c r="V31" t="str">
        <x:v>Gain Minor Dexterity Up for 2 turns.</x:v>
      </x:c>
    </x:row>
    <x:row r="32">
      <x:c r="A32" t="str">
        <x:v>ACC-028</x:v>
      </x:c>
      <x:c r="B32" t="str">
        <x:v>Masterwork Talonmark Pendant</x:v>
      </x:c>
      <x:c r="C32" t="str">
        <x:v>Purple</x:v>
      </x:c>
      <x:c r="D32" t="str">
        <x:v>Necklace</x:v>
      </x:c>
      <x:c r="E32" t="str">
        <x:v>Talonmark Pendant</x:v>
      </x:c>
      <x:c r="F32" t="n">
        <x:v>0</x:v>
      </x:c>
      <x:c r="G32" t="n">
        <x:v>0</x:v>
      </x:c>
      <x:c r="H32" t="n">
        <x:v>2</x:v>
      </x:c>
      <x:c r="I32" t="n">
        <x:v>0</x:v>
      </x:c>
      <x:c r="J32" t="n">
        <x:v>0</x:v>
      </x:c>
      <x:c r="K32" t="n">
        <x:v>0</x:v>
      </x:c>
      <x:c r="L32" t="n">
        <x:v>1</x:v>
      </x:c>
      <x:c r="M32" t="n">
        <x:v>2</x:v>
      </x:c>
      <x:c r="N32" t="n">
        <x:v>0</x:v>
      </x:c>
      <x:c r="O32" t="str">
        <x:v>Finesse and Critical identity.</x:v>
      </x:c>
      <x:c r="P32" t="str">
        <x:v>Accessories do not normally grant base Armour or Magic Armour. Restoration skills use 1-turn cooldowns; Fortify/Ward use 2; dual Bastion/Aegis uses 3.</x:v>
      </x:c>
      <x:c r="Q32" t="str">
        <x:v>Keen Edge</x:v>
      </x:c>
      <x:c r="R32" t="str">
        <x:v>Marked Opening</x:v>
      </x:c>
      <x:c r="S32" t="str">
        <x:v>Marked Opening</x:v>
      </x:c>
      <x:c r="T32" t="n">
        <x:v>3</x:v>
      </x:c>
      <x:c r="U32" t="n">
        <x:v>1</x:v>
      </x:c>
      <x:c r="V32" t="str">
        <x:v>The next Finesse skill before the end of the next turn gains +15 Skill Power and +10 Precision.</x:v>
      </x:c>
    </x:row>
    <x:row r="33">
      <x:c r="A33" t="str">
        <x:v>ACC-029</x:v>
      </x:c>
      <x:c r="B33" t="str">
        <x:v>Regal Talonmark Pendant</x:v>
      </x:c>
      <x:c r="C33" t="str">
        <x:v>Gold</x:v>
      </x:c>
      <x:c r="D33" t="str">
        <x:v>Necklace</x:v>
      </x:c>
      <x:c r="E33" t="str">
        <x:v>Talonmark Pendant</x:v>
      </x:c>
      <x:c r="F33" t="n">
        <x:v>1</x:v>
      </x:c>
      <x:c r="G33" t="n">
        <x:v>0</x:v>
      </x:c>
      <x:c r="H33" t="n">
        <x:v>2</x:v>
      </x:c>
      <x:c r="I33" t="n">
        <x:v>0</x:v>
      </x:c>
      <x:c r="J33" t="n">
        <x:v>0</x:v>
      </x:c>
      <x:c r="K33" t="n">
        <x:v>0</x:v>
      </x:c>
      <x:c r="L33" t="n">
        <x:v>1</x:v>
      </x:c>
      <x:c r="M33" t="n">
        <x:v>3</x:v>
      </x:c>
      <x:c r="N33" t="n">
        <x:v>0</x:v>
      </x:c>
      <x:c r="O33" t="str">
        <x:v>Finesse and Critical identity.</x:v>
      </x:c>
      <x:c r="P33" t="str">
        <x:v>Accessories do not normally grant base Armour or Magic Armour. Restoration skills use 1-turn cooldowns; Fortify/Ward use 2; dual Bastion/Aegis uses 3.</x:v>
      </x:c>
      <x:c r="Q33" t="str">
        <x:v>Keen Edge</x:v>
      </x:c>
      <x:c r="R33" t="str">
        <x:v>Marked Opening</x:v>
      </x:c>
      <x:c r="S33" t="str">
        <x:v>Marked Opening</x:v>
      </x:c>
      <x:c r="T33" t="n">
        <x:v>3</x:v>
      </x:c>
      <x:c r="U33" t="n">
        <x:v>1</x:v>
      </x:c>
      <x:c r="V33" t="str">
        <x:v>The next Finesse skill before the end of the next turn gains +15 Skill Power and +10 Precision.</x:v>
      </x:c>
    </x:row>
    <x:row r="34">
      <x:c r="A34" t="str">
        <x:v>ACC-030</x:v>
      </x:c>
      <x:c r="B34" t="str">
        <x:v>Mythic Talonmark Pendant</x:v>
      </x:c>
      <x:c r="C34" t="str">
        <x:v>Orange</x:v>
      </x:c>
      <x:c r="D34" t="str">
        <x:v>Necklace</x:v>
      </x:c>
      <x:c r="E34" t="str">
        <x:v>Talonmark Pendant</x:v>
      </x:c>
      <x:c r="F34" t="n">
        <x:v>1</x:v>
      </x:c>
      <x:c r="G34" t="n">
        <x:v>0</x:v>
      </x:c>
      <x:c r="H34" t="n">
        <x:v>3</x:v>
      </x:c>
      <x:c r="I34" t="n">
        <x:v>0</x:v>
      </x:c>
      <x:c r="J34" t="n">
        <x:v>0</x:v>
      </x:c>
      <x:c r="K34" t="n">
        <x:v>0</x:v>
      </x:c>
      <x:c r="L34" t="n">
        <x:v>1</x:v>
      </x:c>
      <x:c r="M34" t="n">
        <x:v>4</x:v>
      </x:c>
      <x:c r="N34" t="n">
        <x:v>0</x:v>
      </x:c>
      <x:c r="O34" t="str">
        <x:v>Finesse and Critical identity.</x:v>
      </x:c>
      <x:c r="P34" t="str">
        <x:v>Accessories do not normally grant base Armour or Magic Armour. Restoration skills use 1-turn cooldowns; Fortify/Ward use 2; dual Bastion/Aegis uses 3.</x:v>
      </x:c>
      <x:c r="Q34" t="str">
        <x:v>Keen Edge</x:v>
      </x:c>
      <x:c r="R34" t="str">
        <x:v>Marked Opening</x:v>
      </x:c>
      <x:c r="S34" t="str">
        <x:v>Marked Opening</x:v>
      </x:c>
      <x:c r="T34" t="n">
        <x:v>3</x:v>
      </x:c>
      <x:c r="U34" t="n">
        <x:v>1</x:v>
      </x:c>
      <x:c r="V34" t="str">
        <x:v>The next Finesse skill before the end of the next turn gains +15 Skill Power and +10 Precision.</x:v>
      </x:c>
    </x:row>
    <x:row r="35">
      <x:c r="A35" t="str">
        <x:v>ACC-031</x:v>
      </x:c>
      <x:c r="B35" t="str">
        <x:v>Warcrest Torque</x:v>
      </x:c>
      <x:c r="C35" t="str">
        <x:v>Grey</x:v>
      </x:c>
      <x:c r="D35" t="str">
        <x:v>Necklace</x:v>
      </x:c>
      <x:c r="E35" t="str">
        <x:v>Warcrest Torque</x:v>
      </x:c>
      <x:c r="F35" t="n">
        <x:v>0</x:v>
      </x:c>
      <x:c r="G35" t="n">
        <x:v>1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str">
        <x:v>Strength and survivability.</x:v>
      </x:c>
      <x:c r="P35" t="str">
        <x:v>Accessories do not normally grant base Armour or Magic Armour. Restoration skills use 1-turn cooldowns; Fortify/Ward use 2; dual Bastion/Aegis uses 3.</x:v>
      </x:c>
      <x:c r="Q35" t="str">
        <x:v>War Cry</x:v>
      </x:c>
      <x:c r="R35" t="str">
        <x:v>Unbroken Crest</x:v>
      </x:c>
      <x:c r="S35" t="str">
        <x:v>None</x:v>
      </x:c>
      <x:c r="T35" t="n">
        <x:v>0</x:v>
      </x:c>
      <x:c r="U35" t="n">
        <x:v>0</x:v>
      </x:c>
      <x:c r="V35" t="str">
        <x:v>No granted equipment skill at Grey rarity.</x:v>
      </x:c>
    </x:row>
    <x:row r="36">
      <x:c r="A36" t="str">
        <x:v>ACC-032</x:v>
      </x:c>
      <x:c r="B36" t="str">
        <x:v>Sturdy Warcrest Torque</x:v>
      </x:c>
      <x:c r="C36" t="str">
        <x:v>Green</x:v>
      </x:c>
      <x:c r="D36" t="str">
        <x:v>Necklace</x:v>
      </x:c>
      <x:c r="E36" t="str">
        <x:v>Warcrest Torque</x:v>
      </x:c>
      <x:c r="F36" t="n">
        <x:v>0</x:v>
      </x:c>
      <x:c r="G36" t="n">
        <x:v>1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str">
        <x:v>Strength and survivability.</x:v>
      </x:c>
      <x:c r="P36" t="str">
        <x:v>Accessories do not normally grant base Armour or Magic Armour. Restoration skills use 1-turn cooldowns; Fortify/Ward use 2; dual Bastion/Aegis uses 3.</x:v>
      </x:c>
      <x:c r="Q36" t="str">
        <x:v>War Cry</x:v>
      </x:c>
      <x:c r="R36" t="str">
        <x:v>Unbroken Crest</x:v>
      </x:c>
      <x:c r="S36" t="str">
        <x:v>War Cry</x:v>
      </x:c>
      <x:c r="T36" t="n">
        <x:v>2</x:v>
      </x:c>
      <x:c r="U36" t="n">
        <x:v>0</x:v>
      </x:c>
      <x:c r="V36" t="str">
        <x:v>Gain Minor Might Up for 2 turns.</x:v>
      </x:c>
    </x:row>
    <x:row r="37">
      <x:c r="A37" t="str">
        <x:v>ACC-033</x:v>
      </x:c>
      <x:c r="B37" t="str">
        <x:v>Tempered Warcrest Torque</x:v>
      </x:c>
      <x:c r="C37" t="str">
        <x:v>Blue</x:v>
      </x:c>
      <x:c r="D37" t="str">
        <x:v>Necklace</x:v>
      </x:c>
      <x:c r="E37" t="str">
        <x:v>Warcrest Torque</x:v>
      </x:c>
      <x:c r="F37" t="n">
        <x:v>1</x:v>
      </x:c>
      <x:c r="G37" t="n">
        <x:v>1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str">
        <x:v>Strength and survivability.</x:v>
      </x:c>
      <x:c r="P37" t="str">
        <x:v>Accessories do not normally grant base Armour or Magic Armour. Restoration skills use 1-turn cooldowns; Fortify/Ward use 2; dual Bastion/Aegis uses 3.</x:v>
      </x:c>
      <x:c r="Q37" t="str">
        <x:v>War Cry</x:v>
      </x:c>
      <x:c r="R37" t="str">
        <x:v>Unbroken Crest</x:v>
      </x:c>
      <x:c r="S37" t="str">
        <x:v>War Cry</x:v>
      </x:c>
      <x:c r="T37" t="n">
        <x:v>2</x:v>
      </x:c>
      <x:c r="U37" t="n">
        <x:v>0</x:v>
      </x:c>
      <x:c r="V37" t="str">
        <x:v>Gain Minor Might Up for 2 turns.</x:v>
      </x:c>
    </x:row>
    <x:row r="38">
      <x:c r="A38" t="str">
        <x:v>ACC-034</x:v>
      </x:c>
      <x:c r="B38" t="str">
        <x:v>Masterwork Warcrest Torque</x:v>
      </x:c>
      <x:c r="C38" t="str">
        <x:v>Purple</x:v>
      </x:c>
      <x:c r="D38" t="str">
        <x:v>Necklace</x:v>
      </x:c>
      <x:c r="E38" t="str">
        <x:v>Warcrest Torque</x:v>
      </x:c>
      <x:c r="F38" t="n">
        <x:v>1</x:v>
      </x:c>
      <x:c r="G38" t="n">
        <x:v>2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str">
        <x:v>Strength and survivability.</x:v>
      </x:c>
      <x:c r="P38" t="str">
        <x:v>Accessories do not normally grant base Armour or Magic Armour. Restoration skills use 1-turn cooldowns; Fortify/Ward use 2; dual Bastion/Aegis uses 3.</x:v>
      </x:c>
      <x:c r="Q38" t="str">
        <x:v>War Cry</x:v>
      </x:c>
      <x:c r="R38" t="str">
        <x:v>Unbroken Crest</x:v>
      </x:c>
      <x:c r="S38" t="str">
        <x:v>Unbroken Crest</x:v>
      </x:c>
      <x:c r="T38" t="n">
        <x:v>3</x:v>
      </x:c>
      <x:c r="U38" t="n">
        <x:v>2</x:v>
      </x:c>
      <x:c r="V38" t="str">
        <x:v>Gain 6 Fortified Armour (add 6 to current Armour and temporary Maximum Armour) and Minor Guard Up for 2 turns.</x:v>
      </x:c>
    </x:row>
    <x:row r="39">
      <x:c r="A39" t="str">
        <x:v>ACC-035</x:v>
      </x:c>
      <x:c r="B39" t="str">
        <x:v>Regal Warcrest Torque</x:v>
      </x:c>
      <x:c r="C39" t="str">
        <x:v>Gold</x:v>
      </x:c>
      <x:c r="D39" t="str">
        <x:v>Necklace</x:v>
      </x:c>
      <x:c r="E39" t="str">
        <x:v>Warcrest Torque</x:v>
      </x:c>
      <x:c r="F39" t="n">
        <x:v>1</x:v>
      </x:c>
      <x:c r="G39" t="n">
        <x:v>2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str">
        <x:v>Strength and survivability.</x:v>
      </x:c>
      <x:c r="P39" t="str">
        <x:v>Accessories do not normally grant base Armour or Magic Armour. Restoration skills use 1-turn cooldowns; Fortify/Ward use 2; dual Bastion/Aegis uses 3.</x:v>
      </x:c>
      <x:c r="Q39" t="str">
        <x:v>War Cry</x:v>
      </x:c>
      <x:c r="R39" t="str">
        <x:v>Unbroken Crest</x:v>
      </x:c>
      <x:c r="S39" t="str">
        <x:v>Unbroken Crest</x:v>
      </x:c>
      <x:c r="T39" t="n">
        <x:v>3</x:v>
      </x:c>
      <x:c r="U39" t="n">
        <x:v>2</x:v>
      </x:c>
      <x:c r="V39" t="str">
        <x:v>Gain 6 Fortified Armour (add 6 to current Armour and temporary Maximum Armour) and Minor Guard Up for 2 turns.</x:v>
      </x:c>
    </x:row>
    <x:row r="40">
      <x:c r="A40" t="str">
        <x:v>ACC-036</x:v>
      </x:c>
      <x:c r="B40" t="str">
        <x:v>Mythic Warcrest Torque</x:v>
      </x:c>
      <x:c r="C40" t="str">
        <x:v>Orange</x:v>
      </x:c>
      <x:c r="D40" t="str">
        <x:v>Necklace</x:v>
      </x:c>
      <x:c r="E40" t="str">
        <x:v>Warcrest Torque</x:v>
      </x:c>
      <x:c r="F40" t="n">
        <x:v>1</x:v>
      </x:c>
      <x:c r="G40" t="n">
        <x:v>3</x:v>
      </x:c>
      <x:c r="H40" t="n">
        <x:v>0</x:v>
      </x:c>
      <x:c r="I40" t="n">
        <x:v>1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str">
        <x:v>Strength and survivability.</x:v>
      </x:c>
      <x:c r="P40" t="str">
        <x:v>Accessories do not normally grant base Armour or Magic Armour. Restoration skills use 1-turn cooldowns; Fortify/Ward use 2; dual Bastion/Aegis uses 3.</x:v>
      </x:c>
      <x:c r="Q40" t="str">
        <x:v>War Cry</x:v>
      </x:c>
      <x:c r="R40" t="str">
        <x:v>Unbroken Crest</x:v>
      </x:c>
      <x:c r="S40" t="str">
        <x:v>Unbroken Crest</x:v>
      </x:c>
      <x:c r="T40" t="n">
        <x:v>3</x:v>
      </x:c>
      <x:c r="U40" t="n">
        <x:v>2</x:v>
      </x:c>
      <x:c r="V40" t="str">
        <x:v>Gain 6 Fortified Armour (add 6 to current Armour and temporary Maximum Armour) and Minor Guard Up for 2 turns.</x:v>
      </x:c>
    </x:row>
    <x:row r="41">
      <x:c r="A41" t="str">
        <x:v>ACC-037</x:v>
      </x:c>
      <x:c r="B41" t="str">
        <x:v>Runesong Locket</x:v>
      </x:c>
      <x:c r="C41" t="str">
        <x:v>Grey</x:v>
      </x:c>
      <x:c r="D41" t="str">
        <x:v>Necklace</x:v>
      </x:c>
      <x:c r="E41" t="str">
        <x:v>Runesong Locket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1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str">
        <x:v>Magic and magical protection.</x:v>
      </x:c>
      <x:c r="P41" t="str">
        <x:v>Accessories do not normally grant base Armour or Magic Armour. Restoration skills use 1-turn cooldowns; Fortify/Ward use 2; dual Bastion/Aegis uses 3.</x:v>
      </x:c>
      <x:c r="Q41" t="str">
        <x:v>Arcane Clarity</x:v>
      </x:c>
      <x:c r="R41" t="str">
        <x:v>Runic Crescendo</x:v>
      </x:c>
      <x:c r="S41" t="str">
        <x:v>None</x:v>
      </x:c>
      <x:c r="T41" t="n">
        <x:v>0</x:v>
      </x:c>
      <x:c r="U41" t="n">
        <x:v>0</x:v>
      </x:c>
      <x:c r="V41" t="str">
        <x:v>No granted equipment skill at Grey rarity.</x:v>
      </x:c>
    </x:row>
    <x:row r="42">
      <x:c r="A42" t="str">
        <x:v>ACC-038</x:v>
      </x:c>
      <x:c r="B42" t="str">
        <x:v>Sturdy Runesong Locket</x:v>
      </x:c>
      <x:c r="C42" t="str">
        <x:v>Green</x:v>
      </x:c>
      <x:c r="D42" t="str">
        <x:v>Necklace</x:v>
      </x:c>
      <x:c r="E42" t="str">
        <x:v>Runesong Locket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1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str">
        <x:v>Magic and magical protection.</x:v>
      </x:c>
      <x:c r="P42" t="str">
        <x:v>Accessories do not normally grant base Armour or Magic Armour. Restoration skills use 1-turn cooldowns; Fortify/Ward use 2; dual Bastion/Aegis uses 3.</x:v>
      </x:c>
      <x:c r="Q42" t="str">
        <x:v>Arcane Clarity</x:v>
      </x:c>
      <x:c r="R42" t="str">
        <x:v>Runic Crescendo</x:v>
      </x:c>
      <x:c r="S42" t="str">
        <x:v>Arcane Clarity</x:v>
      </x:c>
      <x:c r="T42" t="n">
        <x:v>2</x:v>
      </x:c>
      <x:c r="U42" t="n">
        <x:v>0</x:v>
      </x:c>
      <x:c r="V42" t="str">
        <x:v>Gain Minor Focus Up for 2 turns.</x:v>
      </x:c>
    </x:row>
    <x:row r="43">
      <x:c r="A43" t="str">
        <x:v>ACC-039</x:v>
      </x:c>
      <x:c r="B43" t="str">
        <x:v>Tempered Runesong Locket</x:v>
      </x:c>
      <x:c r="C43" t="str">
        <x:v>Blue</x:v>
      </x:c>
      <x:c r="D43" t="str">
        <x:v>Necklace</x:v>
      </x:c>
      <x:c r="E43" t="str">
        <x:v>Runesong Locket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1</x:v>
      </x:c>
      <x:c r="K43" t="n">
        <x:v>1</x:v>
      </x:c>
      <x:c r="L43" t="n">
        <x:v>0</x:v>
      </x:c>
      <x:c r="M43" t="n">
        <x:v>0</x:v>
      </x:c>
      <x:c r="N43" t="n">
        <x:v>0</x:v>
      </x:c>
      <x:c r="O43" t="str">
        <x:v>Magic and magical protection.</x:v>
      </x:c>
      <x:c r="P43" t="str">
        <x:v>Accessories do not normally grant base Armour or Magic Armour. Restoration skills use 1-turn cooldowns; Fortify/Ward use 2; dual Bastion/Aegis uses 3.</x:v>
      </x:c>
      <x:c r="Q43" t="str">
        <x:v>Arcane Clarity</x:v>
      </x:c>
      <x:c r="R43" t="str">
        <x:v>Runic Crescendo</x:v>
      </x:c>
      <x:c r="S43" t="str">
        <x:v>Arcane Clarity</x:v>
      </x:c>
      <x:c r="T43" t="n">
        <x:v>2</x:v>
      </x:c>
      <x:c r="U43" t="n">
        <x:v>0</x:v>
      </x:c>
      <x:c r="V43" t="str">
        <x:v>Gain Minor Focus Up for 2 turns.</x:v>
      </x:c>
    </x:row>
    <x:row r="44">
      <x:c r="A44" t="str">
        <x:v>ACC-040</x:v>
      </x:c>
      <x:c r="B44" t="str">
        <x:v>Masterwork Runesong Locket</x:v>
      </x:c>
      <x:c r="C44" t="str">
        <x:v>Purple</x:v>
      </x:c>
      <x:c r="D44" t="str">
        <x:v>Necklace</x:v>
      </x:c>
      <x:c r="E44" t="str">
        <x:v>Runesong Locket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2</x:v>
      </x:c>
      <x:c r="K44" t="n">
        <x:v>1</x:v>
      </x:c>
      <x:c r="L44" t="n">
        <x:v>0</x:v>
      </x:c>
      <x:c r="M44" t="n">
        <x:v>0</x:v>
      </x:c>
      <x:c r="N44" t="n">
        <x:v>0</x:v>
      </x:c>
      <x:c r="O44" t="str">
        <x:v>Magic and magical protection.</x:v>
      </x:c>
      <x:c r="P44" t="str">
        <x:v>Accessories do not normally grant base Armour or Magic Armour. Restoration skills use 1-turn cooldowns; Fortify/Ward use 2; dual Bastion/Aegis uses 3.</x:v>
      </x:c>
      <x:c r="Q44" t="str">
        <x:v>Arcane Clarity</x:v>
      </x:c>
      <x:c r="R44" t="str">
        <x:v>Runic Crescendo</x:v>
      </x:c>
      <x:c r="S44" t="str">
        <x:v>Runic Crescendo</x:v>
      </x:c>
      <x:c r="T44" t="n">
        <x:v>3</x:v>
      </x:c>
      <x:c r="U44" t="n">
        <x:v>2</x:v>
      </x:c>
      <x:c r="V44" t="str">
        <x:v>Gain 6 Ward Magic Armour (add 6 to current Magic Armour and temporary Maximum Magic Armour) and Minor Focus Up for 2 turns.</x:v>
      </x:c>
    </x:row>
    <x:row r="45">
      <x:c r="A45" t="str">
        <x:v>ACC-041</x:v>
      </x:c>
      <x:c r="B45" t="str">
        <x:v>Regal Runesong Locket</x:v>
      </x:c>
      <x:c r="C45" t="str">
        <x:v>Gold</x:v>
      </x:c>
      <x:c r="D45" t="str">
        <x:v>Necklace</x:v>
      </x:c>
      <x:c r="E45" t="str">
        <x:v>Runesong Locket</x:v>
      </x:c>
      <x:c r="F45" t="n">
        <x:v>1</x:v>
      </x:c>
      <x:c r="G45" t="n">
        <x:v>0</x:v>
      </x:c>
      <x:c r="H45" t="n">
        <x:v>0</x:v>
      </x:c>
      <x:c r="I45" t="n">
        <x:v>0</x:v>
      </x:c>
      <x:c r="J45" t="n">
        <x:v>2</x:v>
      </x:c>
      <x:c r="K45" t="n">
        <x:v>1</x:v>
      </x:c>
      <x:c r="L45" t="n">
        <x:v>0</x:v>
      </x:c>
      <x:c r="M45" t="n">
        <x:v>0</x:v>
      </x:c>
      <x:c r="N45" t="n">
        <x:v>0</x:v>
      </x:c>
      <x:c r="O45" t="str">
        <x:v>Magic and magical protection.</x:v>
      </x:c>
      <x:c r="P45" t="str">
        <x:v>Accessories do not normally grant base Armour or Magic Armour. Restoration skills use 1-turn cooldowns; Fortify/Ward use 2; dual Bastion/Aegis uses 3.</x:v>
      </x:c>
      <x:c r="Q45" t="str">
        <x:v>Arcane Clarity</x:v>
      </x:c>
      <x:c r="R45" t="str">
        <x:v>Runic Crescendo</x:v>
      </x:c>
      <x:c r="S45" t="str">
        <x:v>Runic Crescendo</x:v>
      </x:c>
      <x:c r="T45" t="n">
        <x:v>3</x:v>
      </x:c>
      <x:c r="U45" t="n">
        <x:v>2</x:v>
      </x:c>
      <x:c r="V45" t="str">
        <x:v>Gain 6 Ward Magic Armour (add 6 to current Magic Armour and temporary Maximum Magic Armour) and Minor Focus Up for 2 turns.</x:v>
      </x:c>
    </x:row>
    <x:row r="46">
      <x:c r="A46" t="str">
        <x:v>ACC-042</x:v>
      </x:c>
      <x:c r="B46" t="str">
        <x:v>Mythic Runesong Locket</x:v>
      </x:c>
      <x:c r="C46" t="str">
        <x:v>Orange</x:v>
      </x:c>
      <x:c r="D46" t="str">
        <x:v>Necklace</x:v>
      </x:c>
      <x:c r="E46" t="str">
        <x:v>Runesong Locket</x:v>
      </x:c>
      <x:c r="F46" t="n">
        <x:v>1</x:v>
      </x:c>
      <x:c r="G46" t="n">
        <x:v>0</x:v>
      </x:c>
      <x:c r="H46" t="n">
        <x:v>0</x:v>
      </x:c>
      <x:c r="I46" t="n">
        <x:v>0</x:v>
      </x:c>
      <x:c r="J46" t="n">
        <x:v>3</x:v>
      </x:c>
      <x:c r="K46" t="n">
        <x:v>1</x:v>
      </x:c>
      <x:c r="L46" t="n">
        <x:v>0</x:v>
      </x:c>
      <x:c r="M46" t="n">
        <x:v>0</x:v>
      </x:c>
      <x:c r="N46" t="n">
        <x:v>0</x:v>
      </x:c>
      <x:c r="O46" t="str">
        <x:v>Magic and magical protection.</x:v>
      </x:c>
      <x:c r="P46" t="str">
        <x:v>Accessories do not normally grant base Armour or Magic Armour. Restoration skills use 1-turn cooldowns; Fortify/Ward use 2; dual Bastion/Aegis uses 3.</x:v>
      </x:c>
      <x:c r="Q46" t="str">
        <x:v>Arcane Clarity</x:v>
      </x:c>
      <x:c r="R46" t="str">
        <x:v>Runic Crescendo</x:v>
      </x:c>
      <x:c r="S46" t="str">
        <x:v>Runic Crescendo</x:v>
      </x:c>
      <x:c r="T46" t="n">
        <x:v>3</x:v>
      </x:c>
      <x:c r="U46" t="n">
        <x:v>2</x:v>
      </x:c>
      <x:c r="V46" t="str">
        <x:v>Gain 6 Ward Magic Armour (add 6 to current Magic Armour and temporary Maximum Magic Armour) and Minor Focus Up for 2 turns.</x:v>
      </x:c>
    </x:row>
    <x:row r="47">
      <x:c r="A47" t="str">
        <x:v>ACC-043</x:v>
      </x:c>
      <x:c r="B47" t="str">
        <x:v>Aegis Charm</x:v>
      </x:c>
      <x:c r="C47" t="str">
        <x:v>Grey</x:v>
      </x:c>
      <x:c r="D47" t="str">
        <x:v>Necklace</x:v>
      </x:c>
      <x:c r="E47" t="str">
        <x:v>Aegis Charm</x:v>
      </x:c>
      <x:c r="F47" t="n">
        <x:v>0</x:v>
      </x:c>
      <x:c r="G47" t="n">
        <x:v>0</x:v>
      </x:c>
      <x:c r="H47" t="n">
        <x:v>0</x:v>
      </x:c>
      <x:c r="I47" t="n">
        <x:v>1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str">
        <x:v>Balanced defensive utility.</x:v>
      </x:c>
      <x:c r="P47" t="str">
        <x:v>Accessories do not normally grant base Armour or Magic Armour. Restoration skills use 1-turn cooldowns; Fortify/Ward use 2; dual Bastion/Aegis uses 3.</x:v>
      </x:c>
      <x:c r="Q47" t="str">
        <x:v>Balance Armour</x:v>
      </x:c>
      <x:c r="R47" t="str">
        <x:v>Dual Aegis</x:v>
      </x:c>
      <x:c r="S47" t="str">
        <x:v>None</x:v>
      </x:c>
      <x:c r="T47" t="n">
        <x:v>0</x:v>
      </x:c>
      <x:c r="U47" t="n">
        <x:v>0</x:v>
      </x:c>
      <x:c r="V47" t="str">
        <x:v>No granted equipment skill at Grey rarity.</x:v>
      </x:c>
    </x:row>
    <x:row r="48">
      <x:c r="A48" t="str">
        <x:v>ACC-044</x:v>
      </x:c>
      <x:c r="B48" t="str">
        <x:v>Sturdy Aegis Charm</x:v>
      </x:c>
      <x:c r="C48" t="str">
        <x:v>Green</x:v>
      </x:c>
      <x:c r="D48" t="str">
        <x:v>Necklace</x:v>
      </x:c>
      <x:c r="E48" t="str">
        <x:v>Aegis Charm</x:v>
      </x:c>
      <x:c r="F48" t="n">
        <x:v>0</x:v>
      </x:c>
      <x:c r="G48" t="n">
        <x:v>0</x:v>
      </x:c>
      <x:c r="H48" t="n">
        <x:v>0</x:v>
      </x:c>
      <x:c r="I48" t="n">
        <x:v>1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str">
        <x:v>Balanced defensive utility.</x:v>
      </x:c>
      <x:c r="P48" t="str">
        <x:v>Accessories do not normally grant base Armour or Magic Armour. Restoration skills use 1-turn cooldowns; Fortify/Ward use 2; dual Bastion/Aegis uses 3.</x:v>
      </x:c>
      <x:c r="Q48" t="str">
        <x:v>Balance Armour</x:v>
      </x:c>
      <x:c r="R48" t="str">
        <x:v>Dual Aegis</x:v>
      </x:c>
      <x:c r="S48" t="str">
        <x:v>Balance Armour</x:v>
      </x:c>
      <x:c r="T48" t="n">
        <x:v>2</x:v>
      </x:c>
      <x:c r="U48" t="n">
        <x:v>1</x:v>
      </x:c>
      <x:c r="V48" t="str">
        <x:v>Restore 4 to whichever protection pool is currently lower.</x:v>
      </x:c>
    </x:row>
    <x:row r="49">
      <x:c r="A49" t="str">
        <x:v>ACC-045</x:v>
      </x:c>
      <x:c r="B49" t="str">
        <x:v>Tempered Aegis Charm</x:v>
      </x:c>
      <x:c r="C49" t="str">
        <x:v>Blue</x:v>
      </x:c>
      <x:c r="D49" t="str">
        <x:v>Necklace</x:v>
      </x:c>
      <x:c r="E49" t="str">
        <x:v>Aegis Charm</x:v>
      </x:c>
      <x:c r="F49" t="n">
        <x:v>0</x:v>
      </x:c>
      <x:c r="G49" t="n">
        <x:v>0</x:v>
      </x:c>
      <x:c r="H49" t="n">
        <x:v>0</x:v>
      </x:c>
      <x:c r="I49" t="n">
        <x:v>1</x:v>
      </x:c>
      <x:c r="J49" t="n">
        <x:v>0</x:v>
      </x:c>
      <x:c r="K49" t="n">
        <x:v>1</x:v>
      </x:c>
      <x:c r="L49" t="n">
        <x:v>0</x:v>
      </x:c>
      <x:c r="M49" t="n">
        <x:v>0</x:v>
      </x:c>
      <x:c r="N49" t="n">
        <x:v>5</x:v>
      </x:c>
      <x:c r="O49" t="str">
        <x:v>Balanced defensive utility.</x:v>
      </x:c>
      <x:c r="P49" t="str">
        <x:v>Accessories do not normally grant base Armour or Magic Armour. Restoration skills use 1-turn cooldowns; Fortify/Ward use 2; dual Bastion/Aegis uses 3.</x:v>
      </x:c>
      <x:c r="Q49" t="str">
        <x:v>Balance Armour</x:v>
      </x:c>
      <x:c r="R49" t="str">
        <x:v>Dual Aegis</x:v>
      </x:c>
      <x:c r="S49" t="str">
        <x:v>Balance Armour</x:v>
      </x:c>
      <x:c r="T49" t="n">
        <x:v>2</x:v>
      </x:c>
      <x:c r="U49" t="n">
        <x:v>1</x:v>
      </x:c>
      <x:c r="V49" t="str">
        <x:v>Restore 4 to whichever protection pool is currently lower.</x:v>
      </x:c>
    </x:row>
    <x:row r="50">
      <x:c r="A50" t="str">
        <x:v>ACC-046</x:v>
      </x:c>
      <x:c r="B50" t="str">
        <x:v>Masterwork Aegis Charm</x:v>
      </x:c>
      <x:c r="C50" t="str">
        <x:v>Purple</x:v>
      </x:c>
      <x:c r="D50" t="str">
        <x:v>Necklace</x:v>
      </x:c>
      <x:c r="E50" t="str">
        <x:v>Aegis Charm</x:v>
      </x:c>
      <x:c r="F50" t="n">
        <x:v>0</x:v>
      </x:c>
      <x:c r="G50" t="n">
        <x:v>0</x:v>
      </x:c>
      <x:c r="H50" t="n">
        <x:v>0</x:v>
      </x:c>
      <x:c r="I50" t="n">
        <x:v>2</x:v>
      </x:c>
      <x:c r="J50" t="n">
        <x:v>0</x:v>
      </x:c>
      <x:c r="K50" t="n">
        <x:v>1</x:v>
      </x:c>
      <x:c r="L50" t="n">
        <x:v>0</x:v>
      </x:c>
      <x:c r="M50" t="n">
        <x:v>0</x:v>
      </x:c>
      <x:c r="N50" t="n">
        <x:v>10</x:v>
      </x:c>
      <x:c r="O50" t="str">
        <x:v>Balanced defensive utility.</x:v>
      </x:c>
      <x:c r="P50" t="str">
        <x:v>Accessories do not normally grant base Armour or Magic Armour. Restoration skills use 1-turn cooldowns; Fortify/Ward use 2; dual Bastion/Aegis uses 3.</x:v>
      </x:c>
      <x:c r="Q50" t="str">
        <x:v>Balance Armour</x:v>
      </x:c>
      <x:c r="R50" t="str">
        <x:v>Dual Aegis</x:v>
      </x:c>
      <x:c r="S50" t="str">
        <x:v>Dual Aegis</x:v>
      </x:c>
      <x:c r="T50" t="n">
        <x:v>3</x:v>
      </x:c>
      <x:c r="U50" t="n">
        <x:v>3</x:v>
      </x:c>
      <x:c r="V50" t="str">
        <x:v>Gain 5 Fortified Armour (add 5 to current Armour and temporary Maximum Armour) and 5 Ward Magic Armour (add 5 to current Magic Armour and temporary Maximum Magic Armour) for 2 turns.</x:v>
      </x:c>
    </x:row>
    <x:row r="51">
      <x:c r="A51" t="str">
        <x:v>ACC-047</x:v>
      </x:c>
      <x:c r="B51" t="str">
        <x:v>Regal Aegis Charm</x:v>
      </x:c>
      <x:c r="C51" t="str">
        <x:v>Gold</x:v>
      </x:c>
      <x:c r="D51" t="str">
        <x:v>Necklace</x:v>
      </x:c>
      <x:c r="E51" t="str">
        <x:v>Aegis Charm</x:v>
      </x:c>
      <x:c r="F51" t="n">
        <x:v>1</x:v>
      </x:c>
      <x:c r="G51" t="n">
        <x:v>0</x:v>
      </x:c>
      <x:c r="H51" t="n">
        <x:v>0</x:v>
      </x:c>
      <x:c r="I51" t="n">
        <x:v>2</x:v>
      </x:c>
      <x:c r="J51" t="n">
        <x:v>0</x:v>
      </x:c>
      <x:c r="K51" t="n">
        <x:v>1</x:v>
      </x:c>
      <x:c r="L51" t="n">
        <x:v>0</x:v>
      </x:c>
      <x:c r="M51" t="n">
        <x:v>0</x:v>
      </x:c>
      <x:c r="N51" t="n">
        <x:v>15</x:v>
      </x:c>
      <x:c r="O51" t="str">
        <x:v>Balanced defensive utility.</x:v>
      </x:c>
      <x:c r="P51" t="str">
        <x:v>Accessories do not normally grant base Armour or Magic Armour. Restoration skills use 1-turn cooldowns; Fortify/Ward use 2; dual Bastion/Aegis uses 3.</x:v>
      </x:c>
      <x:c r="Q51" t="str">
        <x:v>Balance Armour</x:v>
      </x:c>
      <x:c r="R51" t="str">
        <x:v>Dual Aegis</x:v>
      </x:c>
      <x:c r="S51" t="str">
        <x:v>Dual Aegis</x:v>
      </x:c>
      <x:c r="T51" t="n">
        <x:v>3</x:v>
      </x:c>
      <x:c r="U51" t="n">
        <x:v>3</x:v>
      </x:c>
      <x:c r="V51" t="str">
        <x:v>Gain 5 Fortified Armour (add 5 to current Armour and temporary Maximum Armour) and 5 Ward Magic Armour (add 5 to current Magic Armour and temporary Maximum Magic Armour) for 2 turns.</x:v>
      </x:c>
    </x:row>
    <x:row r="52">
      <x:c r="A52" t="str">
        <x:v>ACC-048</x:v>
      </x:c>
      <x:c r="B52" t="str">
        <x:v>Mythic Aegis Charm</x:v>
      </x:c>
      <x:c r="C52" t="str">
        <x:v>Orange</x:v>
      </x:c>
      <x:c r="D52" t="str">
        <x:v>Necklace</x:v>
      </x:c>
      <x:c r="E52" t="str">
        <x:v>Aegis Charm</x:v>
      </x:c>
      <x:c r="F52" t="n">
        <x:v>1</x:v>
      </x:c>
      <x:c r="G52" t="n">
        <x:v>0</x:v>
      </x:c>
      <x:c r="H52" t="n">
        <x:v>0</x:v>
      </x:c>
      <x:c r="I52" t="n">
        <x:v>3</x:v>
      </x:c>
      <x:c r="J52" t="n">
        <x:v>0</x:v>
      </x:c>
      <x:c r="K52" t="n">
        <x:v>1</x:v>
      </x:c>
      <x:c r="L52" t="n">
        <x:v>0</x:v>
      </x:c>
      <x:c r="M52" t="n">
        <x:v>0</x:v>
      </x:c>
      <x:c r="N52" t="n">
        <x:v>20</x:v>
      </x:c>
      <x:c r="O52" t="str">
        <x:v>Balanced defensive utility.</x:v>
      </x:c>
      <x:c r="P52" t="str">
        <x:v>Accessories do not normally grant base Armour or Magic Armour. Restoration skills use 1-turn cooldowns; Fortify/Ward use 2; dual Bastion/Aegis uses 3.</x:v>
      </x:c>
      <x:c r="Q52" t="str">
        <x:v>Balance Armour</x:v>
      </x:c>
      <x:c r="R52" t="str">
        <x:v>Dual Aegis</x:v>
      </x:c>
      <x:c r="S52" t="str">
        <x:v>Dual Aegis</x:v>
      </x:c>
      <x:c r="T52" t="n">
        <x:v>3</x:v>
      </x:c>
      <x:c r="U52" t="n">
        <x:v>3</x:v>
      </x:c>
      <x:c r="V52" t="str">
        <x:v>Gain 5 Fortified Armour (add 5 to current Armour and temporary Maximum Armour) and 5 Ward Magic Armour (add 5 to current Magic Armour and temporary Maximum Magic Armour) for 2 turns.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sheetData>
    <x:row r="1">
      <x:c r="A1" t="str">
        <x:v>Defensive Set Families and Bonuses</x:v>
      </x:c>
      <x:c r="B1"/>
      <x:c r="C1"/>
      <x:c r="D1"/>
      <x:c r="E1"/>
      <x:c r="F1"/>
      <x:c r="G1"/>
      <x:c r="H1"/>
      <x:c r="I1"/>
      <x:c r="J1"/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t="str">
        <x:v>Set</x:v>
      </x:c>
      <x:c r="B4" t="str">
        <x:v>Weight</x:v>
      </x:c>
      <x:c r="C4" t="str">
        <x:v>Protection Split</x:v>
      </x:c>
      <x:c r="D4" t="str">
        <x:v>Best Suited</x:v>
      </x:c>
      <x:c r="E4" t="str">
        <x:v>Primary Stats</x:v>
      </x:c>
      <x:c r="F4" t="str">
        <x:v>Armour Piece</x:v>
      </x:c>
      <x:c r="G4" t="str">
        <x:v>Helmet</x:v>
      </x:c>
      <x:c r="H4" t="str">
        <x:v>Shield</x:v>
      </x:c>
      <x:c r="I4" t="str">
        <x:v>2-Piece Identity</x:v>
      </x:c>
      <x:c r="J4" t="str">
        <x:v>3-Piece Identity</x:v>
      </x:c>
    </x:row>
    <x:row r="5">
      <x:c r="A5" t="str">
        <x:v>Ironfeather Bastion</x:v>
      </x:c>
      <x:c r="B5" t="str">
        <x:v>Heavy</x:v>
      </x:c>
      <x:c r="C5" t="str">
        <x:v>85% Armour / 15% Magic Armour</x:v>
      </x:c>
      <x:c r="D5" t="str">
        <x:v>Knight, Brute, physical Inquisitor</x:v>
      </x:c>
      <x:c r="E5" t="str">
        <x:v>Guard, Vitality, Might</x:v>
      </x:c>
      <x:c r="F5" t="str">
        <x:v>Ironfeather Harness</x:v>
      </x:c>
      <x:c r="G5" t="str">
        <x:v>Ironfeather Beak Helm</x:v>
      </x:c>
      <x:c r="H5" t="str">
        <x:v>Ironwing Bastion Shield</x:v>
      </x:c>
      <x:c r="I5" t="str">
        <x:v>While Armour remains, gain +3 Guard.</x:v>
      </x:c>
      <x:c r="J5" t="str">
        <x:v>First time Armour is depleted each combat, restore 2 Armour.</x:v>
      </x:c>
    </x:row>
    <x:row r="6">
      <x:c r="A6" t="str">
        <x:v>Runewoven Aegis</x:v>
      </x:c>
      <x:c r="B6" t="str">
        <x:v>Medium</x:v>
      </x:c>
      <x:c r="C6" t="str">
        <x:v>15% Armour / 85% Magic Armour</x:v>
      </x:c>
      <x:c r="D6" t="str">
        <x:v>Mage, Siren, magical Bard</x:v>
      </x:c>
      <x:c r="E6" t="str">
        <x:v>Resolve, Focus, Vitality</x:v>
      </x:c>
      <x:c r="F6" t="str">
        <x:v>Runewoven Mantle</x:v>
      </x:c>
      <x:c r="G6" t="str">
        <x:v>Runic Feather Circlet</x:v>
      </x:c>
      <x:c r="H6" t="str">
        <x:v>Runewoven Wing Ward</x:v>
      </x:c>
      <x:c r="I6" t="str">
        <x:v>While Magic Armour remains, gain +3 Resolve.</x:v>
      </x:c>
      <x:c r="J6" t="str">
        <x:v>First time Magic Armour is depleted each combat, restore 2 Magic Armour.</x:v>
      </x:c>
    </x:row>
    <x:row r="7">
      <x:c r="A7" t="str">
        <x:v>Layered Scale</x:v>
      </x:c>
      <x:c r="B7" t="str">
        <x:v>Medium</x:v>
      </x:c>
      <x:c r="C7" t="str">
        <x:v>50% Armour / 50% Magic Armour</x:v>
      </x:c>
      <x:c r="D7" t="str">
        <x:v>Generalist, Inquisitor, Bard</x:v>
      </x:c>
      <x:c r="E7" t="str">
        <x:v>Vitality, Guard, Resolve</x:v>
      </x:c>
      <x:c r="F7" t="str">
        <x:v>Layered Scale Plumage</x:v>
      </x:c>
      <x:c r="G7" t="str">
        <x:v>Layered Scale Visor</x:v>
      </x:c>
      <x:c r="H7" t="str">
        <x:v>Layered Scale Shield</x:v>
      </x:c>
      <x:c r="I7" t="str">
        <x:v>Begin combat with +2 Maximum Armour and +2 Maximum Magic Armour.</x:v>
      </x:c>
      <x:c r="J7" t="str">
        <x:v>Once per combat when either protection pool is depleted, restore 1 to both pools.</x:v>
      </x:c>
    </x:row>
    <x:row r="8">
      <x:c r="A8" t="str">
        <x:v>Shadowplume</x:v>
      </x:c>
      <x:c r="B8" t="str">
        <x:v>Light</x:v>
      </x:c>
      <x:c r="C8" t="str">
        <x:v>40% Armour / 60% Magic Armour</x:v>
      </x:c>
      <x:c r="D8" t="str">
        <x:v>Rogue, Dexterity Bard, bow user</x:v>
      </x:c>
      <x:c r="E8" t="str">
        <x:v>Dexterity, Agility, Resolve</x:v>
      </x:c>
      <x:c r="F8" t="str">
        <x:v>Shadowplume Vest</x:v>
      </x:c>
      <x:c r="G8" t="str">
        <x:v>Shadowplume Hood</x:v>
      </x:c>
      <x:c r="H8" t="str">
        <x:v>Featherwood Buckler</x:v>
      </x:c>
      <x:c r="I8" t="str">
        <x:v>While both protection pools remain above zero, gain +3 Agility.</x:v>
      </x:c>
      <x:c r="J8" t="str">
        <x:v>First successful Dodge each combat restores 1 to the lower protection pool.</x:v>
      </x:c>
    </x:row>
    <x:row r="9">
      <x:c r="A9" t="str">
        <x:v>Bonecrest Warplate</x:v>
      </x:c>
      <x:c r="B9" t="str">
        <x:v>Medium</x:v>
      </x:c>
      <x:c r="C9" t="str">
        <x:v>70% Armour / 30% Magic Armour</x:v>
      </x:c>
      <x:c r="D9" t="str">
        <x:v>Brute, offensive Knight, Might Inquisitor</x:v>
      </x:c>
      <x:c r="E9" t="str">
        <x:v>Might, Guard, Vitality</x:v>
      </x:c>
      <x:c r="F9" t="str">
        <x:v>Bone-Laced Warplumage</x:v>
      </x:c>
      <x:c r="G9" t="str">
        <x:v>Bonecrest Mask</x:v>
      </x:c>
      <x:c r="H9" t="str">
        <x:v>Bonecrest War Shield</x:v>
      </x:c>
      <x:c r="I9" t="str">
        <x:v>While Armour remains, gain +3 Might.</x:v>
      </x:c>
      <x:c r="J9" t="str">
        <x:v>First physical attack that breaks enemy Armour each combat gains +10 Skill Power.</x:v>
      </x:c>
    </x:row>
    <x:row r="10">
      <x:c r="A10" t="str">
        <x:v>Crystalwind Regalia</x:v>
      </x:c>
      <x:c r="B10" t="str">
        <x:v>Light</x:v>
      </x:c>
      <x:c r="C10" t="str">
        <x:v>25% Armour / 75% Magic Armour</x:v>
      </x:c>
      <x:c r="D10" t="str">
        <x:v>Fast Mage, Siren, magical Bard</x:v>
      </x:c>
      <x:c r="E10" t="str">
        <x:v>Focus, Agility, Resolve</x:v>
      </x:c>
      <x:c r="F10" t="str">
        <x:v>Crystalwind Vestments</x:v>
      </x:c>
      <x:c r="G10" t="str">
        <x:v>Crystalwind Circlet</x:v>
      </x:c>
      <x:c r="H10" t="str">
        <x:v>Crystal Wing Ward</x:v>
      </x:c>
      <x:c r="I10" t="str">
        <x:v>While Magic Armour remains, gain +3 Agility.</x:v>
      </x:c>
      <x:c r="J10" t="str">
        <x:v>First magical attack that breaks enemy Magic Armour grants Minor Focus Up until the end of the next turn.</x:v>
      </x:c>
    </x:row>
    <x:row r="11">
      <x:c r="A11" t="str">
        <x:v>Dawnfeather Vestments</x:v>
      </x:c>
      <x:c r="B11" t="str">
        <x:v>Medium</x:v>
      </x:c>
      <x:c r="C11" t="str">
        <x:v>40% Armour / 60% Magic Armour</x:v>
      </x:c>
      <x:c r="D11" t="str">
        <x:v>Inquisitor, support Bard, defensive Mage</x:v>
      </x:c>
      <x:c r="E11" t="str">
        <x:v>Vitality, Resolve, Guard</x:v>
      </x:c>
      <x:c r="F11" t="str">
        <x:v>Dawnfeather Robes</x:v>
      </x:c>
      <x:c r="G11" t="str">
        <x:v>Suncrest Circlet</x:v>
      </x:c>
      <x:c r="H11" t="str">
        <x:v>Dawnward Shield</x:v>
      </x:c>
      <x:c r="I11" t="str">
        <x:v>First time Health is healed each combat, restore 2 Armour and 2 Magic Armour.</x:v>
      </x:c>
      <x:c r="J11" t="str">
        <x:v>Once per combat below 30% Health, restore 2 to the lower protection pool.</x:v>
      </x:c>
    </x:row>
    <x:row r="12">
      <x:c r="A12" t="str">
        <x:v>Nightweave Vestments</x:v>
      </x:c>
      <x:c r="B12" t="str">
        <x:v>Medium</x:v>
      </x:c>
      <x:c r="C12" t="str">
        <x:v>30% Armour / 70% Magic Armour</x:v>
      </x:c>
      <x:c r="D12" t="str">
        <x:v>Siren, Mage, Bard, anti-ailment build</x:v>
      </x:c>
      <x:c r="E12" t="str">
        <x:v>Resolve, Focus, Vitality</x:v>
      </x:c>
      <x:c r="F12" t="str">
        <x:v>Nightweave Mantle</x:v>
      </x:c>
      <x:c r="G12" t="str">
        <x:v>Moonveil Hood</x:v>
      </x:c>
      <x:c r="H12" t="str">
        <x:v>Nightward Shield</x:v>
      </x:c>
      <x:c r="I12" t="str">
        <x:v>After Magic Armour is depleted, hostile magical ailment chance is reduced by 10 percentage points.</x:v>
      </x:c>
      <x:c r="J12" t="str">
        <x:v>First magical ailment successfully applied each combat has its duration reduced by 1 turn, minimum 1.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sheetData>
    <x:row r="1">
      <x:c r="A1" t="str">
        <x:v>Materials, Infusions and Variant Rules</x:v>
      </x:c>
      <x:c r="B1"/>
      <x:c r="C1"/>
      <x:c r="D1"/>
      <x:c r="E1"/>
      <x:c r="F1"/>
      <x:c r="G1"/>
      <x:c r="H1"/>
      <x:c r="I1"/>
      <x:c r="J1"/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t="str">
        <x:v>Material</x:v>
      </x:c>
      <x:c r="B4" t="str">
        <x:v>Protection Identity</x:v>
      </x:c>
      <x:c r="C4" t="str">
        <x:v>Common Stats</x:v>
      </x:c>
      <x:c r="D4" t="str">
        <x:v>Typical Weight</x:v>
      </x:c>
      <x:c r="E4"/>
      <x:c r="F4" t="str">
        <x:v>Infusion</x:v>
      </x:c>
      <x:c r="G4" t="str">
        <x:v>Protects Against</x:v>
      </x:c>
      <x:c r="H4" t="str">
        <x:v>Typical Effects</x:v>
      </x:c>
      <x:c r="I4" t="str">
        <x:v>Example Variant</x:v>
      </x:c>
      <x:c r="J4" t="str">
        <x:v>Availability</x:v>
      </x:c>
    </x:row>
    <x:row r="5">
      <x:c r="A5" t="str">
        <x:v>Ironfeather</x:v>
      </x:c>
      <x:c r="B5" t="str">
        <x:v>Armour-heavy</x:v>
      </x:c>
      <x:c r="C5" t="str">
        <x:v>Guard, Might, Vitality</x:v>
      </x:c>
      <x:c r="D5" t="str">
        <x:v>Heavy</x:v>
      </x:c>
      <x:c r="E5"/>
      <x:c r="F5" t="str">
        <x:v>Ember</x:v>
      </x:c>
      <x:c r="G5" t="str">
        <x:v>Burn / Scorched</x:v>
      </x:c>
      <x:c r="H5" t="str">
        <x:v>Resistance, Magic Armour restoration, anti-Burn effects</x:v>
      </x:c>
      <x:c r="I5" t="str">
        <x:v>Ember-Infused Runewoven Mantle</x:v>
      </x:c>
      <x:c r="J5" t="str">
        <x:v>Green+</x:v>
      </x:c>
    </x:row>
    <x:row r="6">
      <x:c r="A6" t="str">
        <x:v>Bone-laced</x:v>
      </x:c>
      <x:c r="B6" t="str">
        <x:v>Physical-balanced</x:v>
      </x:c>
      <x:c r="C6" t="str">
        <x:v>Vitality, Might, Guard</x:v>
      </x:c>
      <x:c r="D6" t="str">
        <x:v>Medium</x:v>
      </x:c>
      <x:c r="E6"/>
      <x:c r="F6" t="str">
        <x:v>Frost</x:v>
      </x:c>
      <x:c r="G6" t="str">
        <x:v>Chill / Frozen</x:v>
      </x:c>
      <x:c r="H6" t="str">
        <x:v>Stack reduction, Magic Armour restoration</x:v>
      </x:c>
      <x:c r="I6" t="str">
        <x:v>Frostbound Layered Scale Plumage</x:v>
      </x:c>
      <x:c r="J6" t="str">
        <x:v>Green+</x:v>
      </x:c>
    </x:row>
    <x:row r="7">
      <x:c r="A7" t="str">
        <x:v>Leathered Plumage</x:v>
      </x:c>
      <x:c r="B7" t="str">
        <x:v>Light-balanced</x:v>
      </x:c>
      <x:c r="C7" t="str">
        <x:v>Dexterity, Agility</x:v>
      </x:c>
      <x:c r="D7" t="str">
        <x:v>Light</x:v>
      </x:c>
      <x:c r="E7"/>
      <x:c r="F7" t="str">
        <x:v>Storm</x:v>
      </x:c>
      <x:c r="G7" t="str">
        <x:v>Shock / Paralysis</x:v>
      </x:c>
      <x:c r="H7" t="str">
        <x:v>Resistance, Agility, ward restoration</x:v>
      </x:c>
      <x:c r="I7" t="str">
        <x:v>Storm-Infused Shadowplume Hood</x:v>
      </x:c>
      <x:c r="J7" t="str">
        <x:v>Green+</x:v>
      </x:c>
    </x:row>
    <x:row r="8">
      <x:c r="A8" t="str">
        <x:v>Runewoven Feather</x:v>
      </x:c>
      <x:c r="B8" t="str">
        <x:v>Magic-heavy</x:v>
      </x:c>
      <x:c r="C8" t="str">
        <x:v>Focus, Resolve</x:v>
      </x:c>
      <x:c r="D8" t="str">
        <x:v>Medium</x:v>
      </x:c>
      <x:c r="E8"/>
      <x:c r="F8" t="str">
        <x:v>Venom</x:v>
      </x:c>
      <x:c r="G8" t="str">
        <x:v>Poison / Toxic</x:v>
      </x:c>
      <x:c r="H8" t="str">
        <x:v>Application resistance, Magic Armour restoration</x:v>
      </x:c>
      <x:c r="I8" t="str">
        <x:v>Venomward Nightweave Mantle</x:v>
      </x:c>
      <x:c r="J8" t="str">
        <x:v>Green+</x:v>
      </x:c>
    </x:row>
    <x:row r="9">
      <x:c r="A9" t="str">
        <x:v>Crystal-threaded</x:v>
      </x:c>
      <x:c r="B9" t="str">
        <x:v>Magic and speed</x:v>
      </x:c>
      <x:c r="C9" t="str">
        <x:v>Focus, Agility</x:v>
      </x:c>
      <x:c r="D9" t="str">
        <x:v>Light</x:v>
      </x:c>
      <x:c r="E9"/>
      <x:c r="F9" t="str">
        <x:v>Blood</x:v>
      </x:c>
      <x:c r="G9" t="str">
        <x:v>Bleed</x:v>
      </x:c>
      <x:c r="H9" t="str">
        <x:v>Bleed resistance, Armour restoration, martial retaliation</x:v>
      </x:c>
      <x:c r="I9" t="str">
        <x:v>Bloodbound Bonecrest Warplumage</x:v>
      </x:c>
      <x:c r="J9" t="str">
        <x:v>Green+</x:v>
      </x:c>
    </x:row>
    <x:row r="10">
      <x:c r="A10" t="str">
        <x:v>Layered Scale</x:v>
      </x:c>
      <x:c r="B10" t="str">
        <x:v>Balanced</x:v>
      </x:c>
      <x:c r="C10" t="str">
        <x:v>Vitality, Guard, Resolve</x:v>
      </x:c>
      <x:c r="D10" t="str">
        <x:v>Medium</x:v>
      </x:c>
      <x:c r="E10"/>
      <x:c r="F10" t="str">
        <x:v>Lunar</x:v>
      </x:c>
      <x:c r="G10" t="str">
        <x:v>Magical debuffs</x:v>
      </x:c>
      <x:c r="H10" t="str">
        <x:v>Resolve, Magic Armour, night interactions</x:v>
      </x:c>
      <x:c r="I10" t="str">
        <x:v>Lunar Runewoven Circlet</x:v>
      </x:c>
      <x:c r="J10" t="str">
        <x:v>Blue+</x:v>
      </x:c>
    </x:row>
    <x:row r="11">
      <x:c r="A11" t="str">
        <x:v>Shadowplume</x:v>
      </x:c>
      <x:c r="B11" t="str">
        <x:v>Low protection, high mobility</x:v>
      </x:c>
      <x:c r="C11" t="str">
        <x:v>Dexterity, Agility</x:v>
      </x:c>
      <x:c r="D11" t="str">
        <x:v>Light</x:v>
      </x:c>
      <x:c r="E11"/>
      <x:c r="F11" t="str">
        <x:v>Solar</x:v>
      </x:c>
      <x:c r="G11" t="str">
        <x:v>Mixed attrition</x:v>
      </x:c>
      <x:c r="H11" t="str">
        <x:v>Vitality, protection restoration, healing efficiency</x:v>
      </x:c>
      <x:c r="I11" t="str">
        <x:v>Solar Dawnfeather Robes</x:v>
      </x:c>
      <x:c r="J11" t="str">
        <x:v>Blue+</x:v>
      </x:c>
    </x:row>
    <x:row r="12">
      <x:c r="A12" t="str">
        <x:v>Blessed Plumage</x:v>
      </x:c>
      <x:c r="B12" t="str">
        <x:v>Balanced magical defence</x:v>
      </x:c>
      <x:c r="C12" t="str">
        <x:v>Resolve, Vitality</x:v>
      </x:c>
      <x:c r="D12" t="str">
        <x:v>Medium</x:v>
      </x:c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 t="str">
        <x:v>Variant Naming Formula</x:v>
      </x:c>
      <x:c r="B15"/>
      <x:c r="C15"/>
      <x:c r="D15"/>
      <x:c r="E15"/>
      <x:c r="F15"/>
      <x:c r="G15"/>
      <x:c r="H15"/>
      <x:c r="I15"/>
      <x:c r="J15"/>
    </x:row>
    <x:row r="16">
      <x:c r="A16" t="str">
        <x:v>Rarity + Infusion + Material/Set + Slot</x:v>
      </x:c>
      <x:c r="B16"/>
      <x:c r="C16"/>
      <x:c r="D16"/>
      <x:c r="E16"/>
      <x:c r="F16"/>
      <x:c r="G16"/>
      <x:c r="H16"/>
      <x:c r="I16"/>
      <x:c r="J16"/>
    </x:row>
    <x:row r="17">
      <x:c r="A17" t="str">
        <x:v>Example</x:v>
      </x:c>
      <x:c r="B17" t="str">
        <x:v>Blue Storm-Infused Shadowplume Hood</x:v>
      </x:c>
      <x:c r="C17"/>
      <x:c r="D17"/>
      <x:c r="E17"/>
      <x:c r="F17"/>
      <x:c r="G17"/>
      <x:c r="H17"/>
      <x:c r="I17"/>
      <x:c r="J17"/>
    </x:row>
    <x:row r="18">
      <x:c r="A18" t="str">
        <x:v>Core catalogue rows are uninfused bases. Infusions create loot variety without multiplying the base register.</x:v>
      </x:c>
      <x:c r="B18"/>
      <x:c r="C18"/>
      <x:c r="D18"/>
      <x:c r="E18"/>
      <x:c r="F18"/>
      <x:c r="G18"/>
      <x:c r="H18"/>
      <x:c r="I18"/>
      <x:c r="J18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sheetData>
    <x:row r="1">
      <x:c r="A1" t="str">
        <x:v>Ailment Protection and Application Rules</x:v>
      </x:c>
      <x:c r="B1"/>
      <x:c r="C1"/>
      <x:c r="D1"/>
      <x:c r="E1"/>
      <x:c r="F1"/>
      <x:c r="G1"/>
      <x:c r="H1"/>
    </x:row>
    <x:row r="2">
      <x:c r="A2"/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Ailment / Effect</x:v>
      </x:c>
      <x:c r="B4" t="str">
        <x:v>Damage Type</x:v>
      </x:c>
      <x:c r="C4" t="str">
        <x:v>Protection Pool</x:v>
      </x:c>
      <x:c r="D4" t="str">
        <x:v>Application Requirement</x:v>
      </x:c>
      <x:c r="E4" t="str">
        <x:v>Tick Interaction</x:v>
      </x:c>
      <x:c r="F4" t="str">
        <x:v>Restoring Protection</x:v>
      </x:c>
      <x:c r="G4" t="str">
        <x:v>Bypass Rule</x:v>
      </x:c>
      <x:c r="H4" t="str">
        <x:v>Notes</x:v>
      </x:c>
    </x:row>
    <x:row r="5">
      <x:c r="A5" t="str">
        <x:v>Bleed</x:v>
      </x:c>
      <x:c r="B5" t="str">
        <x:v>Physical</x:v>
      </x:c>
      <x:c r="C5" t="str">
        <x:v>Armour</x:v>
      </x:c>
      <x:c r="D5" t="str">
        <x:v>Armour was already zero, or hit breaks Armour and damages Health</x:v>
      </x:c>
      <x:c r="E5" t="str">
        <x:v>Ticks are physical and hit restored Armour first</x:v>
      </x:c>
      <x:c r="F5" t="str">
        <x:v>Does not cleanse Bleed</x:v>
      </x:c>
      <x:c r="G5" t="str">
        <x:v>Piercing Health damage does not bypass ailment gate</x:v>
      </x:c>
      <x:c r="H5" t="str">
        <x:v>Reduces healing according to ailment rules</x:v>
      </x:c>
    </x:row>
    <x:row r="6">
      <x:c r="A6" t="str">
        <x:v>Burn / Scorched</x:v>
      </x:c>
      <x:c r="B6" t="str">
        <x:v>Magical</x:v>
      </x:c>
      <x:c r="C6" t="str">
        <x:v>Magic Armour</x:v>
      </x:c>
      <x:c r="D6" t="str">
        <x:v>Magic Armour was already zero, or hit breaks it and damages Health</x:v>
      </x:c>
      <x:c r="E6" t="str">
        <x:v>Ticks are magical and hit restored Magic Armour first</x:v>
      </x:c>
      <x:c r="F6" t="str">
        <x:v>Does not cleanse Burn</x:v>
      </x:c>
      <x:c r="G6" t="str">
        <x:v>Bypass damage alone does not permit Burn</x:v>
      </x:c>
      <x:c r="H6"/>
    </x:row>
    <x:row r="7">
      <x:c r="A7" t="str">
        <x:v>Poison / Toxic</x:v>
      </x:c>
      <x:c r="B7" t="str">
        <x:v>Magical</x:v>
      </x:c>
      <x:c r="C7" t="str">
        <x:v>Magic Armour</x:v>
      </x:c>
      <x:c r="D7" t="str">
        <x:v>Magic Armour was already zero, or hit breaks it and damages Health</x:v>
      </x:c>
      <x:c r="E7" t="str">
        <x:v>Ticks are magical and hit restored Magic Armour first</x:v>
      </x:c>
      <x:c r="F7" t="str">
        <x:v>Does not cleanse Poison</x:v>
      </x:c>
      <x:c r="G7" t="str">
        <x:v>Bypass damage alone does not permit Poison</x:v>
      </x:c>
      <x:c r="H7"/>
    </x:row>
    <x:row r="8">
      <x:c r="A8" t="str">
        <x:v>Chilled / Frozen</x:v>
      </x:c>
      <x:c r="B8" t="str">
        <x:v>Magical</x:v>
      </x:c>
      <x:c r="C8" t="str">
        <x:v>Magic Armour</x:v>
      </x:c>
      <x:c r="D8" t="str">
        <x:v>Magic Armour must be broken before stacks apply</x:v>
      </x:c>
      <x:c r="E8" t="str">
        <x:v>No damage unless skill states otherwise</x:v>
      </x:c>
      <x:c r="F8" t="str">
        <x:v>Does not remove stacks</x:v>
      </x:c>
      <x:c r="G8" t="str">
        <x:v>Bypass damage does not bypass gate</x:v>
      </x:c>
      <x:c r="H8" t="str">
        <x:v>Frozen occurs through its confirmed stack rule</x:v>
      </x:c>
    </x:row>
    <x:row r="9">
      <x:c r="A9" t="str">
        <x:v>Shock / Paralysis</x:v>
      </x:c>
      <x:c r="B9" t="str">
        <x:v>Magical</x:v>
      </x:c>
      <x:c r="C9" t="str">
        <x:v>Magic Armour</x:v>
      </x:c>
      <x:c r="D9" t="str">
        <x:v>Magic Armour must be broken before stacks/effect apply</x:v>
      </x:c>
      <x:c r="E9" t="str">
        <x:v>No damage unless skill states otherwise</x:v>
      </x:c>
      <x:c r="F9" t="str">
        <x:v>Does not remove effect</x:v>
      </x:c>
      <x:c r="G9" t="str">
        <x:v>Bypass damage does not bypass gate</x:v>
      </x:c>
      <x:c r="H9"/>
    </x:row>
    <x:row r="10">
      <x:c r="A10" t="str">
        <x:v>Physical stat debuff</x:v>
      </x:c>
      <x:c r="B10" t="str">
        <x:v>Physical</x:v>
      </x:c>
      <x:c r="C10" t="str">
        <x:v>Armour</x:v>
      </x:c>
      <x:c r="D10" t="str">
        <x:v>Source hit must reach Health</x:v>
      </x:c>
      <x:c r="E10" t="str">
        <x:v>No tick unless defined</x:v>
      </x:c>
      <x:c r="F10" t="str">
        <x:v>Does not cleanse debuff</x:v>
      </x:c>
      <x:c r="G10" t="str">
        <x:v>Source type determines pool</x:v>
      </x:c>
      <x:c r="H10" t="str">
        <x:v>Example: physical Guard Down</x:v>
      </x:c>
    </x:row>
    <x:row r="11">
      <x:c r="A11" t="str">
        <x:v>Magical stat debuff</x:v>
      </x:c>
      <x:c r="B11" t="str">
        <x:v>Magical</x:v>
      </x:c>
      <x:c r="C11" t="str">
        <x:v>Magic Armour</x:v>
      </x:c>
      <x:c r="D11" t="str">
        <x:v>Source hit must reach Health</x:v>
      </x:c>
      <x:c r="E11" t="str">
        <x:v>No tick unless defined</x:v>
      </x:c>
      <x:c r="F11" t="str">
        <x:v>Does not cleanse debuff</x:v>
      </x:c>
      <x:c r="G11" t="str">
        <x:v>Source type determines pool</x:v>
      </x:c>
      <x:c r="H11" t="str">
        <x:v>Example: magical Guard Down</x:v>
      </x:c>
    </x:row>
    <x:row r="12">
      <x:c r="A12" t="str">
        <x:v>Delayed Damage</x:v>
      </x:c>
      <x:c r="B12" t="str">
        <x:v>Source Type</x:v>
      </x:c>
      <x:c r="C12" t="str">
        <x:v>Matching pool</x:v>
      </x:c>
      <x:c r="D12" t="str">
        <x:v>Apply only after matching protection condition is met</x:v>
      </x:c>
      <x:c r="E12" t="str">
        <x:v>Damage uses original source type</x:v>
      </x:c>
      <x:c r="F12" t="str">
        <x:v>Does not remove delayed effect</x:v>
      </x:c>
      <x:c r="G12" t="str">
        <x:v>Source type determines pool</x:v>
      </x:c>
      <x:c r="H12"/>
    </x:row>
    <x:row r="13">
      <x:c r="A13" s="41" t="str">
        <x:v>Fracture / Shattered</x:v>
      </x:c>
      <x:c r="B13" s="41" t="str">
        <x:v>Physical</x:v>
      </x:c>
      <x:c r="C13" s="41" t="str">
        <x:v>Armour</x:v>
      </x:c>
      <x:c r="D13" s="41" t="str">
        <x:v>Armour was already zero, or the hit breaks Armour and damages Health.</x:v>
      </x:c>
      <x:c r="E13" s="41" t="str">
        <x:v>No damage tick; effects modify Guard and Armour recovery.</x:v>
      </x:c>
      <x:c r="F13" s="41" t="str">
        <x:v>Restoring Armour does not remove stacks or Shattered.</x:v>
      </x:c>
      <x:c r="G13" s="41" t="str">
        <x:v>Piercing Health damage does not bypass the gate.</x:v>
      </x:c>
      <x:c r="H13" s="41" t="str">
        <x:v>Blunt and heavy breaking weapon family.</x:v>
      </x:c>
    </x:row>
    <x:row r="14">
      <x:c r="A14" s="41" t="str">
        <x:v>Crippled / Immobilised</x:v>
      </x:c>
      <x:c r="B14" s="41" t="str">
        <x:v>Physical</x:v>
      </x:c>
      <x:c r="C14" s="41" t="str">
        <x:v>Armour</x:v>
      </x:c>
      <x:c r="D14" s="41" t="str">
        <x:v>Armour was already zero, or the hit breaks Armour and damages Health.</x:v>
      </x:c>
      <x:c r="E14" s="41" t="str">
        <x:v>No damage tick; effects modify Agility, Dodge and mobility access.</x:v>
      </x:c>
      <x:c r="F14" s="41" t="str">
        <x:v>Restoring Armour does not remove stacks or Immobilised.</x:v>
      </x:c>
      <x:c r="G14" s="41" t="str">
        <x:v>Piercing Health damage does not bypass the gate.</x:v>
      </x:c>
      <x:c r="H14" s="41" t="str">
        <x:v>Bow and precision disable family.</x:v>
      </x:c>
    </x:row>
    <x:row r="15">
      <x:c r="A15" s="41" t="str">
        <x:v>Dazed / Concussed</x:v>
      </x:c>
      <x:c r="B15" s="41" t="str">
        <x:v>Physical</x:v>
      </x:c>
      <x:c r="C15" s="41" t="str">
        <x:v>Armour</x:v>
      </x:c>
      <x:c r="D15" s="41" t="str">
        <x:v>Armour was already zero, or the hit breaks Armour and damages Health.</x:v>
      </x:c>
      <x:c r="E15" s="41" t="str">
        <x:v>No damage tick; effects modify Precision, Skill Power and next offensive EN cost.</x:v>
      </x:c>
      <x:c r="F15" s="41" t="str">
        <x:v>Restoring Armour does not remove stacks or Concussed.</x:v>
      </x:c>
      <x:c r="G15" s="41" t="str">
        <x:v>Piercing Health damage does not bypass the gate.</x:v>
      </x:c>
      <x:c r="H15" s="41" t="str">
        <x:v>Blunt impact and concussion family.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sheetData>
    <x:row r="1">
      <x:c r="A1" t="str">
        <x:v>Unified Equipment Catalogue — Weapon and Equipment Skills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</x:row>
    <x:row r="4">
      <x:c r="A4" t="str">
        <x:v>Item ID</x:v>
      </x:c>
      <x:c r="B4" t="str">
        <x:v>Item Name</x:v>
      </x:c>
      <x:c r="C4" t="str">
        <x:v>Rarity</x:v>
      </x:c>
      <x:c r="D4" t="str">
        <x:v>Slot</x:v>
      </x:c>
      <x:c r="E4" t="str">
        <x:v>Family / Set</x:v>
      </x:c>
      <x:c r="F4" t="str">
        <x:v>Hands / Weight</x:v>
      </x:c>
      <x:c r="G4" t="str">
        <x:v>Class / Best Suited</x:v>
      </x:c>
      <x:c r="H4" t="str">
        <x:v>Damage Category</x:v>
      </x:c>
      <x:c r="I4" t="str">
        <x:v>Scaling Stat</x:v>
      </x:c>
      <x:c r="J4" t="str">
        <x:v>Damage Min</x:v>
      </x:c>
      <x:c r="K4" t="str">
        <x:v>Damage Max</x:v>
      </x:c>
      <x:c r="L4" t="str">
        <x:v>Armour</x:v>
      </x:c>
      <x:c r="M4" t="str">
        <x:v>Magic Armour</x:v>
      </x:c>
      <x:c r="N4" t="str">
        <x:v>Vitality</x:v>
      </x:c>
      <x:c r="O4" t="str">
        <x:v>Might</x:v>
      </x:c>
      <x:c r="P4" t="str">
        <x:v>Dexterity</x:v>
      </x:c>
      <x:c r="Q4" t="str">
        <x:v>Guard</x:v>
      </x:c>
      <x:c r="R4" t="str">
        <x:v>Focus</x:v>
      </x:c>
      <x:c r="S4" t="str">
        <x:v>Resolve</x:v>
      </x:c>
      <x:c r="T4" t="str">
        <x:v>Agility Net</x:v>
      </x:c>
      <x:c r="U4" t="str">
        <x:v>Critical %</x:v>
      </x:c>
      <x:c r="V4" t="str">
        <x:v>Physical Pen.</x:v>
      </x:c>
      <x:c r="W4" t="str">
        <x:v>Magic Pen.</x:v>
      </x:c>
      <x:c r="X4" t="str">
        <x:v>Skill 1 / Pool A</x:v>
      </x:c>
      <x:c r="Y4" t="str">
        <x:v>Skill 1 EN</x:v>
      </x:c>
      <x:c r="Z4" t="str">
        <x:v>Skill 1 Power %</x:v>
      </x:c>
      <x:c r="AA4" t="str">
        <x:v>Skill 2 / Pool B</x:v>
      </x:c>
      <x:c r="AB4" t="str">
        <x:v>Skill 2 EN</x:v>
      </x:c>
      <x:c r="AC4" t="str">
        <x:v>Skill 2 Power %</x:v>
      </x:c>
      <x:c r="AD4" t="str">
        <x:v>Cooldown</x:v>
      </x:c>
      <x:c r="AE4" t="str">
        <x:v>Skill Effect / Default</x:v>
      </x:c>
      <x:c r="AF4" t="str">
        <x:v>Set Bonus</x:v>
      </x:c>
      <x:c r="AG4" t="str">
        <x:v>Variant / Resistance</x:v>
      </x:c>
      <x:c r="AH4" t="str">
        <x:v>Notes</x:v>
      </x:c>
    </x:row>
    <x:row r="5">
      <x:c r="A5" t="str">
        <x:v>WPN-001</x:v>
      </x:c>
      <x:c r="B5" t="str">
        <x:v>Dagger Pinion</x:v>
      </x:c>
      <x:c r="C5" t="str">
        <x:v>Grey</x:v>
      </x:c>
      <x:c r="D5" t="str">
        <x:v>Weapon</x:v>
      </x:c>
      <x:c r="E5" t="str">
        <x:v>Dagger Pinion</x:v>
      </x:c>
      <x:c r="F5" t="str">
        <x:v>1H</x:v>
      </x:c>
      <x:c r="G5" t="str">
        <x:v>Rogue only</x:v>
      </x:c>
      <x:c r="H5" t="str">
        <x:v>Physical Finesse</x:v>
      </x:c>
      <x:c r="I5" t="str">
        <x:v>Dexterity</x:v>
      </x:c>
      <x:c r="J5" t="n">
        <x:v>2</x:v>
      </x:c>
      <x:c r="K5" t="n">
        <x:v>3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1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str">
        <x:v>Quick Pinion</x:v>
      </x:c>
      <x:c r="Y5" t="n">
        <x:v>2</x:v>
      </x:c>
      <x:c r="Z5" t="n">
        <x:v>110</x:v>
      </x:c>
      <x:c r="AA5" t="str">
        <x:v>Pinion Flurry</x:v>
      </x:c>
      <x:c r="AB5" t="n">
        <x:v>3</x:v>
      </x:c>
      <x:c r="AC5" t="n">
        <x:v>120</x:v>
      </x:c>
      <x:c r="AD5" t="n">
        <x:v>1</x:v>
      </x:c>
      <x:c r="AE5" t="str">
        <x:v>Strike twice for 60% weapon damage per hit. If both hits damage Health, roll a 50% chance to apply Bleed.</x:v>
      </x:c>
      <x:c r="AF5"/>
      <x:c r="AG5" t="str">
        <x:v>Fast, precise finesse strike.</x:v>
      </x:c>
      <x:c r="AH5" t="str">
        <x:v>Weapon Skill 2 normally has a 1-turn cooldown; Fortify/Ward use 2 turns; dual Bastion/Aegis uses 3 turns.</x:v>
      </x:c>
    </x:row>
    <x:row r="6">
      <x:c r="A6" t="str">
        <x:v>WPN-002</x:v>
      </x:c>
      <x:c r="B6" t="str">
        <x:v>Sturdy Dagger Pinion</x:v>
      </x:c>
      <x:c r="C6" t="str">
        <x:v>Green</x:v>
      </x:c>
      <x:c r="D6" t="str">
        <x:v>Weapon</x:v>
      </x:c>
      <x:c r="E6" t="str">
        <x:v>Dagger Pinion</x:v>
      </x:c>
      <x:c r="F6" t="str">
        <x:v>1H</x:v>
      </x:c>
      <x:c r="G6" t="str">
        <x:v>Rogue only</x:v>
      </x:c>
      <x:c r="H6" t="str">
        <x:v>Physical Finesse</x:v>
      </x:c>
      <x:c r="I6" t="str">
        <x:v>Dexterity</x:v>
      </x:c>
      <x:c r="J6" t="n">
        <x:v>3</x:v>
      </x:c>
      <x:c r="K6" t="n">
        <x:v>4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1</x:v>
      </x:c>
      <x:c r="Q6" t="n">
        <x:v>0</x:v>
      </x:c>
      <x:c r="R6" t="n">
        <x:v>0</x:v>
      </x:c>
      <x:c r="S6" t="n">
        <x:v>0</x:v>
      </x:c>
      <x:c r="T6" t="n">
        <x:v>1</x:v>
      </x:c>
      <x:c r="U6" t="n">
        <x:v>0</x:v>
      </x:c>
      <x:c r="V6" t="n">
        <x:v>0</x:v>
      </x:c>
      <x:c r="W6" t="n">
        <x:v>0</x:v>
      </x:c>
      <x:c r="X6" t="str">
        <x:v>Quick Pinion</x:v>
      </x:c>
      <x:c r="Y6" t="n">
        <x:v>2</x:v>
      </x:c>
      <x:c r="Z6" t="n">
        <x:v>110</x:v>
      </x:c>
      <x:c r="AA6" t="str">
        <x:v>Pinion Flurry</x:v>
      </x:c>
      <x:c r="AB6" t="n">
        <x:v>3</x:v>
      </x:c>
      <x:c r="AC6" t="n">
        <x:v>120</x:v>
      </x:c>
      <x:c r="AD6" t="n">
        <x:v>1</x:v>
      </x:c>
      <x:c r="AE6" t="str">
        <x:v>Strike twice for 60% weapon damage per hit. If both hits damage Health, roll a 50% chance to apply Bleed.</x:v>
      </x:c>
      <x:c r="AF6"/>
      <x:c r="AG6" t="str">
        <x:v>Fast, precise finesse strike.</x:v>
      </x:c>
      <x:c r="AH6" t="str">
        <x:v>Weapon Skill 2 normally has a 1-turn cooldown; Fortify/Ward use 2 turns; dual Bastion/Aegis uses 3 turns.</x:v>
      </x:c>
    </x:row>
    <x:row r="7">
      <x:c r="A7" t="str">
        <x:v>WPN-003</x:v>
      </x:c>
      <x:c r="B7" t="str">
        <x:v>Tempered Dagger Pinion</x:v>
      </x:c>
      <x:c r="C7" t="str">
        <x:v>Blue</x:v>
      </x:c>
      <x:c r="D7" t="str">
        <x:v>Weapon</x:v>
      </x:c>
      <x:c r="E7" t="str">
        <x:v>Dagger Pinion</x:v>
      </x:c>
      <x:c r="F7" t="str">
        <x:v>1H</x:v>
      </x:c>
      <x:c r="G7" t="str">
        <x:v>Rogue only</x:v>
      </x:c>
      <x:c r="H7" t="str">
        <x:v>Physical Finesse</x:v>
      </x:c>
      <x:c r="I7" t="str">
        <x:v>Dexterity</x:v>
      </x:c>
      <x:c r="J7" t="n">
        <x:v>3</x:v>
      </x:c>
      <x:c r="K7" t="n">
        <x:v>5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2</x:v>
      </x:c>
      <x:c r="Q7" t="n">
        <x:v>0</x:v>
      </x:c>
      <x:c r="R7" t="n">
        <x:v>0</x:v>
      </x:c>
      <x:c r="S7" t="n">
        <x:v>0</x:v>
      </x:c>
      <x:c r="T7" t="n">
        <x:v>1</x:v>
      </x:c>
      <x:c r="U7" t="n">
        <x:v>1</x:v>
      </x:c>
      <x:c r="V7" t="n">
        <x:v>0</x:v>
      </x:c>
      <x:c r="W7" t="n">
        <x:v>0</x:v>
      </x:c>
      <x:c r="X7" t="str">
        <x:v>Quick Pinion</x:v>
      </x:c>
      <x:c r="Y7" t="n">
        <x:v>2</x:v>
      </x:c>
      <x:c r="Z7" t="n">
        <x:v>110</x:v>
      </x:c>
      <x:c r="AA7" t="str">
        <x:v>Pinion Flurry</x:v>
      </x:c>
      <x:c r="AB7" t="n">
        <x:v>3</x:v>
      </x:c>
      <x:c r="AC7" t="n">
        <x:v>120</x:v>
      </x:c>
      <x:c r="AD7" t="n">
        <x:v>1</x:v>
      </x:c>
      <x:c r="AE7" t="str">
        <x:v>Strike twice for 60% weapon damage per hit. If both hits damage Health, roll a 50% chance to apply Bleed.</x:v>
      </x:c>
      <x:c r="AF7"/>
      <x:c r="AG7" t="str">
        <x:v>Fast, precise finesse strike.</x:v>
      </x:c>
      <x:c r="AH7" t="str">
        <x:v>Weapon Skill 2 normally has a 1-turn cooldown; Fortify/Ward use 2 turns; dual Bastion/Aegis uses 3 turns.</x:v>
      </x:c>
    </x:row>
    <x:row r="8">
      <x:c r="A8" t="str">
        <x:v>WPN-004</x:v>
      </x:c>
      <x:c r="B8" t="str">
        <x:v>Masterwork Dagger Pinion</x:v>
      </x:c>
      <x:c r="C8" t="str">
        <x:v>Purple</x:v>
      </x:c>
      <x:c r="D8" t="str">
        <x:v>Weapon</x:v>
      </x:c>
      <x:c r="E8" t="str">
        <x:v>Dagger Pinion</x:v>
      </x:c>
      <x:c r="F8" t="str">
        <x:v>1H</x:v>
      </x:c>
      <x:c r="G8" t="str">
        <x:v>Rogue only</x:v>
      </x:c>
      <x:c r="H8" t="str">
        <x:v>Physical Finesse</x:v>
      </x:c>
      <x:c r="I8" t="str">
        <x:v>Dexterity</x:v>
      </x:c>
      <x:c r="J8" t="n">
        <x:v>4</x:v>
      </x:c>
      <x:c r="K8" t="n">
        <x:v>6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3</x:v>
      </x:c>
      <x:c r="Q8" t="n">
        <x:v>1</x:v>
      </x:c>
      <x:c r="R8" t="n">
        <x:v>0</x:v>
      </x:c>
      <x:c r="S8" t="n">
        <x:v>0</x:v>
      </x:c>
      <x:c r="T8" t="n">
        <x:v>1</x:v>
      </x:c>
      <x:c r="U8" t="n">
        <x:v>2</x:v>
      </x:c>
      <x:c r="V8" t="n">
        <x:v>0</x:v>
      </x:c>
      <x:c r="W8" t="n">
        <x:v>0</x:v>
      </x:c>
      <x:c r="X8" t="str">
        <x:v>Quick Pinion</x:v>
      </x:c>
      <x:c r="Y8" t="n">
        <x:v>2</x:v>
      </x:c>
      <x:c r="Z8" t="n">
        <x:v>110</x:v>
      </x:c>
      <x:c r="AA8" t="str">
        <x:v>Pinion Flurry</x:v>
      </x:c>
      <x:c r="AB8" t="n">
        <x:v>3</x:v>
      </x:c>
      <x:c r="AC8" t="n">
        <x:v>120</x:v>
      </x:c>
      <x:c r="AD8" t="n">
        <x:v>1</x:v>
      </x:c>
      <x:c r="AE8" t="str">
        <x:v>Strike twice for 60% weapon damage per hit. If both hits damage Health, roll a 50% chance to apply Bleed.</x:v>
      </x:c>
      <x:c r="AF8"/>
      <x:c r="AG8" t="str">
        <x:v>Fast, precise finesse strike.</x:v>
      </x:c>
      <x:c r="AH8" t="str">
        <x:v>Weapon Skill 2 normally has a 1-turn cooldown; Fortify/Ward use 2 turns; dual Bastion/Aegis uses 3 turns.</x:v>
      </x:c>
    </x:row>
    <x:row r="9">
      <x:c r="A9" t="str">
        <x:v>WPN-005</x:v>
      </x:c>
      <x:c r="B9" t="str">
        <x:v>Regal Dagger Pinion</x:v>
      </x:c>
      <x:c r="C9" t="str">
        <x:v>Gold</x:v>
      </x:c>
      <x:c r="D9" t="str">
        <x:v>Weapon</x:v>
      </x:c>
      <x:c r="E9" t="str">
        <x:v>Dagger Pinion</x:v>
      </x:c>
      <x:c r="F9" t="str">
        <x:v>1H</x:v>
      </x:c>
      <x:c r="G9" t="str">
        <x:v>Rogue only</x:v>
      </x:c>
      <x:c r="H9" t="str">
        <x:v>Physical Finesse</x:v>
      </x:c>
      <x:c r="I9" t="str">
        <x:v>Dexterity</x:v>
      </x:c>
      <x:c r="J9" t="n">
        <x:v>5</x:v>
      </x:c>
      <x:c r="K9" t="n">
        <x:v>7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4</x:v>
      </x:c>
      <x:c r="Q9" t="n">
        <x:v>1</x:v>
      </x:c>
      <x:c r="R9" t="n">
        <x:v>0</x:v>
      </x:c>
      <x:c r="S9" t="n">
        <x:v>0</x:v>
      </x:c>
      <x:c r="T9" t="n">
        <x:v>2</x:v>
      </x:c>
      <x:c r="U9" t="n">
        <x:v>3</x:v>
      </x:c>
      <x:c r="V9" t="n">
        <x:v>0</x:v>
      </x:c>
      <x:c r="W9" t="n">
        <x:v>0</x:v>
      </x:c>
      <x:c r="X9" t="str">
        <x:v>Quick Pinion</x:v>
      </x:c>
      <x:c r="Y9" t="n">
        <x:v>2</x:v>
      </x:c>
      <x:c r="Z9" t="n">
        <x:v>110</x:v>
      </x:c>
      <x:c r="AA9" t="str">
        <x:v>Pinion Flurry</x:v>
      </x:c>
      <x:c r="AB9" t="n">
        <x:v>3</x:v>
      </x:c>
      <x:c r="AC9" t="n">
        <x:v>120</x:v>
      </x:c>
      <x:c r="AD9" t="n">
        <x:v>1</x:v>
      </x:c>
      <x:c r="AE9" t="str">
        <x:v>Strike twice for 60% weapon damage per hit. If both hits damage Health, roll a 50% chance to apply Bleed.</x:v>
      </x:c>
      <x:c r="AF9"/>
      <x:c r="AG9" t="str">
        <x:v>Fast, precise finesse strike.</x:v>
      </x:c>
      <x:c r="AH9" t="str">
        <x:v>Weapon Skill 2 normally has a 1-turn cooldown; Fortify/Ward use 2 turns; dual Bastion/Aegis uses 3 turns.</x:v>
      </x:c>
    </x:row>
    <x:row r="10">
      <x:c r="A10" t="str">
        <x:v>WPN-006</x:v>
      </x:c>
      <x:c r="B10" t="str">
        <x:v>Mythic Dagger Pinion</x:v>
      </x:c>
      <x:c r="C10" t="str">
        <x:v>Orange</x:v>
      </x:c>
      <x:c r="D10" t="str">
        <x:v>Weapon</x:v>
      </x:c>
      <x:c r="E10" t="str">
        <x:v>Dagger Pinion</x:v>
      </x:c>
      <x:c r="F10" t="str">
        <x:v>1H</x:v>
      </x:c>
      <x:c r="G10" t="str">
        <x:v>Rogue only</x:v>
      </x:c>
      <x:c r="H10" t="str">
        <x:v>Physical Finesse</x:v>
      </x:c>
      <x:c r="I10" t="str">
        <x:v>Dexterity</x:v>
      </x:c>
      <x:c r="J10" t="n">
        <x:v>6</x:v>
      </x:c>
      <x:c r="K10" t="n">
        <x:v>8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5</x:v>
      </x:c>
      <x:c r="Q10" t="n">
        <x:v>2</x:v>
      </x:c>
      <x:c r="R10" t="n">
        <x:v>0</x:v>
      </x:c>
      <x:c r="S10" t="n">
        <x:v>0</x:v>
      </x:c>
      <x:c r="T10" t="n">
        <x:v>2</x:v>
      </x:c>
      <x:c r="U10" t="n">
        <x:v>4</x:v>
      </x:c>
      <x:c r="V10" t="n">
        <x:v>0</x:v>
      </x:c>
      <x:c r="W10" t="n">
        <x:v>0</x:v>
      </x:c>
      <x:c r="X10" t="str">
        <x:v>Quick Pinion</x:v>
      </x:c>
      <x:c r="Y10" t="n">
        <x:v>2</x:v>
      </x:c>
      <x:c r="Z10" t="n">
        <x:v>110</x:v>
      </x:c>
      <x:c r="AA10" t="str">
        <x:v>Pinion Flurry</x:v>
      </x:c>
      <x:c r="AB10" t="n">
        <x:v>3</x:v>
      </x:c>
      <x:c r="AC10" t="n">
        <x:v>120</x:v>
      </x:c>
      <x:c r="AD10" t="n">
        <x:v>1</x:v>
      </x:c>
      <x:c r="AE10" t="str">
        <x:v>Strike twice for 60% weapon damage per hit. If both hits damage Health, roll a 50% chance to apply Bleed.</x:v>
      </x:c>
      <x:c r="AF10"/>
      <x:c r="AG10" t="str">
        <x:v>Fast, precise finesse strike.</x:v>
      </x:c>
      <x:c r="AH10" t="str">
        <x:v>Weapon Skill 2 normally has a 1-turn cooldown; Fortify/Ward use 2 turns; dual Bastion/Aegis uses 3 turns.</x:v>
      </x:c>
    </x:row>
    <x:row r="11">
      <x:c r="A11" t="str">
        <x:v>WPN-007</x:v>
      </x:c>
      <x:c r="B11" t="str">
        <x:v>Talon Blade</x:v>
      </x:c>
      <x:c r="C11" t="str">
        <x:v>Grey</x:v>
      </x:c>
      <x:c r="D11" t="str">
        <x:v>Weapon</x:v>
      </x:c>
      <x:c r="E11" t="str">
        <x:v>Talon Blade</x:v>
      </x:c>
      <x:c r="F11" t="str">
        <x:v>1H</x:v>
      </x:c>
      <x:c r="G11" t="str">
        <x:v>Rogue, Bard, Knight</x:v>
      </x:c>
      <x:c r="H11" t="str">
        <x:v>Physical Finesse</x:v>
      </x:c>
      <x:c r="I11" t="str">
        <x:v>Dexterity</x:v>
      </x:c>
      <x:c r="J11" t="n">
        <x:v>3</x:v>
      </x:c>
      <x:c r="K11" t="n">
        <x:v>4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1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str">
        <x:v>Talon Cut</x:v>
      </x:c>
      <x:c r="Y11" t="n">
        <x:v>2</x:v>
      </x:c>
      <x:c r="Z11" t="n">
        <x:v>110</x:v>
      </x:c>
      <x:c r="AA11" t="str">
        <x:v>Rending Talon</x:v>
      </x:c>
      <x:c r="AB11" t="n">
        <x:v>3</x:v>
      </x:c>
      <x:c r="AC11" t="n">
        <x:v>120</x:v>
      </x:c>
      <x:c r="AD11" t="n">
        <x:v>1</x:v>
      </x:c>
      <x:c r="AE11" t="str">
        <x:v>Deal 120% Finesse weapon damage. If Armour is broken and Health is damaged, roll a 50% chance to apply Bleed.</x:v>
      </x:c>
      <x:c r="AF11"/>
      <x:c r="AG11" t="str">
        <x:v>Balanced finesse attack.</x:v>
      </x:c>
      <x:c r="AH11" t="str">
        <x:v>Weapon Skill 2 normally has a 1-turn cooldown; Fortify/Ward use 2 turns; dual Bastion/Aegis uses 3 turns.</x:v>
      </x:c>
    </x:row>
    <x:row r="12">
      <x:c r="A12" t="str">
        <x:v>WPN-008</x:v>
      </x:c>
      <x:c r="B12" t="str">
        <x:v>Sturdy Talon Blade</x:v>
      </x:c>
      <x:c r="C12" t="str">
        <x:v>Green</x:v>
      </x:c>
      <x:c r="D12" t="str">
        <x:v>Weapon</x:v>
      </x:c>
      <x:c r="E12" t="str">
        <x:v>Talon Blade</x:v>
      </x:c>
      <x:c r="F12" t="str">
        <x:v>1H</x:v>
      </x:c>
      <x:c r="G12" t="str">
        <x:v>Rogue, Bard, Knight</x:v>
      </x:c>
      <x:c r="H12" t="str">
        <x:v>Physical Finesse</x:v>
      </x:c>
      <x:c r="I12" t="str">
        <x:v>Dexterity</x:v>
      </x:c>
      <x:c r="J12" t="n">
        <x:v>4</x:v>
      </x:c>
      <x:c r="K12" t="n">
        <x:v>5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1</x:v>
      </x:c>
      <x:c r="Q12" t="n">
        <x:v>0</x:v>
      </x:c>
      <x:c r="R12" t="n">
        <x:v>0</x:v>
      </x:c>
      <x:c r="S12" t="n">
        <x:v>0</x:v>
      </x:c>
      <x:c r="T12" t="n">
        <x:v>1</x:v>
      </x:c>
      <x:c r="U12" t="n">
        <x:v>0</x:v>
      </x:c>
      <x:c r="V12" t="n">
        <x:v>0</x:v>
      </x:c>
      <x:c r="W12" t="n">
        <x:v>0</x:v>
      </x:c>
      <x:c r="X12" t="str">
        <x:v>Talon Cut</x:v>
      </x:c>
      <x:c r="Y12" t="n">
        <x:v>2</x:v>
      </x:c>
      <x:c r="Z12" t="n">
        <x:v>110</x:v>
      </x:c>
      <x:c r="AA12" t="str">
        <x:v>Rending Talon</x:v>
      </x:c>
      <x:c r="AB12" t="n">
        <x:v>3</x:v>
      </x:c>
      <x:c r="AC12" t="n">
        <x:v>120</x:v>
      </x:c>
      <x:c r="AD12" t="n">
        <x:v>1</x:v>
      </x:c>
      <x:c r="AE12" t="str">
        <x:v>Deal 120% Finesse weapon damage. If Armour is broken and Health is damaged, roll a 50% chance to apply Bleed.</x:v>
      </x:c>
      <x:c r="AF12"/>
      <x:c r="AG12" t="str">
        <x:v>Balanced finesse attack.</x:v>
      </x:c>
      <x:c r="AH12" t="str">
        <x:v>Weapon Skill 2 normally has a 1-turn cooldown; Fortify/Ward use 2 turns; dual Bastion/Aegis uses 3 turns.</x:v>
      </x:c>
    </x:row>
    <x:row r="13">
      <x:c r="A13" t="str">
        <x:v>WPN-009</x:v>
      </x:c>
      <x:c r="B13" t="str">
        <x:v>Tempered Talon Blade</x:v>
      </x:c>
      <x:c r="C13" t="str">
        <x:v>Blue</x:v>
      </x:c>
      <x:c r="D13" t="str">
        <x:v>Weapon</x:v>
      </x:c>
      <x:c r="E13" t="str">
        <x:v>Talon Blade</x:v>
      </x:c>
      <x:c r="F13" t="str">
        <x:v>1H</x:v>
      </x:c>
      <x:c r="G13" t="str">
        <x:v>Rogue, Bard, Knight</x:v>
      </x:c>
      <x:c r="H13" t="str">
        <x:v>Physical Finesse</x:v>
      </x:c>
      <x:c r="I13" t="str">
        <x:v>Dexterity</x:v>
      </x:c>
      <x:c r="J13" t="n">
        <x:v>5</x:v>
      </x:c>
      <x:c r="K13" t="n">
        <x:v>6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2</x:v>
      </x:c>
      <x:c r="Q13" t="n">
        <x:v>0</x:v>
      </x:c>
      <x:c r="R13" t="n">
        <x:v>0</x:v>
      </x:c>
      <x:c r="S13" t="n">
        <x:v>0</x:v>
      </x:c>
      <x:c r="T13" t="n">
        <x:v>1</x:v>
      </x:c>
      <x:c r="U13" t="n">
        <x:v>1</x:v>
      </x:c>
      <x:c r="V13" t="n">
        <x:v>0</x:v>
      </x:c>
      <x:c r="W13" t="n">
        <x:v>0</x:v>
      </x:c>
      <x:c r="X13" t="str">
        <x:v>Talon Cut</x:v>
      </x:c>
      <x:c r="Y13" t="n">
        <x:v>2</x:v>
      </x:c>
      <x:c r="Z13" t="n">
        <x:v>110</x:v>
      </x:c>
      <x:c r="AA13" t="str">
        <x:v>Rending Talon</x:v>
      </x:c>
      <x:c r="AB13" t="n">
        <x:v>3</x:v>
      </x:c>
      <x:c r="AC13" t="n">
        <x:v>120</x:v>
      </x:c>
      <x:c r="AD13" t="n">
        <x:v>1</x:v>
      </x:c>
      <x:c r="AE13" t="str">
        <x:v>Deal 120% Finesse weapon damage. If Armour is broken and Health is damaged, roll a 50% chance to apply Bleed.</x:v>
      </x:c>
      <x:c r="AF13"/>
      <x:c r="AG13" t="str">
        <x:v>Balanced finesse attack.</x:v>
      </x:c>
      <x:c r="AH13" t="str">
        <x:v>Weapon Skill 2 normally has a 1-turn cooldown; Fortify/Ward use 2 turns; dual Bastion/Aegis uses 3 turns.</x:v>
      </x:c>
    </x:row>
    <x:row r="14">
      <x:c r="A14" t="str">
        <x:v>WPN-010</x:v>
      </x:c>
      <x:c r="B14" t="str">
        <x:v>Masterwork Talon Blade</x:v>
      </x:c>
      <x:c r="C14" t="str">
        <x:v>Purple</x:v>
      </x:c>
      <x:c r="D14" t="str">
        <x:v>Weapon</x:v>
      </x:c>
      <x:c r="E14" t="str">
        <x:v>Talon Blade</x:v>
      </x:c>
      <x:c r="F14" t="str">
        <x:v>1H</x:v>
      </x:c>
      <x:c r="G14" t="str">
        <x:v>Rogue, Bard, Knight</x:v>
      </x:c>
      <x:c r="H14" t="str">
        <x:v>Physical Finesse</x:v>
      </x:c>
      <x:c r="I14" t="str">
        <x:v>Dexterity</x:v>
      </x:c>
      <x:c r="J14" t="n">
        <x:v>6</x:v>
      </x:c>
      <x:c r="K14" t="n">
        <x:v>8</x:v>
      </x:c>
      <x:c r="L14" t="n">
        <x:v>0</x:v>
      </x:c>
      <x:c r="M14" t="n">
        <x:v>0</x:v>
      </x:c>
      <x:c r="N14" t="n">
        <x:v>1</x:v>
      </x:c>
      <x:c r="O14" t="n">
        <x:v>0</x:v>
      </x:c>
      <x:c r="P14" t="n">
        <x:v>3</x:v>
      </x:c>
      <x:c r="Q14" t="n">
        <x:v>0</x:v>
      </x:c>
      <x:c r="R14" t="n">
        <x:v>0</x:v>
      </x:c>
      <x:c r="S14" t="n">
        <x:v>0</x:v>
      </x:c>
      <x:c r="T14" t="n">
        <x:v>1</x:v>
      </x:c>
      <x:c r="U14" t="n">
        <x:v>2</x:v>
      </x:c>
      <x:c r="V14" t="n">
        <x:v>0</x:v>
      </x:c>
      <x:c r="W14" t="n">
        <x:v>0</x:v>
      </x:c>
      <x:c r="X14" t="str">
        <x:v>Talon Cut</x:v>
      </x:c>
      <x:c r="Y14" t="n">
        <x:v>2</x:v>
      </x:c>
      <x:c r="Z14" t="n">
        <x:v>110</x:v>
      </x:c>
      <x:c r="AA14" t="str">
        <x:v>Rending Talon</x:v>
      </x:c>
      <x:c r="AB14" t="n">
        <x:v>3</x:v>
      </x:c>
      <x:c r="AC14" t="n">
        <x:v>120</x:v>
      </x:c>
      <x:c r="AD14" t="n">
        <x:v>1</x:v>
      </x:c>
      <x:c r="AE14" t="str">
        <x:v>Deal 120% Finesse weapon damage. If Armour is broken and Health is damaged, roll a 50% chance to apply Bleed.</x:v>
      </x:c>
      <x:c r="AF14"/>
      <x:c r="AG14" t="str">
        <x:v>Balanced finesse attack.</x:v>
      </x:c>
      <x:c r="AH14" t="str">
        <x:v>Weapon Skill 2 normally has a 1-turn cooldown; Fortify/Ward use 2 turns; dual Bastion/Aegis uses 3 turns.</x:v>
      </x:c>
    </x:row>
    <x:row r="15">
      <x:c r="A15" t="str">
        <x:v>WPN-011</x:v>
      </x:c>
      <x:c r="B15" t="str">
        <x:v>Regal Talon Blade</x:v>
      </x:c>
      <x:c r="C15" t="str">
        <x:v>Gold</x:v>
      </x:c>
      <x:c r="D15" t="str">
        <x:v>Weapon</x:v>
      </x:c>
      <x:c r="E15" t="str">
        <x:v>Talon Blade</x:v>
      </x:c>
      <x:c r="F15" t="str">
        <x:v>1H</x:v>
      </x:c>
      <x:c r="G15" t="str">
        <x:v>Rogue, Bard, Knight</x:v>
      </x:c>
      <x:c r="H15" t="str">
        <x:v>Physical Finesse</x:v>
      </x:c>
      <x:c r="I15" t="str">
        <x:v>Dexterity</x:v>
      </x:c>
      <x:c r="J15" t="n">
        <x:v>7</x:v>
      </x:c>
      <x:c r="K15" t="n">
        <x:v>9</x:v>
      </x:c>
      <x:c r="L15" t="n">
        <x:v>0</x:v>
      </x:c>
      <x:c r="M15" t="n">
        <x:v>0</x:v>
      </x:c>
      <x:c r="N15" t="n">
        <x:v>1</x:v>
      </x:c>
      <x:c r="O15" t="n">
        <x:v>0</x:v>
      </x:c>
      <x:c r="P15" t="n">
        <x:v>4</x:v>
      </x:c>
      <x:c r="Q15" t="n">
        <x:v>0</x:v>
      </x:c>
      <x:c r="R15" t="n">
        <x:v>0</x:v>
      </x:c>
      <x:c r="S15" t="n">
        <x:v>0</x:v>
      </x:c>
      <x:c r="T15" t="n">
        <x:v>2</x:v>
      </x:c>
      <x:c r="U15" t="n">
        <x:v>3</x:v>
      </x:c>
      <x:c r="V15" t="n">
        <x:v>0</x:v>
      </x:c>
      <x:c r="W15" t="n">
        <x:v>0</x:v>
      </x:c>
      <x:c r="X15" t="str">
        <x:v>Talon Cut</x:v>
      </x:c>
      <x:c r="Y15" t="n">
        <x:v>2</x:v>
      </x:c>
      <x:c r="Z15" t="n">
        <x:v>110</x:v>
      </x:c>
      <x:c r="AA15" t="str">
        <x:v>Rending Talon</x:v>
      </x:c>
      <x:c r="AB15" t="n">
        <x:v>3</x:v>
      </x:c>
      <x:c r="AC15" t="n">
        <x:v>120</x:v>
      </x:c>
      <x:c r="AD15" t="n">
        <x:v>1</x:v>
      </x:c>
      <x:c r="AE15" t="str">
        <x:v>Deal 120% Finesse weapon damage. If Armour is broken and Health is damaged, roll a 50% chance to apply Bleed.</x:v>
      </x:c>
      <x:c r="AF15"/>
      <x:c r="AG15" t="str">
        <x:v>Balanced finesse attack.</x:v>
      </x:c>
      <x:c r="AH15" t="str">
        <x:v>Weapon Skill 2 normally has a 1-turn cooldown; Fortify/Ward use 2 turns; dual Bastion/Aegis uses 3 turns.</x:v>
      </x:c>
    </x:row>
    <x:row r="16">
      <x:c r="A16" t="str">
        <x:v>WPN-012</x:v>
      </x:c>
      <x:c r="B16" t="str">
        <x:v>Mythic Talon Blade</x:v>
      </x:c>
      <x:c r="C16" t="str">
        <x:v>Orange</x:v>
      </x:c>
      <x:c r="D16" t="str">
        <x:v>Weapon</x:v>
      </x:c>
      <x:c r="E16" t="str">
        <x:v>Talon Blade</x:v>
      </x:c>
      <x:c r="F16" t="str">
        <x:v>1H</x:v>
      </x:c>
      <x:c r="G16" t="str">
        <x:v>Rogue, Bard, Knight</x:v>
      </x:c>
      <x:c r="H16" t="str">
        <x:v>Physical Finesse</x:v>
      </x:c>
      <x:c r="I16" t="str">
        <x:v>Dexterity</x:v>
      </x:c>
      <x:c r="J16" t="n">
        <x:v>8</x:v>
      </x:c>
      <x:c r="K16" t="n">
        <x:v>11</x:v>
      </x:c>
      <x:c r="L16" t="n">
        <x:v>0</x:v>
      </x:c>
      <x:c r="M16" t="n">
        <x:v>0</x:v>
      </x:c>
      <x:c r="N16" t="n">
        <x:v>2</x:v>
      </x:c>
      <x:c r="O16" t="n">
        <x:v>0</x:v>
      </x:c>
      <x:c r="P16" t="n">
        <x:v>5</x:v>
      </x:c>
      <x:c r="Q16" t="n">
        <x:v>0</x:v>
      </x:c>
      <x:c r="R16" t="n">
        <x:v>0</x:v>
      </x:c>
      <x:c r="S16" t="n">
        <x:v>0</x:v>
      </x:c>
      <x:c r="T16" t="n">
        <x:v>2</x:v>
      </x:c>
      <x:c r="U16" t="n">
        <x:v>4</x:v>
      </x:c>
      <x:c r="V16" t="n">
        <x:v>0</x:v>
      </x:c>
      <x:c r="W16" t="n">
        <x:v>0</x:v>
      </x:c>
      <x:c r="X16" t="str">
        <x:v>Talon Cut</x:v>
      </x:c>
      <x:c r="Y16" t="n">
        <x:v>2</x:v>
      </x:c>
      <x:c r="Z16" t="n">
        <x:v>110</x:v>
      </x:c>
      <x:c r="AA16" t="str">
        <x:v>Rending Talon</x:v>
      </x:c>
      <x:c r="AB16" t="n">
        <x:v>3</x:v>
      </x:c>
      <x:c r="AC16" t="n">
        <x:v>120</x:v>
      </x:c>
      <x:c r="AD16" t="n">
        <x:v>1</x:v>
      </x:c>
      <x:c r="AE16" t="str">
        <x:v>Deal 120% Finesse weapon damage. If Armour is broken and Health is damaged, roll a 50% chance to apply Bleed.</x:v>
      </x:c>
      <x:c r="AF16"/>
      <x:c r="AG16" t="str">
        <x:v>Balanced finesse attack.</x:v>
      </x:c>
      <x:c r="AH16" t="str">
        <x:v>Weapon Skill 2 normally has a 1-turn cooldown; Fortify/Ward use 2 turns; dual Bastion/Aegis uses 3 turns.</x:v>
      </x:c>
    </x:row>
    <x:row r="17">
      <x:c r="A17" t="str">
        <x:v>WPN-013</x:v>
      </x:c>
      <x:c r="B17" t="str">
        <x:v>Duel Sabre</x:v>
      </x:c>
      <x:c r="C17" t="str">
        <x:v>Grey</x:v>
      </x:c>
      <x:c r="D17" t="str">
        <x:v>Weapon</x:v>
      </x:c>
      <x:c r="E17" t="str">
        <x:v>Duel Sabre</x:v>
      </x:c>
      <x:c r="F17" t="str">
        <x:v>1H</x:v>
      </x:c>
      <x:c r="G17" t="str">
        <x:v>Rogue, Bard, Knight</x:v>
      </x:c>
      <x:c r="H17" t="str">
        <x:v>Physical Finesse</x:v>
      </x:c>
      <x:c r="I17" t="str">
        <x:v>Dexterity</x:v>
      </x:c>
      <x:c r="J17" t="n">
        <x:v>3</x:v>
      </x:c>
      <x:c r="K17" t="n">
        <x:v>5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1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str">
        <x:v>Riposte Slash</x:v>
      </x:c>
      <x:c r="Y17" t="n">
        <x:v>2</x:v>
      </x:c>
      <x:c r="Z17" t="n">
        <x:v>100</x:v>
      </x:c>
      <x:c r="AA17" t="str">
        <x:v>Duellist’s Tempo</x:v>
      </x:c>
      <x:c r="AB17" t="n">
        <x:v>3</x:v>
      </x:c>
      <x:c r="AC17" t="n">
        <x:v>115</x:v>
      </x:c>
      <x:c r="AD17" t="n">
        <x:v>1</x:v>
      </x:c>
      <x:c r="AE17" t="str">
        <x:v>Deal 115% Finesse weapon damage. On hit, gain Minor Agility Up for 2 turns.</x:v>
      </x:c>
      <x:c r="AF17"/>
      <x:c r="AG17" t="str">
        <x:v>Wide range; improves after avoiding an attack.</x:v>
      </x:c>
      <x:c r="AH17" t="str">
        <x:v>Weapon Skill 2 normally has a 1-turn cooldown; Fortify/Ward use 2 turns; dual Bastion/Aegis uses 3 turns.</x:v>
      </x:c>
    </x:row>
    <x:row r="18">
      <x:c r="A18" t="str">
        <x:v>WPN-014</x:v>
      </x:c>
      <x:c r="B18" t="str">
        <x:v>Sturdy Duel Sabre</x:v>
      </x:c>
      <x:c r="C18" t="str">
        <x:v>Green</x:v>
      </x:c>
      <x:c r="D18" t="str">
        <x:v>Weapon</x:v>
      </x:c>
      <x:c r="E18" t="str">
        <x:v>Duel Sabre</x:v>
      </x:c>
      <x:c r="F18" t="str">
        <x:v>1H</x:v>
      </x:c>
      <x:c r="G18" t="str">
        <x:v>Rogue, Bard, Knight</x:v>
      </x:c>
      <x:c r="H18" t="str">
        <x:v>Physical Finesse</x:v>
      </x:c>
      <x:c r="I18" t="str">
        <x:v>Dexterity</x:v>
      </x:c>
      <x:c r="J18" t="n">
        <x:v>4</x:v>
      </x:c>
      <x:c r="K18" t="n">
        <x:v>6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1</x:v>
      </x:c>
      <x:c r="Q18" t="n">
        <x:v>0</x:v>
      </x:c>
      <x:c r="R18" t="n">
        <x:v>0</x:v>
      </x:c>
      <x:c r="S18" t="n">
        <x:v>0</x:v>
      </x:c>
      <x:c r="T18" t="n">
        <x:v>1</x:v>
      </x:c>
      <x:c r="U18" t="n">
        <x:v>0</x:v>
      </x:c>
      <x:c r="V18" t="n">
        <x:v>0</x:v>
      </x:c>
      <x:c r="W18" t="n">
        <x:v>0</x:v>
      </x:c>
      <x:c r="X18" t="str">
        <x:v>Riposte Slash</x:v>
      </x:c>
      <x:c r="Y18" t="n">
        <x:v>2</x:v>
      </x:c>
      <x:c r="Z18" t="n">
        <x:v>100</x:v>
      </x:c>
      <x:c r="AA18" t="str">
        <x:v>Duellist’s Tempo</x:v>
      </x:c>
      <x:c r="AB18" t="n">
        <x:v>3</x:v>
      </x:c>
      <x:c r="AC18" t="n">
        <x:v>115</x:v>
      </x:c>
      <x:c r="AD18" t="n">
        <x:v>1</x:v>
      </x:c>
      <x:c r="AE18" t="str">
        <x:v>Deal 115% Finesse weapon damage. On hit, gain Minor Agility Up for 2 turns.</x:v>
      </x:c>
      <x:c r="AF18"/>
      <x:c r="AG18" t="str">
        <x:v>Wide range; improves after avoiding an attack.</x:v>
      </x:c>
      <x:c r="AH18" t="str">
        <x:v>Weapon Skill 2 normally has a 1-turn cooldown; Fortify/Ward use 2 turns; dual Bastion/Aegis uses 3 turns.</x:v>
      </x:c>
    </x:row>
    <x:row r="19">
      <x:c r="A19" t="str">
        <x:v>WPN-015</x:v>
      </x:c>
      <x:c r="B19" t="str">
        <x:v>Tempered Duel Sabre</x:v>
      </x:c>
      <x:c r="C19" t="str">
        <x:v>Blue</x:v>
      </x:c>
      <x:c r="D19" t="str">
        <x:v>Weapon</x:v>
      </x:c>
      <x:c r="E19" t="str">
        <x:v>Duel Sabre</x:v>
      </x:c>
      <x:c r="F19" t="str">
        <x:v>1H</x:v>
      </x:c>
      <x:c r="G19" t="str">
        <x:v>Rogue, Bard, Knight</x:v>
      </x:c>
      <x:c r="H19" t="str">
        <x:v>Physical Finesse</x:v>
      </x:c>
      <x:c r="I19" t="str">
        <x:v>Dexterity</x:v>
      </x:c>
      <x:c r="J19" t="n">
        <x:v>5</x:v>
      </x:c>
      <x:c r="K19" t="n">
        <x:v>8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2</x:v>
      </x:c>
      <x:c r="Q19" t="n">
        <x:v>0</x:v>
      </x:c>
      <x:c r="R19" t="n">
        <x:v>0</x:v>
      </x:c>
      <x:c r="S19" t="n">
        <x:v>0</x:v>
      </x:c>
      <x:c r="T19" t="n">
        <x:v>1</x:v>
      </x:c>
      <x:c r="U19" t="n">
        <x:v>1</x:v>
      </x:c>
      <x:c r="V19" t="n">
        <x:v>0</x:v>
      </x:c>
      <x:c r="W19" t="n">
        <x:v>0</x:v>
      </x:c>
      <x:c r="X19" t="str">
        <x:v>Riposte Slash</x:v>
      </x:c>
      <x:c r="Y19" t="n">
        <x:v>2</x:v>
      </x:c>
      <x:c r="Z19" t="n">
        <x:v>100</x:v>
      </x:c>
      <x:c r="AA19" t="str">
        <x:v>Duellist’s Tempo</x:v>
      </x:c>
      <x:c r="AB19" t="n">
        <x:v>3</x:v>
      </x:c>
      <x:c r="AC19" t="n">
        <x:v>115</x:v>
      </x:c>
      <x:c r="AD19" t="n">
        <x:v>1</x:v>
      </x:c>
      <x:c r="AE19" t="str">
        <x:v>Deal 115% Finesse weapon damage. On hit, gain Minor Agility Up for 2 turns.</x:v>
      </x:c>
      <x:c r="AF19"/>
      <x:c r="AG19" t="str">
        <x:v>Wide range; improves after avoiding an attack.</x:v>
      </x:c>
      <x:c r="AH19" t="str">
        <x:v>Weapon Skill 2 normally has a 1-turn cooldown; Fortify/Ward use 2 turns; dual Bastion/Aegis uses 3 turns.</x:v>
      </x:c>
    </x:row>
    <x:row r="20">
      <x:c r="A20" t="str">
        <x:v>WPN-016</x:v>
      </x:c>
      <x:c r="B20" t="str">
        <x:v>Masterwork Duel Sabre</x:v>
      </x:c>
      <x:c r="C20" t="str">
        <x:v>Purple</x:v>
      </x:c>
      <x:c r="D20" t="str">
        <x:v>Weapon</x:v>
      </x:c>
      <x:c r="E20" t="str">
        <x:v>Duel Sabre</x:v>
      </x:c>
      <x:c r="F20" t="str">
        <x:v>1H</x:v>
      </x:c>
      <x:c r="G20" t="str">
        <x:v>Rogue, Bard, Knight</x:v>
      </x:c>
      <x:c r="H20" t="str">
        <x:v>Physical Finesse</x:v>
      </x:c>
      <x:c r="I20" t="str">
        <x:v>Dexterity</x:v>
      </x:c>
      <x:c r="J20" t="n">
        <x:v>6</x:v>
      </x:c>
      <x:c r="K20" t="n">
        <x:v>10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3</x:v>
      </x:c>
      <x:c r="Q20" t="n">
        <x:v>1</x:v>
      </x:c>
      <x:c r="R20" t="n">
        <x:v>0</x:v>
      </x:c>
      <x:c r="S20" t="n">
        <x:v>0</x:v>
      </x:c>
      <x:c r="T20" t="n">
        <x:v>1</x:v>
      </x:c>
      <x:c r="U20" t="n">
        <x:v>2</x:v>
      </x:c>
      <x:c r="V20" t="n">
        <x:v>0</x:v>
      </x:c>
      <x:c r="W20" t="n">
        <x:v>0</x:v>
      </x:c>
      <x:c r="X20" t="str">
        <x:v>Riposte Slash</x:v>
      </x:c>
      <x:c r="Y20" t="n">
        <x:v>2</x:v>
      </x:c>
      <x:c r="Z20" t="n">
        <x:v>100</x:v>
      </x:c>
      <x:c r="AA20" t="str">
        <x:v>Duellist’s Tempo</x:v>
      </x:c>
      <x:c r="AB20" t="n">
        <x:v>3</x:v>
      </x:c>
      <x:c r="AC20" t="n">
        <x:v>115</x:v>
      </x:c>
      <x:c r="AD20" t="n">
        <x:v>1</x:v>
      </x:c>
      <x:c r="AE20" t="str">
        <x:v>Deal 115% Finesse weapon damage. On hit, gain Minor Agility Up for 2 turns.</x:v>
      </x:c>
      <x:c r="AF20"/>
      <x:c r="AG20" t="str">
        <x:v>Wide range; improves after avoiding an attack.</x:v>
      </x:c>
      <x:c r="AH20" t="str">
        <x:v>Weapon Skill 2 normally has a 1-turn cooldown; Fortify/Ward use 2 turns; dual Bastion/Aegis uses 3 turns.</x:v>
      </x:c>
    </x:row>
    <x:row r="21">
      <x:c r="A21" t="str">
        <x:v>WPN-017</x:v>
      </x:c>
      <x:c r="B21" t="str">
        <x:v>Regal Duel Sabre</x:v>
      </x:c>
      <x:c r="C21" t="str">
        <x:v>Gold</x:v>
      </x:c>
      <x:c r="D21" t="str">
        <x:v>Weapon</x:v>
      </x:c>
      <x:c r="E21" t="str">
        <x:v>Duel Sabre</x:v>
      </x:c>
      <x:c r="F21" t="str">
        <x:v>1H</x:v>
      </x:c>
      <x:c r="G21" t="str">
        <x:v>Rogue, Bard, Knight</x:v>
      </x:c>
      <x:c r="H21" t="str">
        <x:v>Physical Finesse</x:v>
      </x:c>
      <x:c r="I21" t="str">
        <x:v>Dexterity</x:v>
      </x:c>
      <x:c r="J21" t="n">
        <x:v>7</x:v>
      </x:c>
      <x:c r="K21" t="n">
        <x:v>12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4</x:v>
      </x:c>
      <x:c r="Q21" t="n">
        <x:v>1</x:v>
      </x:c>
      <x:c r="R21" t="n">
        <x:v>0</x:v>
      </x:c>
      <x:c r="S21" t="n">
        <x:v>0</x:v>
      </x:c>
      <x:c r="T21" t="n">
        <x:v>2</x:v>
      </x:c>
      <x:c r="U21" t="n">
        <x:v>3</x:v>
      </x:c>
      <x:c r="V21" t="n">
        <x:v>0</x:v>
      </x:c>
      <x:c r="W21" t="n">
        <x:v>0</x:v>
      </x:c>
      <x:c r="X21" t="str">
        <x:v>Riposte Slash</x:v>
      </x:c>
      <x:c r="Y21" t="n">
        <x:v>2</x:v>
      </x:c>
      <x:c r="Z21" t="n">
        <x:v>100</x:v>
      </x:c>
      <x:c r="AA21" t="str">
        <x:v>Duellist’s Tempo</x:v>
      </x:c>
      <x:c r="AB21" t="n">
        <x:v>3</x:v>
      </x:c>
      <x:c r="AC21" t="n">
        <x:v>115</x:v>
      </x:c>
      <x:c r="AD21" t="n">
        <x:v>1</x:v>
      </x:c>
      <x:c r="AE21" t="str">
        <x:v>Deal 115% Finesse weapon damage. On hit, gain Minor Agility Up for 2 turns.</x:v>
      </x:c>
      <x:c r="AF21"/>
      <x:c r="AG21" t="str">
        <x:v>Wide range; improves after avoiding an attack.</x:v>
      </x:c>
      <x:c r="AH21" t="str">
        <x:v>Weapon Skill 2 normally has a 1-turn cooldown; Fortify/Ward use 2 turns; dual Bastion/Aegis uses 3 turns.</x:v>
      </x:c>
    </x:row>
    <x:row r="22">
      <x:c r="A22" t="str">
        <x:v>WPN-018</x:v>
      </x:c>
      <x:c r="B22" t="str">
        <x:v>Mythic Duel Sabre</x:v>
      </x:c>
      <x:c r="C22" t="str">
        <x:v>Orange</x:v>
      </x:c>
      <x:c r="D22" t="str">
        <x:v>Weapon</x:v>
      </x:c>
      <x:c r="E22" t="str">
        <x:v>Duel Sabre</x:v>
      </x:c>
      <x:c r="F22" t="str">
        <x:v>1H</x:v>
      </x:c>
      <x:c r="G22" t="str">
        <x:v>Rogue, Bard, Knight</x:v>
      </x:c>
      <x:c r="H22" t="str">
        <x:v>Physical Finesse</x:v>
      </x:c>
      <x:c r="I22" t="str">
        <x:v>Dexterity</x:v>
      </x:c>
      <x:c r="J22" t="n">
        <x:v>8</x:v>
      </x:c>
      <x:c r="K22" t="n">
        <x:v>14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5</x:v>
      </x:c>
      <x:c r="Q22" t="n">
        <x:v>2</x:v>
      </x:c>
      <x:c r="R22" t="n">
        <x:v>0</x:v>
      </x:c>
      <x:c r="S22" t="n">
        <x:v>0</x:v>
      </x:c>
      <x:c r="T22" t="n">
        <x:v>2</x:v>
      </x:c>
      <x:c r="U22" t="n">
        <x:v>4</x:v>
      </x:c>
      <x:c r="V22" t="n">
        <x:v>0</x:v>
      </x:c>
      <x:c r="W22" t="n">
        <x:v>0</x:v>
      </x:c>
      <x:c r="X22" t="str">
        <x:v>Riposte Slash</x:v>
      </x:c>
      <x:c r="Y22" t="n">
        <x:v>2</x:v>
      </x:c>
      <x:c r="Z22" t="n">
        <x:v>100</x:v>
      </x:c>
      <x:c r="AA22" t="str">
        <x:v>Duellist’s Tempo</x:v>
      </x:c>
      <x:c r="AB22" t="n">
        <x:v>3</x:v>
      </x:c>
      <x:c r="AC22" t="n">
        <x:v>115</x:v>
      </x:c>
      <x:c r="AD22" t="n">
        <x:v>1</x:v>
      </x:c>
      <x:c r="AE22" t="str">
        <x:v>Deal 115% Finesse weapon damage. On hit, gain Minor Agility Up for 2 turns.</x:v>
      </x:c>
      <x:c r="AF22"/>
      <x:c r="AG22" t="str">
        <x:v>Wide range; improves after avoiding an attack.</x:v>
      </x:c>
      <x:c r="AH22" t="str">
        <x:v>Weapon Skill 2 normally has a 1-turn cooldown; Fortify/Ward use 2 turns; dual Bastion/Aegis uses 3 turns.</x:v>
      </x:c>
    </x:row>
    <x:row r="23">
      <x:c r="A23" t="str">
        <x:v>WPN-019</x:v>
      </x:c>
      <x:c r="B23" t="str">
        <x:v>Hand Crossbow</x:v>
      </x:c>
      <x:c r="C23" t="str">
        <x:v>Grey</x:v>
      </x:c>
      <x:c r="D23" t="str">
        <x:v>Weapon</x:v>
      </x:c>
      <x:c r="E23" t="str">
        <x:v>Hand Crossbow</x:v>
      </x:c>
      <x:c r="F23" t="str">
        <x:v>1H</x:v>
      </x:c>
      <x:c r="G23" t="str">
        <x:v>Rogue and Bard</x:v>
      </x:c>
      <x:c r="H23" t="str">
        <x:v>Physical Finesse</x:v>
      </x:c>
      <x:c r="I23" t="str">
        <x:v>Dexterity</x:v>
      </x:c>
      <x:c r="J23" t="n">
        <x:v>3</x:v>
      </x:c>
      <x:c r="K23" t="n">
        <x:v>4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1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str">
        <x:v>Snap Bolt</x:v>
      </x:c>
      <x:c r="Y23" t="n">
        <x:v>2</x:v>
      </x:c>
      <x:c r="Z23" t="n">
        <x:v>110</x:v>
      </x:c>
      <x:c r="AA23" t="str">
        <x:v>Barbed Bolt</x:v>
      </x:c>
      <x:c r="AB23" t="n">
        <x:v>3</x:v>
      </x:c>
      <x:c r="AC23" t="n">
        <x:v>115</x:v>
      </x:c>
      <x:c r="AD23" t="n">
        <x:v>1</x:v>
      </x:c>
      <x:c r="AE23" t="str">
        <x:v>Deal 115% Finesse weapon damage. If Armour is broken and Health is damaged, roll a 50% chance to apply Bleed.</x:v>
      </x:c>
      <x:c r="AF23"/>
      <x:c r="AG23" t="str">
        <x:v>One-handed ranged finesse weapon.</x:v>
      </x:c>
      <x:c r="AH23" t="str">
        <x:v>Weapon Skill 2 normally has a 1-turn cooldown; Fortify/Ward use 2 turns; dual Bastion/Aegis uses 3 turns.</x:v>
      </x:c>
    </x:row>
    <x:row r="24">
      <x:c r="A24" t="str">
        <x:v>WPN-020</x:v>
      </x:c>
      <x:c r="B24" t="str">
        <x:v>Sturdy Hand Crossbow</x:v>
      </x:c>
      <x:c r="C24" t="str">
        <x:v>Green</x:v>
      </x:c>
      <x:c r="D24" t="str">
        <x:v>Weapon</x:v>
      </x:c>
      <x:c r="E24" t="str">
        <x:v>Hand Crossbow</x:v>
      </x:c>
      <x:c r="F24" t="str">
        <x:v>1H</x:v>
      </x:c>
      <x:c r="G24" t="str">
        <x:v>Rogue and Bard</x:v>
      </x:c>
      <x:c r="H24" t="str">
        <x:v>Physical Finesse</x:v>
      </x:c>
      <x:c r="I24" t="str">
        <x:v>Dexterity</x:v>
      </x:c>
      <x:c r="J24" t="n">
        <x:v>4</x:v>
      </x:c>
      <x:c r="K24" t="n">
        <x:v>5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1</x:v>
      </x:c>
      <x:c r="Q24" t="n">
        <x:v>0</x:v>
      </x:c>
      <x:c r="R24" t="n">
        <x:v>0</x:v>
      </x:c>
      <x:c r="S24" t="n">
        <x:v>0</x:v>
      </x:c>
      <x:c r="T24" t="n">
        <x:v>1</x:v>
      </x:c>
      <x:c r="U24" t="n">
        <x:v>0</x:v>
      </x:c>
      <x:c r="V24" t="n">
        <x:v>0</x:v>
      </x:c>
      <x:c r="W24" t="n">
        <x:v>0</x:v>
      </x:c>
      <x:c r="X24" t="str">
        <x:v>Snap Bolt</x:v>
      </x:c>
      <x:c r="Y24" t="n">
        <x:v>2</x:v>
      </x:c>
      <x:c r="Z24" t="n">
        <x:v>110</x:v>
      </x:c>
      <x:c r="AA24" t="str">
        <x:v>Barbed Bolt</x:v>
      </x:c>
      <x:c r="AB24" t="n">
        <x:v>3</x:v>
      </x:c>
      <x:c r="AC24" t="n">
        <x:v>115</x:v>
      </x:c>
      <x:c r="AD24" t="n">
        <x:v>1</x:v>
      </x:c>
      <x:c r="AE24" t="str">
        <x:v>Deal 115% Finesse weapon damage. If Armour is broken and Health is damaged, roll a 50% chance to apply Bleed.</x:v>
      </x:c>
      <x:c r="AF24"/>
      <x:c r="AG24" t="str">
        <x:v>One-handed ranged finesse weapon.</x:v>
      </x:c>
      <x:c r="AH24" t="str">
        <x:v>Weapon Skill 2 normally has a 1-turn cooldown; Fortify/Ward use 2 turns; dual Bastion/Aegis uses 3 turns.</x:v>
      </x:c>
    </x:row>
    <x:row r="25">
      <x:c r="A25" t="str">
        <x:v>WPN-021</x:v>
      </x:c>
      <x:c r="B25" t="str">
        <x:v>Tempered Hand Crossbow</x:v>
      </x:c>
      <x:c r="C25" t="str">
        <x:v>Blue</x:v>
      </x:c>
      <x:c r="D25" t="str">
        <x:v>Weapon</x:v>
      </x:c>
      <x:c r="E25" t="str">
        <x:v>Hand Crossbow</x:v>
      </x:c>
      <x:c r="F25" t="str">
        <x:v>1H</x:v>
      </x:c>
      <x:c r="G25" t="str">
        <x:v>Rogue and Bard</x:v>
      </x:c>
      <x:c r="H25" t="str">
        <x:v>Physical Finesse</x:v>
      </x:c>
      <x:c r="I25" t="str">
        <x:v>Dexterity</x:v>
      </x:c>
      <x:c r="J25" t="n">
        <x:v>5</x:v>
      </x:c>
      <x:c r="K25" t="n">
        <x:v>6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2</x:v>
      </x:c>
      <x:c r="Q25" t="n">
        <x:v>0</x:v>
      </x:c>
      <x:c r="R25" t="n">
        <x:v>0</x:v>
      </x:c>
      <x:c r="S25" t="n">
        <x:v>0</x:v>
      </x:c>
      <x:c r="T25" t="n">
        <x:v>1</x:v>
      </x:c>
      <x:c r="U25" t="n">
        <x:v>1</x:v>
      </x:c>
      <x:c r="V25" t="n">
        <x:v>0</x:v>
      </x:c>
      <x:c r="W25" t="n">
        <x:v>0</x:v>
      </x:c>
      <x:c r="X25" t="str">
        <x:v>Snap Bolt</x:v>
      </x:c>
      <x:c r="Y25" t="n">
        <x:v>2</x:v>
      </x:c>
      <x:c r="Z25" t="n">
        <x:v>110</x:v>
      </x:c>
      <x:c r="AA25" t="str">
        <x:v>Barbed Bolt</x:v>
      </x:c>
      <x:c r="AB25" t="n">
        <x:v>3</x:v>
      </x:c>
      <x:c r="AC25" t="n">
        <x:v>115</x:v>
      </x:c>
      <x:c r="AD25" t="n">
        <x:v>1</x:v>
      </x:c>
      <x:c r="AE25" t="str">
        <x:v>Deal 115% Finesse weapon damage. If Armour is broken and Health is damaged, roll a 50% chance to apply Bleed.</x:v>
      </x:c>
      <x:c r="AF25"/>
      <x:c r="AG25" t="str">
        <x:v>One-handed ranged finesse weapon.</x:v>
      </x:c>
      <x:c r="AH25" t="str">
        <x:v>Weapon Skill 2 normally has a 1-turn cooldown; Fortify/Ward use 2 turns; dual Bastion/Aegis uses 3 turns.</x:v>
      </x:c>
    </x:row>
    <x:row r="26">
      <x:c r="A26" t="str">
        <x:v>WPN-022</x:v>
      </x:c>
      <x:c r="B26" t="str">
        <x:v>Masterwork Hand Crossbow</x:v>
      </x:c>
      <x:c r="C26" t="str">
        <x:v>Purple</x:v>
      </x:c>
      <x:c r="D26" t="str">
        <x:v>Weapon</x:v>
      </x:c>
      <x:c r="E26" t="str">
        <x:v>Hand Crossbow</x:v>
      </x:c>
      <x:c r="F26" t="str">
        <x:v>1H</x:v>
      </x:c>
      <x:c r="G26" t="str">
        <x:v>Rogue and Bard</x:v>
      </x:c>
      <x:c r="H26" t="str">
        <x:v>Physical Finesse</x:v>
      </x:c>
      <x:c r="I26" t="str">
        <x:v>Dexterity</x:v>
      </x:c>
      <x:c r="J26" t="n">
        <x:v>6</x:v>
      </x:c>
      <x:c r="K26" t="n">
        <x:v>8</x:v>
      </x:c>
      <x:c r="L26" t="n">
        <x:v>0</x:v>
      </x:c>
      <x:c r="M26" t="n">
        <x:v>0</x:v>
      </x:c>
      <x:c r="N26" t="n">
        <x:v>1</x:v>
      </x:c>
      <x:c r="O26" t="n">
        <x:v>0</x:v>
      </x:c>
      <x:c r="P26" t="n">
        <x:v>3</x:v>
      </x:c>
      <x:c r="Q26" t="n">
        <x:v>0</x:v>
      </x:c>
      <x:c r="R26" t="n">
        <x:v>0</x:v>
      </x:c>
      <x:c r="S26" t="n">
        <x:v>0</x:v>
      </x:c>
      <x:c r="T26" t="n">
        <x:v>1</x:v>
      </x:c>
      <x:c r="U26" t="n">
        <x:v>2</x:v>
      </x:c>
      <x:c r="V26" t="n">
        <x:v>0</x:v>
      </x:c>
      <x:c r="W26" t="n">
        <x:v>0</x:v>
      </x:c>
      <x:c r="X26" t="str">
        <x:v>Snap Bolt</x:v>
      </x:c>
      <x:c r="Y26" t="n">
        <x:v>2</x:v>
      </x:c>
      <x:c r="Z26" t="n">
        <x:v>110</x:v>
      </x:c>
      <x:c r="AA26" t="str">
        <x:v>Barbed Bolt</x:v>
      </x:c>
      <x:c r="AB26" t="n">
        <x:v>3</x:v>
      </x:c>
      <x:c r="AC26" t="n">
        <x:v>115</x:v>
      </x:c>
      <x:c r="AD26" t="n">
        <x:v>1</x:v>
      </x:c>
      <x:c r="AE26" t="str">
        <x:v>Deal 115% Finesse weapon damage. If Armour is broken and Health is damaged, roll a 50% chance to apply Bleed.</x:v>
      </x:c>
      <x:c r="AF26"/>
      <x:c r="AG26" t="str">
        <x:v>One-handed ranged finesse weapon.</x:v>
      </x:c>
      <x:c r="AH26" t="str">
        <x:v>Weapon Skill 2 normally has a 1-turn cooldown; Fortify/Ward use 2 turns; dual Bastion/Aegis uses 3 turns.</x:v>
      </x:c>
    </x:row>
    <x:row r="27">
      <x:c r="A27" t="str">
        <x:v>WPN-023</x:v>
      </x:c>
      <x:c r="B27" t="str">
        <x:v>Regal Hand Crossbow</x:v>
      </x:c>
      <x:c r="C27" t="str">
        <x:v>Gold</x:v>
      </x:c>
      <x:c r="D27" t="str">
        <x:v>Weapon</x:v>
      </x:c>
      <x:c r="E27" t="str">
        <x:v>Hand Crossbow</x:v>
      </x:c>
      <x:c r="F27" t="str">
        <x:v>1H</x:v>
      </x:c>
      <x:c r="G27" t="str">
        <x:v>Rogue and Bard</x:v>
      </x:c>
      <x:c r="H27" t="str">
        <x:v>Physical Finesse</x:v>
      </x:c>
      <x:c r="I27" t="str">
        <x:v>Dexterity</x:v>
      </x:c>
      <x:c r="J27" t="n">
        <x:v>7</x:v>
      </x:c>
      <x:c r="K27" t="n">
        <x:v>9</x:v>
      </x:c>
      <x:c r="L27" t="n">
        <x:v>0</x:v>
      </x:c>
      <x:c r="M27" t="n">
        <x:v>0</x:v>
      </x:c>
      <x:c r="N27" t="n">
        <x:v>1</x:v>
      </x:c>
      <x:c r="O27" t="n">
        <x:v>0</x:v>
      </x:c>
      <x:c r="P27" t="n">
        <x:v>4</x:v>
      </x:c>
      <x:c r="Q27" t="n">
        <x:v>0</x:v>
      </x:c>
      <x:c r="R27" t="n">
        <x:v>0</x:v>
      </x:c>
      <x:c r="S27" t="n">
        <x:v>0</x:v>
      </x:c>
      <x:c r="T27" t="n">
        <x:v>2</x:v>
      </x:c>
      <x:c r="U27" t="n">
        <x:v>3</x:v>
      </x:c>
      <x:c r="V27" t="n">
        <x:v>0</x:v>
      </x:c>
      <x:c r="W27" t="n">
        <x:v>0</x:v>
      </x:c>
      <x:c r="X27" t="str">
        <x:v>Snap Bolt</x:v>
      </x:c>
      <x:c r="Y27" t="n">
        <x:v>2</x:v>
      </x:c>
      <x:c r="Z27" t="n">
        <x:v>110</x:v>
      </x:c>
      <x:c r="AA27" t="str">
        <x:v>Barbed Bolt</x:v>
      </x:c>
      <x:c r="AB27" t="n">
        <x:v>3</x:v>
      </x:c>
      <x:c r="AC27" t="n">
        <x:v>115</x:v>
      </x:c>
      <x:c r="AD27" t="n">
        <x:v>1</x:v>
      </x:c>
      <x:c r="AE27" t="str">
        <x:v>Deal 115% Finesse weapon damage. If Armour is broken and Health is damaged, roll a 50% chance to apply Bleed.</x:v>
      </x:c>
      <x:c r="AF27"/>
      <x:c r="AG27" t="str">
        <x:v>One-handed ranged finesse weapon.</x:v>
      </x:c>
      <x:c r="AH27" t="str">
        <x:v>Weapon Skill 2 normally has a 1-turn cooldown; Fortify/Ward use 2 turns; dual Bastion/Aegis uses 3 turns.</x:v>
      </x:c>
    </x:row>
    <x:row r="28">
      <x:c r="A28" t="str">
        <x:v>WPN-024</x:v>
      </x:c>
      <x:c r="B28" t="str">
        <x:v>Mythic Hand Crossbow</x:v>
      </x:c>
      <x:c r="C28" t="str">
        <x:v>Orange</x:v>
      </x:c>
      <x:c r="D28" t="str">
        <x:v>Weapon</x:v>
      </x:c>
      <x:c r="E28" t="str">
        <x:v>Hand Crossbow</x:v>
      </x:c>
      <x:c r="F28" t="str">
        <x:v>1H</x:v>
      </x:c>
      <x:c r="G28" t="str">
        <x:v>Rogue and Bard</x:v>
      </x:c>
      <x:c r="H28" t="str">
        <x:v>Physical Finesse</x:v>
      </x:c>
      <x:c r="I28" t="str">
        <x:v>Dexterity</x:v>
      </x:c>
      <x:c r="J28" t="n">
        <x:v>8</x:v>
      </x:c>
      <x:c r="K28" t="n">
        <x:v>11</x:v>
      </x:c>
      <x:c r="L28" t="n">
        <x:v>0</x:v>
      </x:c>
      <x:c r="M28" t="n">
        <x:v>0</x:v>
      </x:c>
      <x:c r="N28" t="n">
        <x:v>2</x:v>
      </x:c>
      <x:c r="O28" t="n">
        <x:v>0</x:v>
      </x:c>
      <x:c r="P28" t="n">
        <x:v>5</x:v>
      </x:c>
      <x:c r="Q28" t="n">
        <x:v>0</x:v>
      </x:c>
      <x:c r="R28" t="n">
        <x:v>0</x:v>
      </x:c>
      <x:c r="S28" t="n">
        <x:v>0</x:v>
      </x:c>
      <x:c r="T28" t="n">
        <x:v>2</x:v>
      </x:c>
      <x:c r="U28" t="n">
        <x:v>4</x:v>
      </x:c>
      <x:c r="V28" t="n">
        <x:v>0</x:v>
      </x:c>
      <x:c r="W28" t="n">
        <x:v>0</x:v>
      </x:c>
      <x:c r="X28" t="str">
        <x:v>Snap Bolt</x:v>
      </x:c>
      <x:c r="Y28" t="n">
        <x:v>2</x:v>
      </x:c>
      <x:c r="Z28" t="n">
        <x:v>110</x:v>
      </x:c>
      <x:c r="AA28" t="str">
        <x:v>Barbed Bolt</x:v>
      </x:c>
      <x:c r="AB28" t="n">
        <x:v>3</x:v>
      </x:c>
      <x:c r="AC28" t="n">
        <x:v>115</x:v>
      </x:c>
      <x:c r="AD28" t="n">
        <x:v>1</x:v>
      </x:c>
      <x:c r="AE28" t="str">
        <x:v>Deal 115% Finesse weapon damage. If Armour is broken and Health is damaged, roll a 50% chance to apply Bleed.</x:v>
      </x:c>
      <x:c r="AF28"/>
      <x:c r="AG28" t="str">
        <x:v>One-handed ranged finesse weapon.</x:v>
      </x:c>
      <x:c r="AH28" t="str">
        <x:v>Weapon Skill 2 normally has a 1-turn cooldown; Fortify/Ward use 2 turns; dual Bastion/Aegis uses 3 turns.</x:v>
      </x:c>
    </x:row>
    <x:row r="29">
      <x:c r="A29" t="str">
        <x:v>WPN-025</x:v>
      </x:c>
      <x:c r="B29" t="str">
        <x:v>Beak Hammer</x:v>
      </x:c>
      <x:c r="C29" t="str">
        <x:v>Grey</x:v>
      </x:c>
      <x:c r="D29" t="str">
        <x:v>Weapon</x:v>
      </x:c>
      <x:c r="E29" t="str">
        <x:v>Beak Hammer</x:v>
      </x:c>
      <x:c r="F29" t="str">
        <x:v>1H</x:v>
      </x:c>
      <x:c r="G29" t="str">
        <x:v>Knight, Brute, Inquisitor</x:v>
      </x:c>
      <x:c r="H29" t="str">
        <x:v>Physical Strength</x:v>
      </x:c>
      <x:c r="I29" t="str">
        <x:v>Might</x:v>
      </x:c>
      <x:c r="J29" t="n">
        <x:v>4</x:v>
      </x:c>
      <x:c r="K29" t="n">
        <x:v>6</x:v>
      </x:c>
      <x:c r="L29" t="n">
        <x:v>0</x:v>
      </x:c>
      <x:c r="M29" t="n">
        <x:v>0</x:v>
      </x:c>
      <x:c r="N29" t="n">
        <x:v>0</x:v>
      </x:c>
      <x:c r="O29" t="n">
        <x:v>1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str">
        <x:v>Crushing Peck</x:v>
      </x:c>
      <x:c r="Y29" t="n">
        <x:v>2</x:v>
      </x:c>
      <x:c r="Z29" t="n">
        <x:v>100</x:v>
      </x:c>
      <x:c r="AA29" t="str">
        <x:v>Fortifying Slam</x:v>
      </x:c>
      <x:c r="AB29" t="n">
        <x:v>3</x:v>
      </x:c>
      <x:c r="AC29" t="n">
        <x:v>85</x:v>
      </x:c>
      <x:c r="AD29" t="n">
        <x:v>2</x:v>
      </x:c>
      <x:c r="AE29" t="str">
        <x:v>Deal 85% Strength weapon damage and gain 6 Fortified Armour (add 6 to current Armour and temporary Maximum Armour) for 2 turns.</x:v>
      </x:c>
      <x:c r="AF29"/>
      <x:c r="AG29" t="str">
        <x:v>Heavy impact and Armour pressure.</x:v>
      </x:c>
      <x:c r="AH29" t="str">
        <x:v>Crushing Peck applies 1 Dazed stack after Armour is broken and Health is damaged. Weapon Skill 2 follows its listed cooldown.</x:v>
      </x:c>
    </x:row>
    <x:row r="30">
      <x:c r="A30" t="str">
        <x:v>WPN-026</x:v>
      </x:c>
      <x:c r="B30" t="str">
        <x:v>Sturdy Beak Hammer</x:v>
      </x:c>
      <x:c r="C30" t="str">
        <x:v>Green</x:v>
      </x:c>
      <x:c r="D30" t="str">
        <x:v>Weapon</x:v>
      </x:c>
      <x:c r="E30" t="str">
        <x:v>Beak Hammer</x:v>
      </x:c>
      <x:c r="F30" t="str">
        <x:v>1H</x:v>
      </x:c>
      <x:c r="G30" t="str">
        <x:v>Knight, Brute, Inquisitor</x:v>
      </x:c>
      <x:c r="H30" t="str">
        <x:v>Physical Strength</x:v>
      </x:c>
      <x:c r="I30" t="str">
        <x:v>Might</x:v>
      </x:c>
      <x:c r="J30" t="n">
        <x:v>5</x:v>
      </x:c>
      <x:c r="K30" t="n">
        <x:v>8</x:v>
      </x:c>
      <x:c r="L30" t="n">
        <x:v>0</x:v>
      </x:c>
      <x:c r="M30" t="n">
        <x:v>0</x:v>
      </x:c>
      <x:c r="N30" t="n">
        <x:v>0</x:v>
      </x:c>
      <x:c r="O30" t="n">
        <x:v>1</x:v>
      </x:c>
      <x:c r="P30" t="n">
        <x:v>0</x:v>
      </x:c>
      <x:c r="Q30" t="n">
        <x:v>1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str">
        <x:v>Crushing Peck</x:v>
      </x:c>
      <x:c r="Y30" t="n">
        <x:v>2</x:v>
      </x:c>
      <x:c r="Z30" t="n">
        <x:v>100</x:v>
      </x:c>
      <x:c r="AA30" t="str">
        <x:v>Fortifying Slam</x:v>
      </x:c>
      <x:c r="AB30" t="n">
        <x:v>3</x:v>
      </x:c>
      <x:c r="AC30" t="n">
        <x:v>85</x:v>
      </x:c>
      <x:c r="AD30" t="n">
        <x:v>2</x:v>
      </x:c>
      <x:c r="AE30" t="str">
        <x:v>Deal 85% Strength weapon damage and gain 6 Fortified Armour (add 6 to current Armour and temporary Maximum Armour) for 2 turns.</x:v>
      </x:c>
      <x:c r="AF30"/>
      <x:c r="AG30" t="str">
        <x:v>Heavy impact and Armour pressure.</x:v>
      </x:c>
      <x:c r="AH30" t="str">
        <x:v>Crushing Peck applies 1 Dazed stack after Armour is broken and Health is damaged. Weapon Skill 2 follows its listed cooldown.</x:v>
      </x:c>
    </x:row>
    <x:row r="31">
      <x:c r="A31" t="str">
        <x:v>WPN-027</x:v>
      </x:c>
      <x:c r="B31" t="str">
        <x:v>Tempered Beak Hammer</x:v>
      </x:c>
      <x:c r="C31" t="str">
        <x:v>Blue</x:v>
      </x:c>
      <x:c r="D31" t="str">
        <x:v>Weapon</x:v>
      </x:c>
      <x:c r="E31" t="str">
        <x:v>Beak Hammer</x:v>
      </x:c>
      <x:c r="F31" t="str">
        <x:v>1H</x:v>
      </x:c>
      <x:c r="G31" t="str">
        <x:v>Knight, Brute, Inquisitor</x:v>
      </x:c>
      <x:c r="H31" t="str">
        <x:v>Physical Strength</x:v>
      </x:c>
      <x:c r="I31" t="str">
        <x:v>Might</x:v>
      </x:c>
      <x:c r="J31" t="n">
        <x:v>6</x:v>
      </x:c>
      <x:c r="K31" t="n">
        <x:v>9</x:v>
      </x:c>
      <x:c r="L31" t="n">
        <x:v>0</x:v>
      </x:c>
      <x:c r="M31" t="n">
        <x:v>0</x:v>
      </x:c>
      <x:c r="N31" t="n">
        <x:v>0</x:v>
      </x:c>
      <x:c r="O31" t="n">
        <x:v>2</x:v>
      </x:c>
      <x:c r="P31" t="n">
        <x:v>0</x:v>
      </x:c>
      <x:c r="Q31" t="n">
        <x:v>1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str">
        <x:v>Crushing Peck</x:v>
      </x:c>
      <x:c r="Y31" t="n">
        <x:v>2</x:v>
      </x:c>
      <x:c r="Z31" t="n">
        <x:v>100</x:v>
      </x:c>
      <x:c r="AA31" t="str">
        <x:v>Fortifying Slam</x:v>
      </x:c>
      <x:c r="AB31" t="n">
        <x:v>3</x:v>
      </x:c>
      <x:c r="AC31" t="n">
        <x:v>85</x:v>
      </x:c>
      <x:c r="AD31" t="n">
        <x:v>2</x:v>
      </x:c>
      <x:c r="AE31" t="str">
        <x:v>Deal 85% Strength weapon damage and gain 6 Fortified Armour (add 6 to current Armour and temporary Maximum Armour) for 2 turns.</x:v>
      </x:c>
      <x:c r="AF31"/>
      <x:c r="AG31" t="str">
        <x:v>Heavy impact and Armour pressure.</x:v>
      </x:c>
      <x:c r="AH31" t="str">
        <x:v>Crushing Peck applies 1 Dazed stack after Armour is broken and Health is damaged. Weapon Skill 2 follows its listed cooldown.</x:v>
      </x:c>
    </x:row>
    <x:row r="32">
      <x:c r="A32" t="str">
        <x:v>WPN-028</x:v>
      </x:c>
      <x:c r="B32" t="str">
        <x:v>Masterwork Beak Hammer</x:v>
      </x:c>
      <x:c r="C32" t="str">
        <x:v>Purple</x:v>
      </x:c>
      <x:c r="D32" t="str">
        <x:v>Weapon</x:v>
      </x:c>
      <x:c r="E32" t="str">
        <x:v>Beak Hammer</x:v>
      </x:c>
      <x:c r="F32" t="str">
        <x:v>1H</x:v>
      </x:c>
      <x:c r="G32" t="str">
        <x:v>Knight, Brute, Inquisitor</x:v>
      </x:c>
      <x:c r="H32" t="str">
        <x:v>Physical Strength</x:v>
      </x:c>
      <x:c r="I32" t="str">
        <x:v>Might</x:v>
      </x:c>
      <x:c r="J32" t="n">
        <x:v>8</x:v>
      </x:c>
      <x:c r="K32" t="n">
        <x:v>11</x:v>
      </x:c>
      <x:c r="L32" t="n">
        <x:v>0</x:v>
      </x:c>
      <x:c r="M32" t="n">
        <x:v>0</x:v>
      </x:c>
      <x:c r="N32" t="n">
        <x:v>1</x:v>
      </x:c>
      <x:c r="O32" t="n">
        <x:v>3</x:v>
      </x:c>
      <x:c r="P32" t="n">
        <x:v>0</x:v>
      </x:c>
      <x:c r="Q32" t="n">
        <x:v>1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1</x:v>
      </x:c>
      <x:c r="W32" t="n">
        <x:v>0</x:v>
      </x:c>
      <x:c r="X32" t="str">
        <x:v>Crushing Peck</x:v>
      </x:c>
      <x:c r="Y32" t="n">
        <x:v>2</x:v>
      </x:c>
      <x:c r="Z32" t="n">
        <x:v>100</x:v>
      </x:c>
      <x:c r="AA32" t="str">
        <x:v>Fortifying Slam</x:v>
      </x:c>
      <x:c r="AB32" t="n">
        <x:v>3</x:v>
      </x:c>
      <x:c r="AC32" t="n">
        <x:v>85</x:v>
      </x:c>
      <x:c r="AD32" t="n">
        <x:v>2</x:v>
      </x:c>
      <x:c r="AE32" t="str">
        <x:v>Deal 85% Strength weapon damage and gain 6 Fortified Armour (add 6 to current Armour and temporary Maximum Armour) for 2 turns.</x:v>
      </x:c>
      <x:c r="AF32"/>
      <x:c r="AG32" t="str">
        <x:v>Heavy impact and Armour pressure.</x:v>
      </x:c>
      <x:c r="AH32" t="str">
        <x:v>Crushing Peck applies 1 Dazed stack after Armour is broken and Health is damaged. Weapon Skill 2 follows its listed cooldown.</x:v>
      </x:c>
    </x:row>
    <x:row r="33">
      <x:c r="A33" t="str">
        <x:v>WPN-029</x:v>
      </x:c>
      <x:c r="B33" t="str">
        <x:v>Regal Beak Hammer</x:v>
      </x:c>
      <x:c r="C33" t="str">
        <x:v>Gold</x:v>
      </x:c>
      <x:c r="D33" t="str">
        <x:v>Weapon</x:v>
      </x:c>
      <x:c r="E33" t="str">
        <x:v>Beak Hammer</x:v>
      </x:c>
      <x:c r="F33" t="str">
        <x:v>1H</x:v>
      </x:c>
      <x:c r="G33" t="str">
        <x:v>Knight, Brute, Inquisitor</x:v>
      </x:c>
      <x:c r="H33" t="str">
        <x:v>Physical Strength</x:v>
      </x:c>
      <x:c r="I33" t="str">
        <x:v>Might</x:v>
      </x:c>
      <x:c r="J33" t="n">
        <x:v>9</x:v>
      </x:c>
      <x:c r="K33" t="n">
        <x:v>14</x:v>
      </x:c>
      <x:c r="L33" t="n">
        <x:v>0</x:v>
      </x:c>
      <x:c r="M33" t="n">
        <x:v>0</x:v>
      </x:c>
      <x:c r="N33" t="n">
        <x:v>1</x:v>
      </x:c>
      <x:c r="O33" t="n">
        <x:v>4</x:v>
      </x:c>
      <x:c r="P33" t="n">
        <x:v>0</x:v>
      </x:c>
      <x:c r="Q33" t="n">
        <x:v>2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2</x:v>
      </x:c>
      <x:c r="W33" t="n">
        <x:v>0</x:v>
      </x:c>
      <x:c r="X33" t="str">
        <x:v>Crushing Peck</x:v>
      </x:c>
      <x:c r="Y33" t="n">
        <x:v>2</x:v>
      </x:c>
      <x:c r="Z33" t="n">
        <x:v>100</x:v>
      </x:c>
      <x:c r="AA33" t="str">
        <x:v>Fortifying Slam</x:v>
      </x:c>
      <x:c r="AB33" t="n">
        <x:v>3</x:v>
      </x:c>
      <x:c r="AC33" t="n">
        <x:v>85</x:v>
      </x:c>
      <x:c r="AD33" t="n">
        <x:v>2</x:v>
      </x:c>
      <x:c r="AE33" t="str">
        <x:v>Deal 85% Strength weapon damage and gain 6 Fortified Armour (add 6 to current Armour and temporary Maximum Armour) for 2 turns.</x:v>
      </x:c>
      <x:c r="AF33"/>
      <x:c r="AG33" t="str">
        <x:v>Heavy impact and Armour pressure.</x:v>
      </x:c>
      <x:c r="AH33" t="str">
        <x:v>Crushing Peck applies 1 Dazed stack after Armour is broken and Health is damaged. Weapon Skill 2 follows its listed cooldown.</x:v>
      </x:c>
    </x:row>
    <x:row r="34">
      <x:c r="A34" t="str">
        <x:v>WPN-030</x:v>
      </x:c>
      <x:c r="B34" t="str">
        <x:v>Mythic Beak Hammer</x:v>
      </x:c>
      <x:c r="C34" t="str">
        <x:v>Orange</x:v>
      </x:c>
      <x:c r="D34" t="str">
        <x:v>Weapon</x:v>
      </x:c>
      <x:c r="E34" t="str">
        <x:v>Beak Hammer</x:v>
      </x:c>
      <x:c r="F34" t="str">
        <x:v>1H</x:v>
      </x:c>
      <x:c r="G34" t="str">
        <x:v>Knight, Brute, Inquisitor</x:v>
      </x:c>
      <x:c r="H34" t="str">
        <x:v>Physical Strength</x:v>
      </x:c>
      <x:c r="I34" t="str">
        <x:v>Might</x:v>
      </x:c>
      <x:c r="J34" t="n">
        <x:v>11</x:v>
      </x:c>
      <x:c r="K34" t="n">
        <x:v>17</x:v>
      </x:c>
      <x:c r="L34" t="n">
        <x:v>0</x:v>
      </x:c>
      <x:c r="M34" t="n">
        <x:v>0</x:v>
      </x:c>
      <x:c r="N34" t="n">
        <x:v>2</x:v>
      </x:c>
      <x:c r="O34" t="n">
        <x:v>5</x:v>
      </x:c>
      <x:c r="P34" t="n">
        <x:v>0</x:v>
      </x:c>
      <x:c r="Q34" t="n">
        <x:v>2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3</x:v>
      </x:c>
      <x:c r="W34" t="n">
        <x:v>0</x:v>
      </x:c>
      <x:c r="X34" t="str">
        <x:v>Crushing Peck</x:v>
      </x:c>
      <x:c r="Y34" t="n">
        <x:v>2</x:v>
      </x:c>
      <x:c r="Z34" t="n">
        <x:v>100</x:v>
      </x:c>
      <x:c r="AA34" t="str">
        <x:v>Fortifying Slam</x:v>
      </x:c>
      <x:c r="AB34" t="n">
        <x:v>3</x:v>
      </x:c>
      <x:c r="AC34" t="n">
        <x:v>85</x:v>
      </x:c>
      <x:c r="AD34" t="n">
        <x:v>2</x:v>
      </x:c>
      <x:c r="AE34" t="str">
        <x:v>Deal 85% Strength weapon damage and gain 6 Fortified Armour (add 6 to current Armour and temporary Maximum Armour) for 2 turns.</x:v>
      </x:c>
      <x:c r="AF34"/>
      <x:c r="AG34" t="str">
        <x:v>Heavy impact and Armour pressure.</x:v>
      </x:c>
      <x:c r="AH34" t="str">
        <x:v>Crushing Peck applies 1 Dazed stack after Armour is broken and Health is damaged. Weapon Skill 2 follows its listed cooldown.</x:v>
      </x:c>
    </x:row>
    <x:row r="35">
      <x:c r="A35" t="str">
        <x:v>WPN-031</x:v>
      </x:c>
      <x:c r="B35" t="str">
        <x:v>Wand</x:v>
      </x:c>
      <x:c r="C35" t="str">
        <x:v>Grey</x:v>
      </x:c>
      <x:c r="D35" t="str">
        <x:v>Weapon</x:v>
      </x:c>
      <x:c r="E35" t="str">
        <x:v>Wand</x:v>
      </x:c>
      <x:c r="F35" t="str">
        <x:v>1H</x:v>
      </x:c>
      <x:c r="G35" t="str">
        <x:v>Mage, Siren, Bard, Inquisitor</x:v>
      </x:c>
      <x:c r="H35" t="str">
        <x:v>Magical</x:v>
      </x:c>
      <x:c r="I35" t="str">
        <x:v>Focus</x:v>
      </x:c>
      <x:c r="J35" t="n">
        <x:v>2</x:v>
      </x:c>
      <x:c r="K35" t="n">
        <x:v>4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1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str">
        <x:v>Arc Bolt</x:v>
      </x:c>
      <x:c r="Y35" t="n">
        <x:v>2</x:v>
      </x:c>
      <x:c r="Z35" t="n">
        <x:v>110</x:v>
      </x:c>
      <x:c r="AA35" t="str">
        <x:v>Arcane Ward</x:v>
      </x:c>
      <x:c r="AB35" t="n">
        <x:v>3</x:v>
      </x:c>
      <x:c r="AC35" t="n">
        <x:v>0</x:v>
      </x:c>
      <x:c r="AD35" t="n">
        <x:v>2</x:v>
      </x:c>
      <x:c r="AE35" t="str">
        <x:v>Gain 8 Ward Magic Armour (add 8 to current Magic Armour and temporary Maximum Magic Armour) for 2 turns. Ward heals missing Magic Armour and may exceed normal Maximum Magic Armour.</x:v>
      </x:c>
      <x:c r="AF35"/>
      <x:c r="AG35" t="str">
        <x:v>Reliable basic magical attack.</x:v>
      </x:c>
      <x:c r="AH35" t="str">
        <x:v>Weapon Skill 2 normally has a 1-turn cooldown; Fortify/Ward use 2 turns; dual Bastion/Aegis uses 3 turns.</x:v>
      </x:c>
    </x:row>
    <x:row r="36">
      <x:c r="A36" t="str">
        <x:v>WPN-032</x:v>
      </x:c>
      <x:c r="B36" t="str">
        <x:v>Sturdy Wand</x:v>
      </x:c>
      <x:c r="C36" t="str">
        <x:v>Green</x:v>
      </x:c>
      <x:c r="D36" t="str">
        <x:v>Weapon</x:v>
      </x:c>
      <x:c r="E36" t="str">
        <x:v>Wand</x:v>
      </x:c>
      <x:c r="F36" t="str">
        <x:v>1H</x:v>
      </x:c>
      <x:c r="G36" t="str">
        <x:v>Mage, Siren, Bard, Inquisitor</x:v>
      </x:c>
      <x:c r="H36" t="str">
        <x:v>Magical</x:v>
      </x:c>
      <x:c r="I36" t="str">
        <x:v>Focus</x:v>
      </x:c>
      <x:c r="J36" t="n">
        <x:v>3</x:v>
      </x:c>
      <x:c r="K36" t="n">
        <x:v>5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1</x:v>
      </x:c>
      <x:c r="S36" t="n">
        <x:v>1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str">
        <x:v>Arc Bolt</x:v>
      </x:c>
      <x:c r="Y36" t="n">
        <x:v>2</x:v>
      </x:c>
      <x:c r="Z36" t="n">
        <x:v>110</x:v>
      </x:c>
      <x:c r="AA36" t="str">
        <x:v>Arcane Ward</x:v>
      </x:c>
      <x:c r="AB36" t="n">
        <x:v>3</x:v>
      </x:c>
      <x:c r="AC36" t="n">
        <x:v>0</x:v>
      </x:c>
      <x:c r="AD36" t="n">
        <x:v>2</x:v>
      </x:c>
      <x:c r="AE36" t="str">
        <x:v>Gain 8 Ward Magic Armour (add 8 to current Magic Armour and temporary Maximum Magic Armour) for 2 turns. Ward heals missing Magic Armour and may exceed normal Maximum Magic Armour.</x:v>
      </x:c>
      <x:c r="AF36"/>
      <x:c r="AG36" t="str">
        <x:v>Reliable basic magical attack.</x:v>
      </x:c>
      <x:c r="AH36" t="str">
        <x:v>Weapon Skill 2 normally has a 1-turn cooldown; Fortify/Ward use 2 turns; dual Bastion/Aegis uses 3 turns.</x:v>
      </x:c>
    </x:row>
    <x:row r="37">
      <x:c r="A37" t="str">
        <x:v>WPN-033</x:v>
      </x:c>
      <x:c r="B37" t="str">
        <x:v>Tempered Wand</x:v>
      </x:c>
      <x:c r="C37" t="str">
        <x:v>Blue</x:v>
      </x:c>
      <x:c r="D37" t="str">
        <x:v>Weapon</x:v>
      </x:c>
      <x:c r="E37" t="str">
        <x:v>Wand</x:v>
      </x:c>
      <x:c r="F37" t="str">
        <x:v>1H</x:v>
      </x:c>
      <x:c r="G37" t="str">
        <x:v>Mage, Siren, Bard, Inquisitor</x:v>
      </x:c>
      <x:c r="H37" t="str">
        <x:v>Magical</x:v>
      </x:c>
      <x:c r="I37" t="str">
        <x:v>Focus</x:v>
      </x:c>
      <x:c r="J37" t="n">
        <x:v>3</x:v>
      </x:c>
      <x:c r="K37" t="n">
        <x:v>6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2</x:v>
      </x:c>
      <x:c r="S37" t="n">
        <x:v>1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str">
        <x:v>Arc Bolt</x:v>
      </x:c>
      <x:c r="Y37" t="n">
        <x:v>2</x:v>
      </x:c>
      <x:c r="Z37" t="n">
        <x:v>110</x:v>
      </x:c>
      <x:c r="AA37" t="str">
        <x:v>Arcane Ward</x:v>
      </x:c>
      <x:c r="AB37" t="n">
        <x:v>3</x:v>
      </x:c>
      <x:c r="AC37" t="n">
        <x:v>0</x:v>
      </x:c>
      <x:c r="AD37" t="n">
        <x:v>2</x:v>
      </x:c>
      <x:c r="AE37" t="str">
        <x:v>Gain 8 Ward Magic Armour (add 8 to current Magic Armour and temporary Maximum Magic Armour) for 2 turns. Ward heals missing Magic Armour and may exceed normal Maximum Magic Armour.</x:v>
      </x:c>
      <x:c r="AF37"/>
      <x:c r="AG37" t="str">
        <x:v>Reliable basic magical attack.</x:v>
      </x:c>
      <x:c r="AH37" t="str">
        <x:v>Weapon Skill 2 normally has a 1-turn cooldown; Fortify/Ward use 2 turns; dual Bastion/Aegis uses 3 turns.</x:v>
      </x:c>
    </x:row>
    <x:row r="38">
      <x:c r="A38" t="str">
        <x:v>WPN-034</x:v>
      </x:c>
      <x:c r="B38" t="str">
        <x:v>Masterwork Wand</x:v>
      </x:c>
      <x:c r="C38" t="str">
        <x:v>Purple</x:v>
      </x:c>
      <x:c r="D38" t="str">
        <x:v>Weapon</x:v>
      </x:c>
      <x:c r="E38" t="str">
        <x:v>Wand</x:v>
      </x:c>
      <x:c r="F38" t="str">
        <x:v>1H</x:v>
      </x:c>
      <x:c r="G38" t="str">
        <x:v>Mage, Siren, Bard, Inquisitor</x:v>
      </x:c>
      <x:c r="H38" t="str">
        <x:v>Magical</x:v>
      </x:c>
      <x:c r="I38" t="str">
        <x:v>Focus</x:v>
      </x:c>
      <x:c r="J38" t="n">
        <x:v>4</x:v>
      </x:c>
      <x:c r="K38" t="n">
        <x:v>8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3</x:v>
      </x:c>
      <x:c r="S38" t="n">
        <x:v>1</x:v>
      </x:c>
      <x:c r="T38" t="n">
        <x:v>1</x:v>
      </x:c>
      <x:c r="U38" t="n">
        <x:v>0</x:v>
      </x:c>
      <x:c r="V38" t="n">
        <x:v>0</x:v>
      </x:c>
      <x:c r="W38" t="n">
        <x:v>1</x:v>
      </x:c>
      <x:c r="X38" t="str">
        <x:v>Arc Bolt</x:v>
      </x:c>
      <x:c r="Y38" t="n">
        <x:v>2</x:v>
      </x:c>
      <x:c r="Z38" t="n">
        <x:v>110</x:v>
      </x:c>
      <x:c r="AA38" t="str">
        <x:v>Arcane Ward</x:v>
      </x:c>
      <x:c r="AB38" t="n">
        <x:v>3</x:v>
      </x:c>
      <x:c r="AC38" t="n">
        <x:v>0</x:v>
      </x:c>
      <x:c r="AD38" t="n">
        <x:v>2</x:v>
      </x:c>
      <x:c r="AE38" t="str">
        <x:v>Gain 8 Ward Magic Armour (add 8 to current Magic Armour and temporary Maximum Magic Armour) for 2 turns. Ward heals missing Magic Armour and may exceed normal Maximum Magic Armour.</x:v>
      </x:c>
      <x:c r="AF38"/>
      <x:c r="AG38" t="str">
        <x:v>Reliable basic magical attack.</x:v>
      </x:c>
      <x:c r="AH38" t="str">
        <x:v>Weapon Skill 2 normally has a 1-turn cooldown; Fortify/Ward use 2 turns; dual Bastion/Aegis uses 3 turns.</x:v>
      </x:c>
    </x:row>
    <x:row r="39">
      <x:c r="A39" t="str">
        <x:v>WPN-035</x:v>
      </x:c>
      <x:c r="B39" t="str">
        <x:v>Regal Wand</x:v>
      </x:c>
      <x:c r="C39" t="str">
        <x:v>Gold</x:v>
      </x:c>
      <x:c r="D39" t="str">
        <x:v>Weapon</x:v>
      </x:c>
      <x:c r="E39" t="str">
        <x:v>Wand</x:v>
      </x:c>
      <x:c r="F39" t="str">
        <x:v>1H</x:v>
      </x:c>
      <x:c r="G39" t="str">
        <x:v>Mage, Siren, Bard, Inquisitor</x:v>
      </x:c>
      <x:c r="H39" t="str">
        <x:v>Magical</x:v>
      </x:c>
      <x:c r="I39" t="str">
        <x:v>Focus</x:v>
      </x:c>
      <x:c r="J39" t="n">
        <x:v>5</x:v>
      </x:c>
      <x:c r="K39" t="n">
        <x:v>9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4</x:v>
      </x:c>
      <x:c r="S39" t="n">
        <x:v>2</x:v>
      </x:c>
      <x:c r="T39" t="n">
        <x:v>1</x:v>
      </x:c>
      <x:c r="U39" t="n">
        <x:v>0</x:v>
      </x:c>
      <x:c r="V39" t="n">
        <x:v>0</x:v>
      </x:c>
      <x:c r="W39" t="n">
        <x:v>2</x:v>
      </x:c>
      <x:c r="X39" t="str">
        <x:v>Arc Bolt</x:v>
      </x:c>
      <x:c r="Y39" t="n">
        <x:v>2</x:v>
      </x:c>
      <x:c r="Z39" t="n">
        <x:v>110</x:v>
      </x:c>
      <x:c r="AA39" t="str">
        <x:v>Arcane Ward</x:v>
      </x:c>
      <x:c r="AB39" t="n">
        <x:v>3</x:v>
      </x:c>
      <x:c r="AC39" t="n">
        <x:v>0</x:v>
      </x:c>
      <x:c r="AD39" t="n">
        <x:v>2</x:v>
      </x:c>
      <x:c r="AE39" t="str">
        <x:v>Gain 8 Ward Magic Armour (add 8 to current Magic Armour and temporary Maximum Magic Armour) for 2 turns. Ward heals missing Magic Armour and may exceed normal Maximum Magic Armour.</x:v>
      </x:c>
      <x:c r="AF39"/>
      <x:c r="AG39" t="str">
        <x:v>Reliable basic magical attack.</x:v>
      </x:c>
      <x:c r="AH39" t="str">
        <x:v>Weapon Skill 2 normally has a 1-turn cooldown; Fortify/Ward use 2 turns; dual Bastion/Aegis uses 3 turns.</x:v>
      </x:c>
    </x:row>
    <x:row r="40">
      <x:c r="A40" t="str">
        <x:v>WPN-036</x:v>
      </x:c>
      <x:c r="B40" t="str">
        <x:v>Mythic Wand</x:v>
      </x:c>
      <x:c r="C40" t="str">
        <x:v>Orange</x:v>
      </x:c>
      <x:c r="D40" t="str">
        <x:v>Weapon</x:v>
      </x:c>
      <x:c r="E40" t="str">
        <x:v>Wand</x:v>
      </x:c>
      <x:c r="F40" t="str">
        <x:v>1H</x:v>
      </x:c>
      <x:c r="G40" t="str">
        <x:v>Mage, Siren, Bard, Inquisitor</x:v>
      </x:c>
      <x:c r="H40" t="str">
        <x:v>Magical</x:v>
      </x:c>
      <x:c r="I40" t="str">
        <x:v>Focus</x:v>
      </x:c>
      <x:c r="J40" t="n">
        <x:v>6</x:v>
      </x:c>
      <x:c r="K40" t="n">
        <x:v>11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5</x:v>
      </x:c>
      <x:c r="S40" t="n">
        <x:v>2</x:v>
      </x:c>
      <x:c r="T40" t="n">
        <x:v>2</x:v>
      </x:c>
      <x:c r="U40" t="n">
        <x:v>0</x:v>
      </x:c>
      <x:c r="V40" t="n">
        <x:v>0</x:v>
      </x:c>
      <x:c r="W40" t="n">
        <x:v>3</x:v>
      </x:c>
      <x:c r="X40" t="str">
        <x:v>Arc Bolt</x:v>
      </x:c>
      <x:c r="Y40" t="n">
        <x:v>2</x:v>
      </x:c>
      <x:c r="Z40" t="n">
        <x:v>110</x:v>
      </x:c>
      <x:c r="AA40" t="str">
        <x:v>Arcane Ward</x:v>
      </x:c>
      <x:c r="AB40" t="n">
        <x:v>3</x:v>
      </x:c>
      <x:c r="AC40" t="n">
        <x:v>0</x:v>
      </x:c>
      <x:c r="AD40" t="n">
        <x:v>2</x:v>
      </x:c>
      <x:c r="AE40" t="str">
        <x:v>Gain 8 Ward Magic Armour (add 8 to current Magic Armour and temporary Maximum Magic Armour) for 2 turns. Ward heals missing Magic Armour and may exceed normal Maximum Magic Armour.</x:v>
      </x:c>
      <x:c r="AF40"/>
      <x:c r="AG40" t="str">
        <x:v>Reliable basic magical attack.</x:v>
      </x:c>
      <x:c r="AH40" t="str">
        <x:v>Weapon Skill 2 normally has a 1-turn cooldown; Fortify/Ward use 2 turns; dual Bastion/Aegis uses 3 turns.</x:v>
      </x:c>
    </x:row>
    <x:row r="41">
      <x:c r="A41" t="str">
        <x:v>WPN-037</x:v>
      </x:c>
      <x:c r="B41" t="str">
        <x:v>Hexwood Wand</x:v>
      </x:c>
      <x:c r="C41" t="str">
        <x:v>Grey</x:v>
      </x:c>
      <x:c r="D41" t="str">
        <x:v>Weapon</x:v>
      </x:c>
      <x:c r="E41" t="str">
        <x:v>Hexwood Wand</x:v>
      </x:c>
      <x:c r="F41" t="str">
        <x:v>1H</x:v>
      </x:c>
      <x:c r="G41" t="str">
        <x:v>Mage and Siren</x:v>
      </x:c>
      <x:c r="H41" t="str">
        <x:v>Magical</x:v>
      </x:c>
      <x:c r="I41" t="str">
        <x:v>Focus</x:v>
      </x:c>
      <x:c r="J41" t="n">
        <x:v>2</x:v>
      </x:c>
      <x:c r="K41" t="n">
        <x:v>3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1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str">
        <x:v>Hex Needle</x:v>
      </x:c>
      <x:c r="Y41" t="n">
        <x:v>2</x:v>
      </x:c>
      <x:c r="Z41" t="n">
        <x:v>90</x:v>
      </x:c>
      <x:c r="AA41" t="str">
        <x:v>Withering Hex</x:v>
      </x:c>
      <x:c r="AB41" t="n">
        <x:v>3</x:v>
      </x:c>
      <x:c r="AC41" t="n">
        <x:v>75</x:v>
      </x:c>
      <x:c r="AD41" t="n">
        <x:v>1</x:v>
      </x:c>
      <x:c r="AE41" t="str">
        <x:v>Deal 75% Magic weapon damage. If Magic Armour is broken and Health is damaged, apply Minor Focus Down for 2 turns.</x:v>
      </x:c>
      <x:c r="AF41"/>
      <x:c r="AG41" t="str">
        <x:v>Lower damage; ailment utility.</x:v>
      </x:c>
      <x:c r="AH41" t="str">
        <x:v>Weapon Skill 2 normally has a 1-turn cooldown; Fortify/Ward use 2 turns; dual Bastion/Aegis uses 3 turns.</x:v>
      </x:c>
    </x:row>
    <x:row r="42">
      <x:c r="A42" t="str">
        <x:v>WPN-038</x:v>
      </x:c>
      <x:c r="B42" t="str">
        <x:v>Sturdy Hexwood Wand</x:v>
      </x:c>
      <x:c r="C42" t="str">
        <x:v>Green</x:v>
      </x:c>
      <x:c r="D42" t="str">
        <x:v>Weapon</x:v>
      </x:c>
      <x:c r="E42" t="str">
        <x:v>Hexwood Wand</x:v>
      </x:c>
      <x:c r="F42" t="str">
        <x:v>1H</x:v>
      </x:c>
      <x:c r="G42" t="str">
        <x:v>Mage and Siren</x:v>
      </x:c>
      <x:c r="H42" t="str">
        <x:v>Magical</x:v>
      </x:c>
      <x:c r="I42" t="str">
        <x:v>Focus</x:v>
      </x:c>
      <x:c r="J42" t="n">
        <x:v>3</x:v>
      </x:c>
      <x:c r="K42" t="n">
        <x:v>4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1</x:v>
      </x:c>
      <x:c r="S42" t="n">
        <x:v>1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str">
        <x:v>Hex Needle</x:v>
      </x:c>
      <x:c r="Y42" t="n">
        <x:v>2</x:v>
      </x:c>
      <x:c r="Z42" t="n">
        <x:v>90</x:v>
      </x:c>
      <x:c r="AA42" t="str">
        <x:v>Withering Hex</x:v>
      </x:c>
      <x:c r="AB42" t="n">
        <x:v>3</x:v>
      </x:c>
      <x:c r="AC42" t="n">
        <x:v>75</x:v>
      </x:c>
      <x:c r="AD42" t="n">
        <x:v>1</x:v>
      </x:c>
      <x:c r="AE42" t="str">
        <x:v>Deal 75% Magic weapon damage. If Magic Armour is broken and Health is damaged, apply Minor Focus Down for 2 turns.</x:v>
      </x:c>
      <x:c r="AF42"/>
      <x:c r="AG42" t="str">
        <x:v>Lower damage; ailment utility.</x:v>
      </x:c>
      <x:c r="AH42" t="str">
        <x:v>Weapon Skill 2 normally has a 1-turn cooldown; Fortify/Ward use 2 turns; dual Bastion/Aegis uses 3 turns.</x:v>
      </x:c>
    </x:row>
    <x:row r="43">
      <x:c r="A43" t="str">
        <x:v>WPN-039</x:v>
      </x:c>
      <x:c r="B43" t="str">
        <x:v>Tempered Hexwood Wand</x:v>
      </x:c>
      <x:c r="C43" t="str">
        <x:v>Blue</x:v>
      </x:c>
      <x:c r="D43" t="str">
        <x:v>Weapon</x:v>
      </x:c>
      <x:c r="E43" t="str">
        <x:v>Hexwood Wand</x:v>
      </x:c>
      <x:c r="F43" t="str">
        <x:v>1H</x:v>
      </x:c>
      <x:c r="G43" t="str">
        <x:v>Mage and Siren</x:v>
      </x:c>
      <x:c r="H43" t="str">
        <x:v>Magical</x:v>
      </x:c>
      <x:c r="I43" t="str">
        <x:v>Focus</x:v>
      </x:c>
      <x:c r="J43" t="n">
        <x:v>3</x:v>
      </x:c>
      <x:c r="K43" t="n">
        <x:v>5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2</x:v>
      </x:c>
      <x:c r="S43" t="n">
        <x:v>1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str">
        <x:v>Hex Needle</x:v>
      </x:c>
      <x:c r="Y43" t="n">
        <x:v>2</x:v>
      </x:c>
      <x:c r="Z43" t="n">
        <x:v>90</x:v>
      </x:c>
      <x:c r="AA43" t="str">
        <x:v>Withering Hex</x:v>
      </x:c>
      <x:c r="AB43" t="n">
        <x:v>3</x:v>
      </x:c>
      <x:c r="AC43" t="n">
        <x:v>75</x:v>
      </x:c>
      <x:c r="AD43" t="n">
        <x:v>1</x:v>
      </x:c>
      <x:c r="AE43" t="str">
        <x:v>Deal 75% Magic weapon damage. If Magic Armour is broken and Health is damaged, apply Minor Focus Down for 2 turns.</x:v>
      </x:c>
      <x:c r="AF43"/>
      <x:c r="AG43" t="str">
        <x:v>Lower damage; ailment utility.</x:v>
      </x:c>
      <x:c r="AH43" t="str">
        <x:v>Weapon Skill 2 normally has a 1-turn cooldown; Fortify/Ward use 2 turns; dual Bastion/Aegis uses 3 turns.</x:v>
      </x:c>
    </x:row>
    <x:row r="44">
      <x:c r="A44" t="str">
        <x:v>WPN-040</x:v>
      </x:c>
      <x:c r="B44" t="str">
        <x:v>Masterwork Hexwood Wand</x:v>
      </x:c>
      <x:c r="C44" t="str">
        <x:v>Purple</x:v>
      </x:c>
      <x:c r="D44" t="str">
        <x:v>Weapon</x:v>
      </x:c>
      <x:c r="E44" t="str">
        <x:v>Hexwood Wand</x:v>
      </x:c>
      <x:c r="F44" t="str">
        <x:v>1H</x:v>
      </x:c>
      <x:c r="G44" t="str">
        <x:v>Mage and Siren</x:v>
      </x:c>
      <x:c r="H44" t="str">
        <x:v>Magical</x:v>
      </x:c>
      <x:c r="I44" t="str">
        <x:v>Focus</x:v>
      </x:c>
      <x:c r="J44" t="n">
        <x:v>4</x:v>
      </x:c>
      <x:c r="K44" t="n">
        <x:v>6</x:v>
      </x:c>
      <x:c r="L44" t="n">
        <x:v>0</x:v>
      </x:c>
      <x:c r="M44" t="n">
        <x:v>0</x:v>
      </x:c>
      <x:c r="N44" t="n">
        <x:v>1</x:v>
      </x:c>
      <x:c r="O44" t="n">
        <x:v>0</x:v>
      </x:c>
      <x:c r="P44" t="n">
        <x:v>0</x:v>
      </x:c>
      <x:c r="Q44" t="n">
        <x:v>0</x:v>
      </x:c>
      <x:c r="R44" t="n">
        <x:v>3</x:v>
      </x:c>
      <x:c r="S44" t="n">
        <x:v>1</x:v>
      </x:c>
      <x:c r="T44" t="n">
        <x:v>0</x:v>
      </x:c>
      <x:c r="U44" t="n">
        <x:v>0</x:v>
      </x:c>
      <x:c r="V44" t="n">
        <x:v>0</x:v>
      </x:c>
      <x:c r="W44" t="n">
        <x:v>1</x:v>
      </x:c>
      <x:c r="X44" t="str">
        <x:v>Hex Needle</x:v>
      </x:c>
      <x:c r="Y44" t="n">
        <x:v>2</x:v>
      </x:c>
      <x:c r="Z44" t="n">
        <x:v>90</x:v>
      </x:c>
      <x:c r="AA44" t="str">
        <x:v>Withering Hex</x:v>
      </x:c>
      <x:c r="AB44" t="n">
        <x:v>3</x:v>
      </x:c>
      <x:c r="AC44" t="n">
        <x:v>75</x:v>
      </x:c>
      <x:c r="AD44" t="n">
        <x:v>1</x:v>
      </x:c>
      <x:c r="AE44" t="str">
        <x:v>Deal 75% Magic weapon damage. If Magic Armour is broken and Health is damaged, apply Minor Focus Down for 2 turns.</x:v>
      </x:c>
      <x:c r="AF44"/>
      <x:c r="AG44" t="str">
        <x:v>Lower damage; ailment utility.</x:v>
      </x:c>
      <x:c r="AH44" t="str">
        <x:v>Weapon Skill 2 normally has a 1-turn cooldown; Fortify/Ward use 2 turns; dual Bastion/Aegis uses 3 turns.</x:v>
      </x:c>
    </x:row>
    <x:row r="45">
      <x:c r="A45" t="str">
        <x:v>WPN-041</x:v>
      </x:c>
      <x:c r="B45" t="str">
        <x:v>Regal Hexwood Wand</x:v>
      </x:c>
      <x:c r="C45" t="str">
        <x:v>Gold</x:v>
      </x:c>
      <x:c r="D45" t="str">
        <x:v>Weapon</x:v>
      </x:c>
      <x:c r="E45" t="str">
        <x:v>Hexwood Wand</x:v>
      </x:c>
      <x:c r="F45" t="str">
        <x:v>1H</x:v>
      </x:c>
      <x:c r="G45" t="str">
        <x:v>Mage and Siren</x:v>
      </x:c>
      <x:c r="H45" t="str">
        <x:v>Magical</x:v>
      </x:c>
      <x:c r="I45" t="str">
        <x:v>Focus</x:v>
      </x:c>
      <x:c r="J45" t="n">
        <x:v>5</x:v>
      </x:c>
      <x:c r="K45" t="n">
        <x:v>7</x:v>
      </x:c>
      <x:c r="L45" t="n">
        <x:v>0</x:v>
      </x:c>
      <x:c r="M45" t="n">
        <x:v>0</x:v>
      </x:c>
      <x:c r="N45" t="n">
        <x:v>1</x:v>
      </x:c>
      <x:c r="O45" t="n">
        <x:v>0</x:v>
      </x:c>
      <x:c r="P45" t="n">
        <x:v>0</x:v>
      </x:c>
      <x:c r="Q45" t="n">
        <x:v>0</x:v>
      </x:c>
      <x:c r="R45" t="n">
        <x:v>4</x:v>
      </x:c>
      <x:c r="S45" t="n">
        <x:v>2</x:v>
      </x:c>
      <x:c r="T45" t="n">
        <x:v>0</x:v>
      </x:c>
      <x:c r="U45" t="n">
        <x:v>0</x:v>
      </x:c>
      <x:c r="V45" t="n">
        <x:v>0</x:v>
      </x:c>
      <x:c r="W45" t="n">
        <x:v>2</x:v>
      </x:c>
      <x:c r="X45" t="str">
        <x:v>Hex Needle</x:v>
      </x:c>
      <x:c r="Y45" t="n">
        <x:v>2</x:v>
      </x:c>
      <x:c r="Z45" t="n">
        <x:v>90</x:v>
      </x:c>
      <x:c r="AA45" t="str">
        <x:v>Withering Hex</x:v>
      </x:c>
      <x:c r="AB45" t="n">
        <x:v>3</x:v>
      </x:c>
      <x:c r="AC45" t="n">
        <x:v>75</x:v>
      </x:c>
      <x:c r="AD45" t="n">
        <x:v>1</x:v>
      </x:c>
      <x:c r="AE45" t="str">
        <x:v>Deal 75% Magic weapon damage. If Magic Armour is broken and Health is damaged, apply Minor Focus Down for 2 turns.</x:v>
      </x:c>
      <x:c r="AF45"/>
      <x:c r="AG45" t="str">
        <x:v>Lower damage; ailment utility.</x:v>
      </x:c>
      <x:c r="AH45" t="str">
        <x:v>Weapon Skill 2 normally has a 1-turn cooldown; Fortify/Ward use 2 turns; dual Bastion/Aegis uses 3 turns.</x:v>
      </x:c>
    </x:row>
    <x:row r="46">
      <x:c r="A46" t="str">
        <x:v>WPN-042</x:v>
      </x:c>
      <x:c r="B46" t="str">
        <x:v>Mythic Hexwood Wand</x:v>
      </x:c>
      <x:c r="C46" t="str">
        <x:v>Orange</x:v>
      </x:c>
      <x:c r="D46" t="str">
        <x:v>Weapon</x:v>
      </x:c>
      <x:c r="E46" t="str">
        <x:v>Hexwood Wand</x:v>
      </x:c>
      <x:c r="F46" t="str">
        <x:v>1H</x:v>
      </x:c>
      <x:c r="G46" t="str">
        <x:v>Mage and Siren</x:v>
      </x:c>
      <x:c r="H46" t="str">
        <x:v>Magical</x:v>
      </x:c>
      <x:c r="I46" t="str">
        <x:v>Focus</x:v>
      </x:c>
      <x:c r="J46" t="n">
        <x:v>6</x:v>
      </x:c>
      <x:c r="K46" t="n">
        <x:v>8</x:v>
      </x:c>
      <x:c r="L46" t="n">
        <x:v>0</x:v>
      </x:c>
      <x:c r="M46" t="n">
        <x:v>0</x:v>
      </x:c>
      <x:c r="N46" t="n">
        <x:v>2</x:v>
      </x:c>
      <x:c r="O46" t="n">
        <x:v>0</x:v>
      </x:c>
      <x:c r="P46" t="n">
        <x:v>0</x:v>
      </x:c>
      <x:c r="Q46" t="n">
        <x:v>0</x:v>
      </x:c>
      <x:c r="R46" t="n">
        <x:v>5</x:v>
      </x:c>
      <x:c r="S46" t="n">
        <x:v>2</x:v>
      </x:c>
      <x:c r="T46" t="n">
        <x:v>0</x:v>
      </x:c>
      <x:c r="U46" t="n">
        <x:v>0</x:v>
      </x:c>
      <x:c r="V46" t="n">
        <x:v>0</x:v>
      </x:c>
      <x:c r="W46" t="n">
        <x:v>3</x:v>
      </x:c>
      <x:c r="X46" t="str">
        <x:v>Hex Needle</x:v>
      </x:c>
      <x:c r="Y46" t="n">
        <x:v>2</x:v>
      </x:c>
      <x:c r="Z46" t="n">
        <x:v>90</x:v>
      </x:c>
      <x:c r="AA46" t="str">
        <x:v>Withering Hex</x:v>
      </x:c>
      <x:c r="AB46" t="n">
        <x:v>3</x:v>
      </x:c>
      <x:c r="AC46" t="n">
        <x:v>75</x:v>
      </x:c>
      <x:c r="AD46" t="n">
        <x:v>1</x:v>
      </x:c>
      <x:c r="AE46" t="str">
        <x:v>Deal 75% Magic weapon damage. If Magic Armour is broken and Health is damaged, apply Minor Focus Down for 2 turns.</x:v>
      </x:c>
      <x:c r="AF46"/>
      <x:c r="AG46" t="str">
        <x:v>Lower damage; ailment utility.</x:v>
      </x:c>
      <x:c r="AH46" t="str">
        <x:v>Weapon Skill 2 normally has a 1-turn cooldown; Fortify/Ward use 2 turns; dual Bastion/Aegis uses 3 turns.</x:v>
      </x:c>
    </x:row>
    <x:row r="47">
      <x:c r="A47" t="str">
        <x:v>WPN-043</x:v>
      </x:c>
      <x:c r="B47" t="str">
        <x:v>Focus Orb</x:v>
      </x:c>
      <x:c r="C47" t="str">
        <x:v>Grey</x:v>
      </x:c>
      <x:c r="D47" t="str">
        <x:v>Weapon</x:v>
      </x:c>
      <x:c r="E47" t="str">
        <x:v>Focus Orb</x:v>
      </x:c>
      <x:c r="F47" t="str">
        <x:v>1H</x:v>
      </x:c>
      <x:c r="G47" t="str">
        <x:v>Mage, Siren, Bard, Inquisitor</x:v>
      </x:c>
      <x:c r="H47" t="str">
        <x:v>Magical</x:v>
      </x:c>
      <x:c r="I47" t="str">
        <x:v>Focus</x:v>
      </x:c>
      <x:c r="J47" t="n">
        <x:v>1</x:v>
      </x:c>
      <x:c r="K47" t="n">
        <x:v>3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1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str">
        <x:v>Orb Pulse</x:v>
      </x:c>
      <x:c r="Y47" t="n">
        <x:v>2</x:v>
      </x:c>
      <x:c r="Z47" t="n">
        <x:v>80</x:v>
      </x:c>
      <x:c r="AA47" t="str">
        <x:v>Orb Ward</x:v>
      </x:c>
      <x:c r="AB47" t="n">
        <x:v>3</x:v>
      </x:c>
      <x:c r="AC47" t="n">
        <x:v>0</x:v>
      </x:c>
      <x:c r="AD47" t="n">
        <x:v>2</x:v>
      </x:c>
      <x:c r="AE47" t="str">
        <x:v>Gain 8 Ward Magic Armour (add 8 to current Magic Armour and temporary Maximum Magic Armour) for 2 turns and reduce application chance of the Orb’s matching ailment by 10 percentage points while active.</x:v>
      </x:c>
      <x:c r="AF47"/>
      <x:c r="AG47" t="str">
        <x:v>Combination catalyst and ailment carrier.</x:v>
      </x:c>
      <x:c r="AH47" t="str">
        <x:v>Weapon Skill 2 normally has a 1-turn cooldown; Fortify/Ward use 2 turns; dual Bastion/Aegis uses 3 turns.</x:v>
      </x:c>
    </x:row>
    <x:row r="48">
      <x:c r="A48" t="str">
        <x:v>WPN-044</x:v>
      </x:c>
      <x:c r="B48" t="str">
        <x:v>Sturdy Focus Orb</x:v>
      </x:c>
      <x:c r="C48" t="str">
        <x:v>Green</x:v>
      </x:c>
      <x:c r="D48" t="str">
        <x:v>Weapon</x:v>
      </x:c>
      <x:c r="E48" t="str">
        <x:v>Focus Orb</x:v>
      </x:c>
      <x:c r="F48" t="str">
        <x:v>1H</x:v>
      </x:c>
      <x:c r="G48" t="str">
        <x:v>Mage, Siren, Bard, Inquisitor</x:v>
      </x:c>
      <x:c r="H48" t="str">
        <x:v>Magical</x:v>
      </x:c>
      <x:c r="I48" t="str">
        <x:v>Focus</x:v>
      </x:c>
      <x:c r="J48" t="n">
        <x:v>1</x:v>
      </x:c>
      <x:c r="K48" t="n">
        <x:v>4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1</x:v>
      </x:c>
      <x:c r="S48" t="n">
        <x:v>1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str">
        <x:v>Orb Pulse</x:v>
      </x:c>
      <x:c r="Y48" t="n">
        <x:v>2</x:v>
      </x:c>
      <x:c r="Z48" t="n">
        <x:v>80</x:v>
      </x:c>
      <x:c r="AA48" t="str">
        <x:v>Orb Ward</x:v>
      </x:c>
      <x:c r="AB48" t="n">
        <x:v>3</x:v>
      </x:c>
      <x:c r="AC48" t="n">
        <x:v>0</x:v>
      </x:c>
      <x:c r="AD48" t="n">
        <x:v>2</x:v>
      </x:c>
      <x:c r="AE48" t="str">
        <x:v>Gain 8 Ward Magic Armour (add 8 to current Magic Armour and temporary Maximum Magic Armour) for 2 turns and reduce application chance of the Orb’s matching ailment by 10 percentage points while active.</x:v>
      </x:c>
      <x:c r="AF48"/>
      <x:c r="AG48" t="str">
        <x:v>Combination catalyst and ailment carrier.</x:v>
      </x:c>
      <x:c r="AH48" t="str">
        <x:v>Weapon Skill 2 normally has a 1-turn cooldown; Fortify/Ward use 2 turns; dual Bastion/Aegis uses 3 turns.</x:v>
      </x:c>
    </x:row>
    <x:row r="49">
      <x:c r="A49" t="str">
        <x:v>WPN-045</x:v>
      </x:c>
      <x:c r="B49" t="str">
        <x:v>Tempered Focus Orb</x:v>
      </x:c>
      <x:c r="C49" t="str">
        <x:v>Blue</x:v>
      </x:c>
      <x:c r="D49" t="str">
        <x:v>Weapon</x:v>
      </x:c>
      <x:c r="E49" t="str">
        <x:v>Focus Orb</x:v>
      </x:c>
      <x:c r="F49" t="str">
        <x:v>1H</x:v>
      </x:c>
      <x:c r="G49" t="str">
        <x:v>Mage, Siren, Bard, Inquisitor</x:v>
      </x:c>
      <x:c r="H49" t="str">
        <x:v>Magical</x:v>
      </x:c>
      <x:c r="I49" t="str">
        <x:v>Focus</x:v>
      </x:c>
      <x:c r="J49" t="n">
        <x:v>2</x:v>
      </x:c>
      <x:c r="K49" t="n">
        <x:v>5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2</x:v>
      </x:c>
      <x:c r="S49" t="n">
        <x:v>1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str">
        <x:v>Orb Pulse</x:v>
      </x:c>
      <x:c r="Y49" t="n">
        <x:v>2</x:v>
      </x:c>
      <x:c r="Z49" t="n">
        <x:v>80</x:v>
      </x:c>
      <x:c r="AA49" t="str">
        <x:v>Orb Ward</x:v>
      </x:c>
      <x:c r="AB49" t="n">
        <x:v>3</x:v>
      </x:c>
      <x:c r="AC49" t="n">
        <x:v>0</x:v>
      </x:c>
      <x:c r="AD49" t="n">
        <x:v>2</x:v>
      </x:c>
      <x:c r="AE49" t="str">
        <x:v>Gain 8 Ward Magic Armour (add 8 to current Magic Armour and temporary Maximum Magic Armour) for 2 turns and reduce application chance of the Orb’s matching ailment by 10 percentage points while active.</x:v>
      </x:c>
      <x:c r="AF49"/>
      <x:c r="AG49" t="str">
        <x:v>Combination catalyst and ailment carrier.</x:v>
      </x:c>
      <x:c r="AH49" t="str">
        <x:v>Weapon Skill 2 normally has a 1-turn cooldown; Fortify/Ward use 2 turns; dual Bastion/Aegis uses 3 turns.</x:v>
      </x:c>
    </x:row>
    <x:row r="50">
      <x:c r="A50" t="str">
        <x:v>WPN-046</x:v>
      </x:c>
      <x:c r="B50" t="str">
        <x:v>Masterwork Focus Orb</x:v>
      </x:c>
      <x:c r="C50" t="str">
        <x:v>Purple</x:v>
      </x:c>
      <x:c r="D50" t="str">
        <x:v>Weapon</x:v>
      </x:c>
      <x:c r="E50" t="str">
        <x:v>Focus Orb</x:v>
      </x:c>
      <x:c r="F50" t="str">
        <x:v>1H</x:v>
      </x:c>
      <x:c r="G50" t="str">
        <x:v>Mage, Siren, Bard, Inquisitor</x:v>
      </x:c>
      <x:c r="H50" t="str">
        <x:v>Magical</x:v>
      </x:c>
      <x:c r="I50" t="str">
        <x:v>Focus</x:v>
      </x:c>
      <x:c r="J50" t="n">
        <x:v>2</x:v>
      </x:c>
      <x:c r="K50" t="n">
        <x:v>6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3</x:v>
      </x:c>
      <x:c r="S50" t="n">
        <x:v>1</x:v>
      </x:c>
      <x:c r="T50" t="n">
        <x:v>1</x:v>
      </x:c>
      <x:c r="U50" t="n">
        <x:v>0</x:v>
      </x:c>
      <x:c r="V50" t="n">
        <x:v>0</x:v>
      </x:c>
      <x:c r="W50" t="n">
        <x:v>1</x:v>
      </x:c>
      <x:c r="X50" t="str">
        <x:v>Orb Pulse</x:v>
      </x:c>
      <x:c r="Y50" t="n">
        <x:v>2</x:v>
      </x:c>
      <x:c r="Z50" t="n">
        <x:v>80</x:v>
      </x:c>
      <x:c r="AA50" t="str">
        <x:v>Orb Ward</x:v>
      </x:c>
      <x:c r="AB50" t="n">
        <x:v>3</x:v>
      </x:c>
      <x:c r="AC50" t="n">
        <x:v>0</x:v>
      </x:c>
      <x:c r="AD50" t="n">
        <x:v>2</x:v>
      </x:c>
      <x:c r="AE50" t="str">
        <x:v>Gain 8 Ward Magic Armour (add 8 to current Magic Armour and temporary Maximum Magic Armour) for 2 turns and reduce application chance of the Orb’s matching ailment by 10 percentage points while active.</x:v>
      </x:c>
      <x:c r="AF50"/>
      <x:c r="AG50" t="str">
        <x:v>Combination catalyst and ailment carrier.</x:v>
      </x:c>
      <x:c r="AH50" t="str">
        <x:v>Weapon Skill 2 normally has a 1-turn cooldown; Fortify/Ward use 2 turns; dual Bastion/Aegis uses 3 turns.</x:v>
      </x:c>
    </x:row>
    <x:row r="51">
      <x:c r="A51" t="str">
        <x:v>WPN-047</x:v>
      </x:c>
      <x:c r="B51" t="str">
        <x:v>Regal Focus Orb</x:v>
      </x:c>
      <x:c r="C51" t="str">
        <x:v>Gold</x:v>
      </x:c>
      <x:c r="D51" t="str">
        <x:v>Weapon</x:v>
      </x:c>
      <x:c r="E51" t="str">
        <x:v>Focus Orb</x:v>
      </x:c>
      <x:c r="F51" t="str">
        <x:v>1H</x:v>
      </x:c>
      <x:c r="G51" t="str">
        <x:v>Mage, Siren, Bard, Inquisitor</x:v>
      </x:c>
      <x:c r="H51" t="str">
        <x:v>Magical</x:v>
      </x:c>
      <x:c r="I51" t="str">
        <x:v>Focus</x:v>
      </x:c>
      <x:c r="J51" t="n">
        <x:v>2</x:v>
      </x:c>
      <x:c r="K51" t="n">
        <x:v>7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4</x:v>
      </x:c>
      <x:c r="S51" t="n">
        <x:v>2</x:v>
      </x:c>
      <x:c r="T51" t="n">
        <x:v>1</x:v>
      </x:c>
      <x:c r="U51" t="n">
        <x:v>0</x:v>
      </x:c>
      <x:c r="V51" t="n">
        <x:v>0</x:v>
      </x:c>
      <x:c r="W51" t="n">
        <x:v>2</x:v>
      </x:c>
      <x:c r="X51" t="str">
        <x:v>Orb Pulse</x:v>
      </x:c>
      <x:c r="Y51" t="n">
        <x:v>2</x:v>
      </x:c>
      <x:c r="Z51" t="n">
        <x:v>80</x:v>
      </x:c>
      <x:c r="AA51" t="str">
        <x:v>Orb Ward</x:v>
      </x:c>
      <x:c r="AB51" t="n">
        <x:v>3</x:v>
      </x:c>
      <x:c r="AC51" t="n">
        <x:v>0</x:v>
      </x:c>
      <x:c r="AD51" t="n">
        <x:v>2</x:v>
      </x:c>
      <x:c r="AE51" t="str">
        <x:v>Gain 8 Ward Magic Armour (add 8 to current Magic Armour and temporary Maximum Magic Armour) for 2 turns and reduce application chance of the Orb’s matching ailment by 10 percentage points while active.</x:v>
      </x:c>
      <x:c r="AF51"/>
      <x:c r="AG51" t="str">
        <x:v>Combination catalyst and ailment carrier.</x:v>
      </x:c>
      <x:c r="AH51" t="str">
        <x:v>Weapon Skill 2 normally has a 1-turn cooldown; Fortify/Ward use 2 turns; dual Bastion/Aegis uses 3 turns.</x:v>
      </x:c>
    </x:row>
    <x:row r="52">
      <x:c r="A52" t="str">
        <x:v>WPN-048</x:v>
      </x:c>
      <x:c r="B52" t="str">
        <x:v>Mythic Focus Orb</x:v>
      </x:c>
      <x:c r="C52" t="str">
        <x:v>Orange</x:v>
      </x:c>
      <x:c r="D52" t="str">
        <x:v>Weapon</x:v>
      </x:c>
      <x:c r="E52" t="str">
        <x:v>Focus Orb</x:v>
      </x:c>
      <x:c r="F52" t="str">
        <x:v>1H</x:v>
      </x:c>
      <x:c r="G52" t="str">
        <x:v>Mage, Siren, Bard, Inquisitor</x:v>
      </x:c>
      <x:c r="H52" t="str">
        <x:v>Magical</x:v>
      </x:c>
      <x:c r="I52" t="str">
        <x:v>Focus</x:v>
      </x:c>
      <x:c r="J52" t="n">
        <x:v>3</x:v>
      </x:c>
      <x:c r="K52" t="n">
        <x:v>8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5</x:v>
      </x:c>
      <x:c r="S52" t="n">
        <x:v>2</x:v>
      </x:c>
      <x:c r="T52" t="n">
        <x:v>2</x:v>
      </x:c>
      <x:c r="U52" t="n">
        <x:v>0</x:v>
      </x:c>
      <x:c r="V52" t="n">
        <x:v>0</x:v>
      </x:c>
      <x:c r="W52" t="n">
        <x:v>3</x:v>
      </x:c>
      <x:c r="X52" t="str">
        <x:v>Orb Pulse</x:v>
      </x:c>
      <x:c r="Y52" t="n">
        <x:v>2</x:v>
      </x:c>
      <x:c r="Z52" t="n">
        <x:v>80</x:v>
      </x:c>
      <x:c r="AA52" t="str">
        <x:v>Orb Ward</x:v>
      </x:c>
      <x:c r="AB52" t="n">
        <x:v>3</x:v>
      </x:c>
      <x:c r="AC52" t="n">
        <x:v>0</x:v>
      </x:c>
      <x:c r="AD52" t="n">
        <x:v>2</x:v>
      </x:c>
      <x:c r="AE52" t="str">
        <x:v>Gain 8 Ward Magic Armour (add 8 to current Magic Armour and temporary Maximum Magic Armour) for 2 turns and reduce application chance of the Orb’s matching ailment by 10 percentage points while active.</x:v>
      </x:c>
      <x:c r="AF52"/>
      <x:c r="AG52" t="str">
        <x:v>Combination catalyst and ailment carrier.</x:v>
      </x:c>
      <x:c r="AH52" t="str">
        <x:v>Weapon Skill 2 normally has a 1-turn cooldown; Fortify/Ward use 2 turns; dual Bastion/Aegis uses 3 turns.</x:v>
      </x:c>
    </x:row>
    <x:row r="53">
      <x:c r="A53" t="str">
        <x:v>WPN-049</x:v>
      </x:c>
      <x:c r="B53" t="str">
        <x:v>Bell Sceptre</x:v>
      </x:c>
      <x:c r="C53" t="str">
        <x:v>Grey</x:v>
      </x:c>
      <x:c r="D53" t="str">
        <x:v>Weapon</x:v>
      </x:c>
      <x:c r="E53" t="str">
        <x:v>Bell Sceptre</x:v>
      </x:c>
      <x:c r="F53" t="str">
        <x:v>1H</x:v>
      </x:c>
      <x:c r="G53" t="str">
        <x:v>Mage, Bard, Inquisitor</x:v>
      </x:c>
      <x:c r="H53" t="str">
        <x:v>Magical</x:v>
      </x:c>
      <x:c r="I53" t="str">
        <x:v>Focus</x:v>
      </x:c>
      <x:c r="J53" t="n">
        <x:v>3</x:v>
      </x:c>
      <x:c r="K53" t="n">
        <x:v>4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1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str">
        <x:v>Resonant Toll</x:v>
      </x:c>
      <x:c r="Y53" t="n">
        <x:v>2</x:v>
      </x:c>
      <x:c r="Z53" t="n">
        <x:v>110</x:v>
      </x:c>
      <x:c r="AA53" t="str">
        <x:v>Harmonic Renewal</x:v>
      </x:c>
      <x:c r="AB53" t="n">
        <x:v>3</x:v>
      </x:c>
      <x:c r="AC53" t="n">
        <x:v>0</x:v>
      </x:c>
      <x:c r="AD53" t="n">
        <x:v>1</x:v>
      </x:c>
      <x:c r="AE53" t="str">
        <x:v>Restore 5 Armour and 5 Magic Armour, each capped at its normal maximum.</x:v>
      </x:c>
      <x:c r="AF53"/>
      <x:c r="AG53" t="str">
        <x:v>Stable magical damage and resonance utility.</x:v>
      </x:c>
      <x:c r="AH53" t="str">
        <x:v>Weapon Skill 2 normally has a 1-turn cooldown; Fortify/Ward use 2 turns; dual Bastion/Aegis uses 3 turns.</x:v>
      </x:c>
    </x:row>
    <x:row r="54">
      <x:c r="A54" t="str">
        <x:v>WPN-050</x:v>
      </x:c>
      <x:c r="B54" t="str">
        <x:v>Sturdy Bell Sceptre</x:v>
      </x:c>
      <x:c r="C54" t="str">
        <x:v>Green</x:v>
      </x:c>
      <x:c r="D54" t="str">
        <x:v>Weapon</x:v>
      </x:c>
      <x:c r="E54" t="str">
        <x:v>Bell Sceptre</x:v>
      </x:c>
      <x:c r="F54" t="str">
        <x:v>1H</x:v>
      </x:c>
      <x:c r="G54" t="str">
        <x:v>Mage, Bard, Inquisitor</x:v>
      </x:c>
      <x:c r="H54" t="str">
        <x:v>Magical</x:v>
      </x:c>
      <x:c r="I54" t="str">
        <x:v>Focus</x:v>
      </x:c>
      <x:c r="J54" t="n">
        <x:v>4</x:v>
      </x:c>
      <x:c r="K54" t="n">
        <x:v>5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1</x:v>
      </x:c>
      <x:c r="S54" t="n">
        <x:v>1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str">
        <x:v>Resonant Toll</x:v>
      </x:c>
      <x:c r="Y54" t="n">
        <x:v>2</x:v>
      </x:c>
      <x:c r="Z54" t="n">
        <x:v>110</x:v>
      </x:c>
      <x:c r="AA54" t="str">
        <x:v>Harmonic Renewal</x:v>
      </x:c>
      <x:c r="AB54" t="n">
        <x:v>3</x:v>
      </x:c>
      <x:c r="AC54" t="n">
        <x:v>0</x:v>
      </x:c>
      <x:c r="AD54" t="n">
        <x:v>1</x:v>
      </x:c>
      <x:c r="AE54" t="str">
        <x:v>Restore 5 Armour and 5 Magic Armour, each capped at its normal maximum.</x:v>
      </x:c>
      <x:c r="AF54"/>
      <x:c r="AG54" t="str">
        <x:v>Stable magical damage and resonance utility.</x:v>
      </x:c>
      <x:c r="AH54" t="str">
        <x:v>Weapon Skill 2 normally has a 1-turn cooldown; Fortify/Ward use 2 turns; dual Bastion/Aegis uses 3 turns.</x:v>
      </x:c>
    </x:row>
    <x:row r="55">
      <x:c r="A55" t="str">
        <x:v>WPN-051</x:v>
      </x:c>
      <x:c r="B55" t="str">
        <x:v>Tempered Bell Sceptre</x:v>
      </x:c>
      <x:c r="C55" t="str">
        <x:v>Blue</x:v>
      </x:c>
      <x:c r="D55" t="str">
        <x:v>Weapon</x:v>
      </x:c>
      <x:c r="E55" t="str">
        <x:v>Bell Sceptre</x:v>
      </x:c>
      <x:c r="F55" t="str">
        <x:v>1H</x:v>
      </x:c>
      <x:c r="G55" t="str">
        <x:v>Mage, Bard, Inquisitor</x:v>
      </x:c>
      <x:c r="H55" t="str">
        <x:v>Magical</x:v>
      </x:c>
      <x:c r="I55" t="str">
        <x:v>Focus</x:v>
      </x:c>
      <x:c r="J55" t="n">
        <x:v>5</x:v>
      </x:c>
      <x:c r="K55" t="n">
        <x:v>6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2</x:v>
      </x:c>
      <x:c r="S55" t="n">
        <x:v>1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str">
        <x:v>Resonant Toll</x:v>
      </x:c>
      <x:c r="Y55" t="n">
        <x:v>2</x:v>
      </x:c>
      <x:c r="Z55" t="n">
        <x:v>110</x:v>
      </x:c>
      <x:c r="AA55" t="str">
        <x:v>Harmonic Renewal</x:v>
      </x:c>
      <x:c r="AB55" t="n">
        <x:v>3</x:v>
      </x:c>
      <x:c r="AC55" t="n">
        <x:v>0</x:v>
      </x:c>
      <x:c r="AD55" t="n">
        <x:v>1</x:v>
      </x:c>
      <x:c r="AE55" t="str">
        <x:v>Restore 5 Armour and 5 Magic Armour, each capped at its normal maximum.</x:v>
      </x:c>
      <x:c r="AF55"/>
      <x:c r="AG55" t="str">
        <x:v>Stable magical damage and resonance utility.</x:v>
      </x:c>
      <x:c r="AH55" t="str">
        <x:v>Weapon Skill 2 normally has a 1-turn cooldown; Fortify/Ward use 2 turns; dual Bastion/Aegis uses 3 turns.</x:v>
      </x:c>
    </x:row>
    <x:row r="56">
      <x:c r="A56" t="str">
        <x:v>WPN-052</x:v>
      </x:c>
      <x:c r="B56" t="str">
        <x:v>Masterwork Bell Sceptre</x:v>
      </x:c>
      <x:c r="C56" t="str">
        <x:v>Purple</x:v>
      </x:c>
      <x:c r="D56" t="str">
        <x:v>Weapon</x:v>
      </x:c>
      <x:c r="E56" t="str">
        <x:v>Bell Sceptre</x:v>
      </x:c>
      <x:c r="F56" t="str">
        <x:v>1H</x:v>
      </x:c>
      <x:c r="G56" t="str">
        <x:v>Mage, Bard, Inquisitor</x:v>
      </x:c>
      <x:c r="H56" t="str">
        <x:v>Magical</x:v>
      </x:c>
      <x:c r="I56" t="str">
        <x:v>Focus</x:v>
      </x:c>
      <x:c r="J56" t="n">
        <x:v>6</x:v>
      </x:c>
      <x:c r="K56" t="n">
        <x:v>8</x:v>
      </x:c>
      <x:c r="L56" t="n">
        <x:v>0</x:v>
      </x:c>
      <x:c r="M56" t="n">
        <x:v>0</x:v>
      </x:c>
      <x:c r="N56" t="n">
        <x:v>1</x:v>
      </x:c>
      <x:c r="O56" t="n">
        <x:v>0</x:v>
      </x:c>
      <x:c r="P56" t="n">
        <x:v>0</x:v>
      </x:c>
      <x:c r="Q56" t="n">
        <x:v>0</x:v>
      </x:c>
      <x:c r="R56" t="n">
        <x:v>3</x:v>
      </x:c>
      <x:c r="S56" t="n">
        <x:v>1</x:v>
      </x:c>
      <x:c r="T56" t="n">
        <x:v>0</x:v>
      </x:c>
      <x:c r="U56" t="n">
        <x:v>0</x:v>
      </x:c>
      <x:c r="V56" t="n">
        <x:v>0</x:v>
      </x:c>
      <x:c r="W56" t="n">
        <x:v>1</x:v>
      </x:c>
      <x:c r="X56" t="str">
        <x:v>Resonant Toll</x:v>
      </x:c>
      <x:c r="Y56" t="n">
        <x:v>2</x:v>
      </x:c>
      <x:c r="Z56" t="n">
        <x:v>110</x:v>
      </x:c>
      <x:c r="AA56" t="str">
        <x:v>Harmonic Renewal</x:v>
      </x:c>
      <x:c r="AB56" t="n">
        <x:v>3</x:v>
      </x:c>
      <x:c r="AC56" t="n">
        <x:v>0</x:v>
      </x:c>
      <x:c r="AD56" t="n">
        <x:v>1</x:v>
      </x:c>
      <x:c r="AE56" t="str">
        <x:v>Restore 5 Armour and 5 Magic Armour, each capped at its normal maximum.</x:v>
      </x:c>
      <x:c r="AF56"/>
      <x:c r="AG56" t="str">
        <x:v>Stable magical damage and resonance utility.</x:v>
      </x:c>
      <x:c r="AH56" t="str">
        <x:v>Weapon Skill 2 normally has a 1-turn cooldown; Fortify/Ward use 2 turns; dual Bastion/Aegis uses 3 turns.</x:v>
      </x:c>
    </x:row>
    <x:row r="57">
      <x:c r="A57" t="str">
        <x:v>WPN-053</x:v>
      </x:c>
      <x:c r="B57" t="str">
        <x:v>Regal Bell Sceptre</x:v>
      </x:c>
      <x:c r="C57" t="str">
        <x:v>Gold</x:v>
      </x:c>
      <x:c r="D57" t="str">
        <x:v>Weapon</x:v>
      </x:c>
      <x:c r="E57" t="str">
        <x:v>Bell Sceptre</x:v>
      </x:c>
      <x:c r="F57" t="str">
        <x:v>1H</x:v>
      </x:c>
      <x:c r="G57" t="str">
        <x:v>Mage, Bard, Inquisitor</x:v>
      </x:c>
      <x:c r="H57" t="str">
        <x:v>Magical</x:v>
      </x:c>
      <x:c r="I57" t="str">
        <x:v>Focus</x:v>
      </x:c>
      <x:c r="J57" t="n">
        <x:v>7</x:v>
      </x:c>
      <x:c r="K57" t="n">
        <x:v>9</x:v>
      </x:c>
      <x:c r="L57" t="n">
        <x:v>0</x:v>
      </x:c>
      <x:c r="M57" t="n">
        <x:v>0</x:v>
      </x:c>
      <x:c r="N57" t="n">
        <x:v>1</x:v>
      </x:c>
      <x:c r="O57" t="n">
        <x:v>0</x:v>
      </x:c>
      <x:c r="P57" t="n">
        <x:v>0</x:v>
      </x:c>
      <x:c r="Q57" t="n">
        <x:v>0</x:v>
      </x:c>
      <x:c r="R57" t="n">
        <x:v>4</x:v>
      </x:c>
      <x:c r="S57" t="n">
        <x:v>2</x:v>
      </x:c>
      <x:c r="T57" t="n">
        <x:v>0</x:v>
      </x:c>
      <x:c r="U57" t="n">
        <x:v>0</x:v>
      </x:c>
      <x:c r="V57" t="n">
        <x:v>0</x:v>
      </x:c>
      <x:c r="W57" t="n">
        <x:v>2</x:v>
      </x:c>
      <x:c r="X57" t="str">
        <x:v>Resonant Toll</x:v>
      </x:c>
      <x:c r="Y57" t="n">
        <x:v>2</x:v>
      </x:c>
      <x:c r="Z57" t="n">
        <x:v>110</x:v>
      </x:c>
      <x:c r="AA57" t="str">
        <x:v>Harmonic Renewal</x:v>
      </x:c>
      <x:c r="AB57" t="n">
        <x:v>3</x:v>
      </x:c>
      <x:c r="AC57" t="n">
        <x:v>0</x:v>
      </x:c>
      <x:c r="AD57" t="n">
        <x:v>1</x:v>
      </x:c>
      <x:c r="AE57" t="str">
        <x:v>Restore 5 Armour and 5 Magic Armour, each capped at its normal maximum.</x:v>
      </x:c>
      <x:c r="AF57"/>
      <x:c r="AG57" t="str">
        <x:v>Stable magical damage and resonance utility.</x:v>
      </x:c>
      <x:c r="AH57" t="str">
        <x:v>Weapon Skill 2 normally has a 1-turn cooldown; Fortify/Ward use 2 turns; dual Bastion/Aegis uses 3 turns.</x:v>
      </x:c>
    </x:row>
    <x:row r="58">
      <x:c r="A58" t="str">
        <x:v>WPN-054</x:v>
      </x:c>
      <x:c r="B58" t="str">
        <x:v>Mythic Bell Sceptre</x:v>
      </x:c>
      <x:c r="C58" t="str">
        <x:v>Orange</x:v>
      </x:c>
      <x:c r="D58" t="str">
        <x:v>Weapon</x:v>
      </x:c>
      <x:c r="E58" t="str">
        <x:v>Bell Sceptre</x:v>
      </x:c>
      <x:c r="F58" t="str">
        <x:v>1H</x:v>
      </x:c>
      <x:c r="G58" t="str">
        <x:v>Mage, Bard, Inquisitor</x:v>
      </x:c>
      <x:c r="H58" t="str">
        <x:v>Magical</x:v>
      </x:c>
      <x:c r="I58" t="str">
        <x:v>Focus</x:v>
      </x:c>
      <x:c r="J58" t="n">
        <x:v>8</x:v>
      </x:c>
      <x:c r="K58" t="n">
        <x:v>11</x:v>
      </x:c>
      <x:c r="L58" t="n">
        <x:v>0</x:v>
      </x:c>
      <x:c r="M58" t="n">
        <x:v>0</x:v>
      </x:c>
      <x:c r="N58" t="n">
        <x:v>2</x:v>
      </x:c>
      <x:c r="O58" t="n">
        <x:v>0</x:v>
      </x:c>
      <x:c r="P58" t="n">
        <x:v>0</x:v>
      </x:c>
      <x:c r="Q58" t="n">
        <x:v>0</x:v>
      </x:c>
      <x:c r="R58" t="n">
        <x:v>5</x:v>
      </x:c>
      <x:c r="S58" t="n">
        <x:v>2</x:v>
      </x:c>
      <x:c r="T58" t="n">
        <x:v>0</x:v>
      </x:c>
      <x:c r="U58" t="n">
        <x:v>0</x:v>
      </x:c>
      <x:c r="V58" t="n">
        <x:v>0</x:v>
      </x:c>
      <x:c r="W58" t="n">
        <x:v>3</x:v>
      </x:c>
      <x:c r="X58" t="str">
        <x:v>Resonant Toll</x:v>
      </x:c>
      <x:c r="Y58" t="n">
        <x:v>2</x:v>
      </x:c>
      <x:c r="Z58" t="n">
        <x:v>110</x:v>
      </x:c>
      <x:c r="AA58" t="str">
        <x:v>Harmonic Renewal</x:v>
      </x:c>
      <x:c r="AB58" t="n">
        <x:v>3</x:v>
      </x:c>
      <x:c r="AC58" t="n">
        <x:v>0</x:v>
      </x:c>
      <x:c r="AD58" t="n">
        <x:v>1</x:v>
      </x:c>
      <x:c r="AE58" t="str">
        <x:v>Restore 5 Armour and 5 Magic Armour, each capped at its normal maximum.</x:v>
      </x:c>
      <x:c r="AF58"/>
      <x:c r="AG58" t="str">
        <x:v>Stable magical damage and resonance utility.</x:v>
      </x:c>
      <x:c r="AH58" t="str">
        <x:v>Weapon Skill 2 normally has a 1-turn cooldown; Fortify/Ward use 2 turns; dual Bastion/Aegis uses 3 turns.</x:v>
      </x:c>
    </x:row>
    <x:row r="59">
      <x:c r="A59" t="str">
        <x:v>WPN-055</x:v>
      </x:c>
      <x:c r="B59" t="str">
        <x:v>Bow</x:v>
      </x:c>
      <x:c r="C59" t="str">
        <x:v>Grey</x:v>
      </x:c>
      <x:c r="D59" t="str">
        <x:v>Weapon</x:v>
      </x:c>
      <x:c r="E59" t="str">
        <x:v>Bow</x:v>
      </x:c>
      <x:c r="F59" t="str">
        <x:v>2H</x:v>
      </x:c>
      <x:c r="G59" t="str">
        <x:v>Rogue and Bard</x:v>
      </x:c>
      <x:c r="H59" t="str">
        <x:v>Physical Finesse</x:v>
      </x:c>
      <x:c r="I59" t="str">
        <x:v>Dexterity</x:v>
      </x:c>
      <x:c r="J59" t="n">
        <x:v>4</x:v>
      </x:c>
      <x:c r="K59" t="n">
        <x:v>6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1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str">
        <x:v>Pinion Shot</x:v>
      </x:c>
      <x:c r="Y59" t="n">
        <x:v>2</x:v>
      </x:c>
      <x:c r="Z59" t="n">
        <x:v>115</x:v>
      </x:c>
      <x:c r="AA59" t="str">
        <x:v>Crippling Shot</x:v>
      </x:c>
      <x:c r="AB59" t="n">
        <x:v>3</x:v>
      </x:c>
      <x:c r="AC59" t="n">
        <x:v>95</x:v>
      </x:c>
      <x:c r="AD59" t="n">
        <x:v>1</x:v>
      </x:c>
      <x:c r="AE59" t="str">
        <x:v>Deal 95% Finesse weapon damage. If Armour is broken and Health is damaged, apply 2 Crippled stacks.</x:v>
      </x:c>
      <x:c r="AF59"/>
      <x:c r="AG59" t="str">
        <x:v>Standard ranged finesse weapon.</x:v>
      </x:c>
      <x:c r="AH59" t="str">
        <x:v>Weapon Skill 2 normally has a 1-turn cooldown; Fortify/Ward use 2 turns; dual Bastion/Aegis uses 3 turns.</x:v>
      </x:c>
    </x:row>
    <x:row r="60">
      <x:c r="A60" t="str">
        <x:v>WPN-056</x:v>
      </x:c>
      <x:c r="B60" t="str">
        <x:v>Sturdy Bow</x:v>
      </x:c>
      <x:c r="C60" t="str">
        <x:v>Green</x:v>
      </x:c>
      <x:c r="D60" t="str">
        <x:v>Weapon</x:v>
      </x:c>
      <x:c r="E60" t="str">
        <x:v>Bow</x:v>
      </x:c>
      <x:c r="F60" t="str">
        <x:v>2H</x:v>
      </x:c>
      <x:c r="G60" t="str">
        <x:v>Rogue and Bard</x:v>
      </x:c>
      <x:c r="H60" t="str">
        <x:v>Physical Finesse</x:v>
      </x:c>
      <x:c r="I60" t="str">
        <x:v>Dexterity</x:v>
      </x:c>
      <x:c r="J60" t="n">
        <x:v>5</x:v>
      </x:c>
      <x:c r="K60" t="n">
        <x:v>8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1</x:v>
      </x:c>
      <x:c r="Q60" t="n">
        <x:v>0</x:v>
      </x:c>
      <x:c r="R60" t="n">
        <x:v>0</x:v>
      </x:c>
      <x:c r="S60" t="n">
        <x:v>0</x:v>
      </x:c>
      <x:c r="T60" t="n">
        <x:v>1</x:v>
      </x:c>
      <x:c r="U60" t="n">
        <x:v>0</x:v>
      </x:c>
      <x:c r="V60" t="n">
        <x:v>0</x:v>
      </x:c>
      <x:c r="W60" t="n">
        <x:v>0</x:v>
      </x:c>
      <x:c r="X60" t="str">
        <x:v>Pinion Shot</x:v>
      </x:c>
      <x:c r="Y60" t="n">
        <x:v>2</x:v>
      </x:c>
      <x:c r="Z60" t="n">
        <x:v>115</x:v>
      </x:c>
      <x:c r="AA60" t="str">
        <x:v>Crippling Shot</x:v>
      </x:c>
      <x:c r="AB60" t="n">
        <x:v>3</x:v>
      </x:c>
      <x:c r="AC60" t="n">
        <x:v>95</x:v>
      </x:c>
      <x:c r="AD60" t="n">
        <x:v>1</x:v>
      </x:c>
      <x:c r="AE60" t="str">
        <x:v>Deal 95% Finesse weapon damage. If Armour is broken and Health is damaged, apply 2 Crippled stacks.</x:v>
      </x:c>
      <x:c r="AF60"/>
      <x:c r="AG60" t="str">
        <x:v>Standard ranged finesse weapon.</x:v>
      </x:c>
      <x:c r="AH60" t="str">
        <x:v>Weapon Skill 2 normally has a 1-turn cooldown; Fortify/Ward use 2 turns; dual Bastion/Aegis uses 3 turns.</x:v>
      </x:c>
    </x:row>
    <x:row r="61">
      <x:c r="A61" t="str">
        <x:v>WPN-057</x:v>
      </x:c>
      <x:c r="B61" t="str">
        <x:v>Tempered Bow</x:v>
      </x:c>
      <x:c r="C61" t="str">
        <x:v>Blue</x:v>
      </x:c>
      <x:c r="D61" t="str">
        <x:v>Weapon</x:v>
      </x:c>
      <x:c r="E61" t="str">
        <x:v>Bow</x:v>
      </x:c>
      <x:c r="F61" t="str">
        <x:v>2H</x:v>
      </x:c>
      <x:c r="G61" t="str">
        <x:v>Rogue and Bard</x:v>
      </x:c>
      <x:c r="H61" t="str">
        <x:v>Physical Finesse</x:v>
      </x:c>
      <x:c r="I61" t="str">
        <x:v>Dexterity</x:v>
      </x:c>
      <x:c r="J61" t="n">
        <x:v>6</x:v>
      </x:c>
      <x:c r="K61" t="n">
        <x:v>9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2</x:v>
      </x:c>
      <x:c r="Q61" t="n">
        <x:v>0</x:v>
      </x:c>
      <x:c r="R61" t="n">
        <x:v>0</x:v>
      </x:c>
      <x:c r="S61" t="n">
        <x:v>0</x:v>
      </x:c>
      <x:c r="T61" t="n">
        <x:v>1</x:v>
      </x:c>
      <x:c r="U61" t="n">
        <x:v>1</x:v>
      </x:c>
      <x:c r="V61" t="n">
        <x:v>0</x:v>
      </x:c>
      <x:c r="W61" t="n">
        <x:v>0</x:v>
      </x:c>
      <x:c r="X61" t="str">
        <x:v>Pinion Shot</x:v>
      </x:c>
      <x:c r="Y61" t="n">
        <x:v>2</x:v>
      </x:c>
      <x:c r="Z61" t="n">
        <x:v>115</x:v>
      </x:c>
      <x:c r="AA61" t="str">
        <x:v>Crippling Shot</x:v>
      </x:c>
      <x:c r="AB61" t="n">
        <x:v>3</x:v>
      </x:c>
      <x:c r="AC61" t="n">
        <x:v>95</x:v>
      </x:c>
      <x:c r="AD61" t="n">
        <x:v>1</x:v>
      </x:c>
      <x:c r="AE61" t="str">
        <x:v>Deal 95% Finesse weapon damage. If Armour is broken and Health is damaged, apply 2 Crippled stacks.</x:v>
      </x:c>
      <x:c r="AF61"/>
      <x:c r="AG61" t="str">
        <x:v>Standard ranged finesse weapon.</x:v>
      </x:c>
      <x:c r="AH61" t="str">
        <x:v>Weapon Skill 2 normally has a 1-turn cooldown; Fortify/Ward use 2 turns; dual Bastion/Aegis uses 3 turns.</x:v>
      </x:c>
    </x:row>
    <x:row r="62">
      <x:c r="A62" t="str">
        <x:v>WPN-058</x:v>
      </x:c>
      <x:c r="B62" t="str">
        <x:v>Masterwork Bow</x:v>
      </x:c>
      <x:c r="C62" t="str">
        <x:v>Purple</x:v>
      </x:c>
      <x:c r="D62" t="str">
        <x:v>Weapon</x:v>
      </x:c>
      <x:c r="E62" t="str">
        <x:v>Bow</x:v>
      </x:c>
      <x:c r="F62" t="str">
        <x:v>2H</x:v>
      </x:c>
      <x:c r="G62" t="str">
        <x:v>Rogue and Bard</x:v>
      </x:c>
      <x:c r="H62" t="str">
        <x:v>Physical Finesse</x:v>
      </x:c>
      <x:c r="I62" t="str">
        <x:v>Dexterity</x:v>
      </x:c>
      <x:c r="J62" t="n">
        <x:v>8</x:v>
      </x:c>
      <x:c r="K62" t="n">
        <x:v>11</x:v>
      </x:c>
      <x:c r="L62" t="n">
        <x:v>0</x:v>
      </x:c>
      <x:c r="M62" t="n">
        <x:v>0</x:v>
      </x:c>
      <x:c r="N62" t="n">
        <x:v>1</x:v>
      </x:c>
      <x:c r="O62" t="n">
        <x:v>0</x:v>
      </x:c>
      <x:c r="P62" t="n">
        <x:v>3</x:v>
      </x:c>
      <x:c r="Q62" t="n">
        <x:v>0</x:v>
      </x:c>
      <x:c r="R62" t="n">
        <x:v>0</x:v>
      </x:c>
      <x:c r="S62" t="n">
        <x:v>0</x:v>
      </x:c>
      <x:c r="T62" t="n">
        <x:v>1</x:v>
      </x:c>
      <x:c r="U62" t="n">
        <x:v>2</x:v>
      </x:c>
      <x:c r="V62" t="n">
        <x:v>0</x:v>
      </x:c>
      <x:c r="W62" t="n">
        <x:v>0</x:v>
      </x:c>
      <x:c r="X62" t="str">
        <x:v>Pinion Shot</x:v>
      </x:c>
      <x:c r="Y62" t="n">
        <x:v>2</x:v>
      </x:c>
      <x:c r="Z62" t="n">
        <x:v>115</x:v>
      </x:c>
      <x:c r="AA62" t="str">
        <x:v>Crippling Shot</x:v>
      </x:c>
      <x:c r="AB62" t="n">
        <x:v>3</x:v>
      </x:c>
      <x:c r="AC62" t="n">
        <x:v>95</x:v>
      </x:c>
      <x:c r="AD62" t="n">
        <x:v>1</x:v>
      </x:c>
      <x:c r="AE62" t="str">
        <x:v>Deal 95% Finesse weapon damage. If Armour is broken and Health is damaged, apply 2 Crippled stacks.</x:v>
      </x:c>
      <x:c r="AF62"/>
      <x:c r="AG62" t="str">
        <x:v>Standard ranged finesse weapon.</x:v>
      </x:c>
      <x:c r="AH62" t="str">
        <x:v>Weapon Skill 2 normally has a 1-turn cooldown; Fortify/Ward use 2 turns; dual Bastion/Aegis uses 3 turns.</x:v>
      </x:c>
    </x:row>
    <x:row r="63">
      <x:c r="A63" t="str">
        <x:v>WPN-059</x:v>
      </x:c>
      <x:c r="B63" t="str">
        <x:v>Regal Bow</x:v>
      </x:c>
      <x:c r="C63" t="str">
        <x:v>Gold</x:v>
      </x:c>
      <x:c r="D63" t="str">
        <x:v>Weapon</x:v>
      </x:c>
      <x:c r="E63" t="str">
        <x:v>Bow</x:v>
      </x:c>
      <x:c r="F63" t="str">
        <x:v>2H</x:v>
      </x:c>
      <x:c r="G63" t="str">
        <x:v>Rogue and Bard</x:v>
      </x:c>
      <x:c r="H63" t="str">
        <x:v>Physical Finesse</x:v>
      </x:c>
      <x:c r="I63" t="str">
        <x:v>Dexterity</x:v>
      </x:c>
      <x:c r="J63" t="n">
        <x:v>9</x:v>
      </x:c>
      <x:c r="K63" t="n">
        <x:v>14</x:v>
      </x:c>
      <x:c r="L63" t="n">
        <x:v>0</x:v>
      </x:c>
      <x:c r="M63" t="n">
        <x:v>0</x:v>
      </x:c>
      <x:c r="N63" t="n">
        <x:v>1</x:v>
      </x:c>
      <x:c r="O63" t="n">
        <x:v>0</x:v>
      </x:c>
      <x:c r="P63" t="n">
        <x:v>4</x:v>
      </x:c>
      <x:c r="Q63" t="n">
        <x:v>0</x:v>
      </x:c>
      <x:c r="R63" t="n">
        <x:v>0</x:v>
      </x:c>
      <x:c r="S63" t="n">
        <x:v>0</x:v>
      </x:c>
      <x:c r="T63" t="n">
        <x:v>2</x:v>
      </x:c>
      <x:c r="U63" t="n">
        <x:v>3</x:v>
      </x:c>
      <x:c r="V63" t="n">
        <x:v>0</x:v>
      </x:c>
      <x:c r="W63" t="n">
        <x:v>0</x:v>
      </x:c>
      <x:c r="X63" t="str">
        <x:v>Pinion Shot</x:v>
      </x:c>
      <x:c r="Y63" t="n">
        <x:v>2</x:v>
      </x:c>
      <x:c r="Z63" t="n">
        <x:v>115</x:v>
      </x:c>
      <x:c r="AA63" t="str">
        <x:v>Crippling Shot</x:v>
      </x:c>
      <x:c r="AB63" t="n">
        <x:v>3</x:v>
      </x:c>
      <x:c r="AC63" t="n">
        <x:v>95</x:v>
      </x:c>
      <x:c r="AD63" t="n">
        <x:v>1</x:v>
      </x:c>
      <x:c r="AE63" t="str">
        <x:v>Deal 95% Finesse weapon damage. If Armour is broken and Health is damaged, apply 2 Crippled stacks.</x:v>
      </x:c>
      <x:c r="AF63"/>
      <x:c r="AG63" t="str">
        <x:v>Standard ranged finesse weapon.</x:v>
      </x:c>
      <x:c r="AH63" t="str">
        <x:v>Weapon Skill 2 normally has a 1-turn cooldown; Fortify/Ward use 2 turns; dual Bastion/Aegis uses 3 turns.</x:v>
      </x:c>
    </x:row>
    <x:row r="64">
      <x:c r="A64" t="str">
        <x:v>WPN-060</x:v>
      </x:c>
      <x:c r="B64" t="str">
        <x:v>Mythic Bow</x:v>
      </x:c>
      <x:c r="C64" t="str">
        <x:v>Orange</x:v>
      </x:c>
      <x:c r="D64" t="str">
        <x:v>Weapon</x:v>
      </x:c>
      <x:c r="E64" t="str">
        <x:v>Bow</x:v>
      </x:c>
      <x:c r="F64" t="str">
        <x:v>2H</x:v>
      </x:c>
      <x:c r="G64" t="str">
        <x:v>Rogue and Bard</x:v>
      </x:c>
      <x:c r="H64" t="str">
        <x:v>Physical Finesse</x:v>
      </x:c>
      <x:c r="I64" t="str">
        <x:v>Dexterity</x:v>
      </x:c>
      <x:c r="J64" t="n">
        <x:v>11</x:v>
      </x:c>
      <x:c r="K64" t="n">
        <x:v>17</x:v>
      </x:c>
      <x:c r="L64" t="n">
        <x:v>0</x:v>
      </x:c>
      <x:c r="M64" t="n">
        <x:v>0</x:v>
      </x:c>
      <x:c r="N64" t="n">
        <x:v>2</x:v>
      </x:c>
      <x:c r="O64" t="n">
        <x:v>0</x:v>
      </x:c>
      <x:c r="P64" t="n">
        <x:v>5</x:v>
      </x:c>
      <x:c r="Q64" t="n">
        <x:v>0</x:v>
      </x:c>
      <x:c r="R64" t="n">
        <x:v>0</x:v>
      </x:c>
      <x:c r="S64" t="n">
        <x:v>0</x:v>
      </x:c>
      <x:c r="T64" t="n">
        <x:v>2</x:v>
      </x:c>
      <x:c r="U64" t="n">
        <x:v>4</x:v>
      </x:c>
      <x:c r="V64" t="n">
        <x:v>0</x:v>
      </x:c>
      <x:c r="W64" t="n">
        <x:v>0</x:v>
      </x:c>
      <x:c r="X64" t="str">
        <x:v>Pinion Shot</x:v>
      </x:c>
      <x:c r="Y64" t="n">
        <x:v>2</x:v>
      </x:c>
      <x:c r="Z64" t="n">
        <x:v>115</x:v>
      </x:c>
      <x:c r="AA64" t="str">
        <x:v>Crippling Shot</x:v>
      </x:c>
      <x:c r="AB64" t="n">
        <x:v>3</x:v>
      </x:c>
      <x:c r="AC64" t="n">
        <x:v>95</x:v>
      </x:c>
      <x:c r="AD64" t="n">
        <x:v>1</x:v>
      </x:c>
      <x:c r="AE64" t="str">
        <x:v>Deal 95% Finesse weapon damage. If Armour is broken and Health is damaged, apply 2 Crippled stacks.</x:v>
      </x:c>
      <x:c r="AF64"/>
      <x:c r="AG64" t="str">
        <x:v>Standard ranged finesse weapon.</x:v>
      </x:c>
      <x:c r="AH64" t="str">
        <x:v>Weapon Skill 2 normally has a 1-turn cooldown; Fortify/Ward use 2 turns; dual Bastion/Aegis uses 3 turns.</x:v>
      </x:c>
    </x:row>
    <x:row r="65">
      <x:c r="A65" t="str">
        <x:v>WPN-061</x:v>
      </x:c>
      <x:c r="B65" t="str">
        <x:v>Lance</x:v>
      </x:c>
      <x:c r="C65" t="str">
        <x:v>Grey</x:v>
      </x:c>
      <x:c r="D65" t="str">
        <x:v>Weapon</x:v>
      </x:c>
      <x:c r="E65" t="str">
        <x:v>Lance</x:v>
      </x:c>
      <x:c r="F65" t="str">
        <x:v>2H</x:v>
      </x:c>
      <x:c r="G65" t="str">
        <x:v>Knight and Brute</x:v>
      </x:c>
      <x:c r="H65" t="str">
        <x:v>Physical Strength</x:v>
      </x:c>
      <x:c r="I65" t="str">
        <x:v>Might</x:v>
      </x:c>
      <x:c r="J65" t="n">
        <x:v>5</x:v>
      </x:c>
      <x:c r="K65" t="n">
        <x:v>7</x:v>
      </x:c>
      <x:c r="L65" t="n">
        <x:v>0</x:v>
      </x:c>
      <x:c r="M65" t="n">
        <x:v>0</x:v>
      </x:c>
      <x:c r="N65" t="n">
        <x:v>0</x:v>
      </x:c>
      <x:c r="O65" t="n">
        <x:v>1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str">
        <x:v>Skyward Thrust</x:v>
      </x:c>
      <x:c r="Y65" t="n">
        <x:v>2</x:v>
      </x:c>
      <x:c r="Z65" t="n">
        <x:v>120</x:v>
      </x:c>
      <x:c r="AA65" t="str">
        <x:v>Piercing Charge</x:v>
      </x:c>
      <x:c r="AB65" t="n">
        <x:v>3</x:v>
      </x:c>
      <x:c r="AC65" t="n">
        <x:v>135</x:v>
      </x:c>
      <x:c r="AD65" t="n">
        <x:v>1</x:v>
      </x:c>
      <x:c r="AE65" t="str">
        <x:v>Deal 135% Strength weapon damage and ignore 4 Guard for this attack.</x:v>
      </x:c>
      <x:c r="AF65"/>
      <x:c r="AG65" t="str">
        <x:v>Physical penetration identity.</x:v>
      </x:c>
      <x:c r="AH65" t="str">
        <x:v>Weapon Skill 2 normally has a 1-turn cooldown; Fortify/Ward use 2 turns; dual Bastion/Aegis uses 3 turns.</x:v>
      </x:c>
    </x:row>
    <x:row r="66">
      <x:c r="A66" t="str">
        <x:v>WPN-062</x:v>
      </x:c>
      <x:c r="B66" t="str">
        <x:v>Sturdy Lance</x:v>
      </x:c>
      <x:c r="C66" t="str">
        <x:v>Green</x:v>
      </x:c>
      <x:c r="D66" t="str">
        <x:v>Weapon</x:v>
      </x:c>
      <x:c r="E66" t="str">
        <x:v>Lance</x:v>
      </x:c>
      <x:c r="F66" t="str">
        <x:v>2H</x:v>
      </x:c>
      <x:c r="G66" t="str">
        <x:v>Knight and Brute</x:v>
      </x:c>
      <x:c r="H66" t="str">
        <x:v>Physical Strength</x:v>
      </x:c>
      <x:c r="I66" t="str">
        <x:v>Might</x:v>
      </x:c>
      <x:c r="J66" t="n">
        <x:v>6</x:v>
      </x:c>
      <x:c r="K66" t="n">
        <x:v>9</x:v>
      </x:c>
      <x:c r="L66" t="n">
        <x:v>0</x:v>
      </x:c>
      <x:c r="M66" t="n">
        <x:v>0</x:v>
      </x:c>
      <x:c r="N66" t="n">
        <x:v>0</x:v>
      </x:c>
      <x:c r="O66" t="n">
        <x:v>1</x:v>
      </x:c>
      <x:c r="P66" t="n">
        <x:v>0</x:v>
      </x:c>
      <x:c r="Q66" t="n">
        <x:v>1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str">
        <x:v>Skyward Thrust</x:v>
      </x:c>
      <x:c r="Y66" t="n">
        <x:v>2</x:v>
      </x:c>
      <x:c r="Z66" t="n">
        <x:v>120</x:v>
      </x:c>
      <x:c r="AA66" t="str">
        <x:v>Piercing Charge</x:v>
      </x:c>
      <x:c r="AB66" t="n">
        <x:v>3</x:v>
      </x:c>
      <x:c r="AC66" t="n">
        <x:v>135</x:v>
      </x:c>
      <x:c r="AD66" t="n">
        <x:v>1</x:v>
      </x:c>
      <x:c r="AE66" t="str">
        <x:v>Deal 135% Strength weapon damage and ignore 4 Guard for this attack.</x:v>
      </x:c>
      <x:c r="AF66"/>
      <x:c r="AG66" t="str">
        <x:v>Physical penetration identity.</x:v>
      </x:c>
      <x:c r="AH66" t="str">
        <x:v>Weapon Skill 2 normally has a 1-turn cooldown; Fortify/Ward use 2 turns; dual Bastion/Aegis uses 3 turns.</x:v>
      </x:c>
    </x:row>
    <x:row r="67">
      <x:c r="A67" t="str">
        <x:v>WPN-063</x:v>
      </x:c>
      <x:c r="B67" t="str">
        <x:v>Tempered Lance</x:v>
      </x:c>
      <x:c r="C67" t="str">
        <x:v>Blue</x:v>
      </x:c>
      <x:c r="D67" t="str">
        <x:v>Weapon</x:v>
      </x:c>
      <x:c r="E67" t="str">
        <x:v>Lance</x:v>
      </x:c>
      <x:c r="F67" t="str">
        <x:v>2H</x:v>
      </x:c>
      <x:c r="G67" t="str">
        <x:v>Knight and Brute</x:v>
      </x:c>
      <x:c r="H67" t="str">
        <x:v>Physical Strength</x:v>
      </x:c>
      <x:c r="I67" t="str">
        <x:v>Might</x:v>
      </x:c>
      <x:c r="J67" t="n">
        <x:v>8</x:v>
      </x:c>
      <x:c r="K67" t="n">
        <x:v>11</x:v>
      </x:c>
      <x:c r="L67" t="n">
        <x:v>0</x:v>
      </x:c>
      <x:c r="M67" t="n">
        <x:v>0</x:v>
      </x:c>
      <x:c r="N67" t="n">
        <x:v>0</x:v>
      </x:c>
      <x:c r="O67" t="n">
        <x:v>2</x:v>
      </x:c>
      <x:c r="P67" t="n">
        <x:v>0</x:v>
      </x:c>
      <x:c r="Q67" t="n">
        <x:v>1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str">
        <x:v>Skyward Thrust</x:v>
      </x:c>
      <x:c r="Y67" t="n">
        <x:v>2</x:v>
      </x:c>
      <x:c r="Z67" t="n">
        <x:v>120</x:v>
      </x:c>
      <x:c r="AA67" t="str">
        <x:v>Piercing Charge</x:v>
      </x:c>
      <x:c r="AB67" t="n">
        <x:v>3</x:v>
      </x:c>
      <x:c r="AC67" t="n">
        <x:v>135</x:v>
      </x:c>
      <x:c r="AD67" t="n">
        <x:v>1</x:v>
      </x:c>
      <x:c r="AE67" t="str">
        <x:v>Deal 135% Strength weapon damage and ignore 4 Guard for this attack.</x:v>
      </x:c>
      <x:c r="AF67"/>
      <x:c r="AG67" t="str">
        <x:v>Physical penetration identity.</x:v>
      </x:c>
      <x:c r="AH67" t="str">
        <x:v>Weapon Skill 2 normally has a 1-turn cooldown; Fortify/Ward use 2 turns; dual Bastion/Aegis uses 3 turns.</x:v>
      </x:c>
    </x:row>
    <x:row r="68">
      <x:c r="A68" t="str">
        <x:v>WPN-064</x:v>
      </x:c>
      <x:c r="B68" t="str">
        <x:v>Masterwork Lance</x:v>
      </x:c>
      <x:c r="C68" t="str">
        <x:v>Purple</x:v>
      </x:c>
      <x:c r="D68" t="str">
        <x:v>Weapon</x:v>
      </x:c>
      <x:c r="E68" t="str">
        <x:v>Lance</x:v>
      </x:c>
      <x:c r="F68" t="str">
        <x:v>2H</x:v>
      </x:c>
      <x:c r="G68" t="str">
        <x:v>Knight and Brute</x:v>
      </x:c>
      <x:c r="H68" t="str">
        <x:v>Physical Strength</x:v>
      </x:c>
      <x:c r="I68" t="str">
        <x:v>Might</x:v>
      </x:c>
      <x:c r="J68" t="n">
        <x:v>10</x:v>
      </x:c>
      <x:c r="K68" t="n">
        <x:v>13</x:v>
      </x:c>
      <x:c r="L68" t="n">
        <x:v>0</x:v>
      </x:c>
      <x:c r="M68" t="n">
        <x:v>0</x:v>
      </x:c>
      <x:c r="N68" t="n">
        <x:v>1</x:v>
      </x:c>
      <x:c r="O68" t="n">
        <x:v>3</x:v>
      </x:c>
      <x:c r="P68" t="n">
        <x:v>0</x:v>
      </x:c>
      <x:c r="Q68" t="n">
        <x:v>1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1</x:v>
      </x:c>
      <x:c r="W68" t="n">
        <x:v>0</x:v>
      </x:c>
      <x:c r="X68" t="str">
        <x:v>Skyward Thrust</x:v>
      </x:c>
      <x:c r="Y68" t="n">
        <x:v>2</x:v>
      </x:c>
      <x:c r="Z68" t="n">
        <x:v>120</x:v>
      </x:c>
      <x:c r="AA68" t="str">
        <x:v>Piercing Charge</x:v>
      </x:c>
      <x:c r="AB68" t="n">
        <x:v>3</x:v>
      </x:c>
      <x:c r="AC68" t="n">
        <x:v>135</x:v>
      </x:c>
      <x:c r="AD68" t="n">
        <x:v>1</x:v>
      </x:c>
      <x:c r="AE68" t="str">
        <x:v>Deal 135% Strength weapon damage and ignore 4 Guard for this attack.</x:v>
      </x:c>
      <x:c r="AF68"/>
      <x:c r="AG68" t="str">
        <x:v>Physical penetration identity.</x:v>
      </x:c>
      <x:c r="AH68" t="str">
        <x:v>Weapon Skill 2 normally has a 1-turn cooldown; Fortify/Ward use 2 turns; dual Bastion/Aegis uses 3 turns.</x:v>
      </x:c>
    </x:row>
    <x:row r="69">
      <x:c r="A69" t="str">
        <x:v>WPN-065</x:v>
      </x:c>
      <x:c r="B69" t="str">
        <x:v>Regal Lance</x:v>
      </x:c>
      <x:c r="C69" t="str">
        <x:v>Gold</x:v>
      </x:c>
      <x:c r="D69" t="str">
        <x:v>Weapon</x:v>
      </x:c>
      <x:c r="E69" t="str">
        <x:v>Lance</x:v>
      </x:c>
      <x:c r="F69" t="str">
        <x:v>2H</x:v>
      </x:c>
      <x:c r="G69" t="str">
        <x:v>Knight and Brute</x:v>
      </x:c>
      <x:c r="H69" t="str">
        <x:v>Physical Strength</x:v>
      </x:c>
      <x:c r="I69" t="str">
        <x:v>Might</x:v>
      </x:c>
      <x:c r="J69" t="n">
        <x:v>12</x:v>
      </x:c>
      <x:c r="K69" t="n">
        <x:v>16</x:v>
      </x:c>
      <x:c r="L69" t="n">
        <x:v>0</x:v>
      </x:c>
      <x:c r="M69" t="n">
        <x:v>0</x:v>
      </x:c>
      <x:c r="N69" t="n">
        <x:v>1</x:v>
      </x:c>
      <x:c r="O69" t="n">
        <x:v>4</x:v>
      </x:c>
      <x:c r="P69" t="n">
        <x:v>0</x:v>
      </x:c>
      <x:c r="Q69" t="n">
        <x:v>2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2</x:v>
      </x:c>
      <x:c r="W69" t="n">
        <x:v>0</x:v>
      </x:c>
      <x:c r="X69" t="str">
        <x:v>Skyward Thrust</x:v>
      </x:c>
      <x:c r="Y69" t="n">
        <x:v>2</x:v>
      </x:c>
      <x:c r="Z69" t="n">
        <x:v>120</x:v>
      </x:c>
      <x:c r="AA69" t="str">
        <x:v>Piercing Charge</x:v>
      </x:c>
      <x:c r="AB69" t="n">
        <x:v>3</x:v>
      </x:c>
      <x:c r="AC69" t="n">
        <x:v>135</x:v>
      </x:c>
      <x:c r="AD69" t="n">
        <x:v>1</x:v>
      </x:c>
      <x:c r="AE69" t="str">
        <x:v>Deal 135% Strength weapon damage and ignore 4 Guard for this attack.</x:v>
      </x:c>
      <x:c r="AF69"/>
      <x:c r="AG69" t="str">
        <x:v>Physical penetration identity.</x:v>
      </x:c>
      <x:c r="AH69" t="str">
        <x:v>Weapon Skill 2 normally has a 1-turn cooldown; Fortify/Ward use 2 turns; dual Bastion/Aegis uses 3 turns.</x:v>
      </x:c>
    </x:row>
    <x:row r="70">
      <x:c r="A70" t="str">
        <x:v>WPN-066</x:v>
      </x:c>
      <x:c r="B70" t="str">
        <x:v>Mythic Lance</x:v>
      </x:c>
      <x:c r="C70" t="str">
        <x:v>Orange</x:v>
      </x:c>
      <x:c r="D70" t="str">
        <x:v>Weapon</x:v>
      </x:c>
      <x:c r="E70" t="str">
        <x:v>Lance</x:v>
      </x:c>
      <x:c r="F70" t="str">
        <x:v>2H</x:v>
      </x:c>
      <x:c r="G70" t="str">
        <x:v>Knight and Brute</x:v>
      </x:c>
      <x:c r="H70" t="str">
        <x:v>Physical Strength</x:v>
      </x:c>
      <x:c r="I70" t="str">
        <x:v>Might</x:v>
      </x:c>
      <x:c r="J70" t="n">
        <x:v>14</x:v>
      </x:c>
      <x:c r="K70" t="n">
        <x:v>19</x:v>
      </x:c>
      <x:c r="L70" t="n">
        <x:v>0</x:v>
      </x:c>
      <x:c r="M70" t="n">
        <x:v>0</x:v>
      </x:c>
      <x:c r="N70" t="n">
        <x:v>2</x:v>
      </x:c>
      <x:c r="O70" t="n">
        <x:v>5</x:v>
      </x:c>
      <x:c r="P70" t="n">
        <x:v>0</x:v>
      </x:c>
      <x:c r="Q70" t="n">
        <x:v>2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3</x:v>
      </x:c>
      <x:c r="W70" t="n">
        <x:v>0</x:v>
      </x:c>
      <x:c r="X70" t="str">
        <x:v>Skyward Thrust</x:v>
      </x:c>
      <x:c r="Y70" t="n">
        <x:v>2</x:v>
      </x:c>
      <x:c r="Z70" t="n">
        <x:v>120</x:v>
      </x:c>
      <x:c r="AA70" t="str">
        <x:v>Piercing Charge</x:v>
      </x:c>
      <x:c r="AB70" t="n">
        <x:v>3</x:v>
      </x:c>
      <x:c r="AC70" t="n">
        <x:v>135</x:v>
      </x:c>
      <x:c r="AD70" t="n">
        <x:v>1</x:v>
      </x:c>
      <x:c r="AE70" t="str">
        <x:v>Deal 135% Strength weapon damage and ignore 4 Guard for this attack.</x:v>
      </x:c>
      <x:c r="AF70"/>
      <x:c r="AG70" t="str">
        <x:v>Physical penetration identity.</x:v>
      </x:c>
      <x:c r="AH70" t="str">
        <x:v>Weapon Skill 2 normally has a 1-turn cooldown; Fortify/Ward use 2 turns; dual Bastion/Aegis uses 3 turns.</x:v>
      </x:c>
    </x:row>
    <x:row r="71">
      <x:c r="A71" t="str">
        <x:v>WPN-067</x:v>
      </x:c>
      <x:c r="B71" t="str">
        <x:v>Staff</x:v>
      </x:c>
      <x:c r="C71" t="str">
        <x:v>Grey</x:v>
      </x:c>
      <x:c r="D71" t="str">
        <x:v>Weapon</x:v>
      </x:c>
      <x:c r="E71" t="str">
        <x:v>Staff</x:v>
      </x:c>
      <x:c r="F71" t="str">
        <x:v>2H</x:v>
      </x:c>
      <x:c r="G71" t="str">
        <x:v>Mage, Siren, Bard</x:v>
      </x:c>
      <x:c r="H71" t="str">
        <x:v>Magical</x:v>
      </x:c>
      <x:c r="I71" t="str">
        <x:v>Focus</x:v>
      </x:c>
      <x:c r="J71" t="n">
        <x:v>4</x:v>
      </x:c>
      <x:c r="K71" t="n">
        <x:v>6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1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str">
        <x:v>Runic Sweep</x:v>
      </x:c>
      <x:c r="Y71" t="n">
        <x:v>2</x:v>
      </x:c>
      <x:c r="Z71" t="n">
        <x:v>110</x:v>
      </x:c>
      <x:c r="AA71" t="str">
        <x:v>Grand Ward</x:v>
      </x:c>
      <x:c r="AB71" t="n">
        <x:v>3</x:v>
      </x:c>
      <x:c r="AC71" t="n">
        <x:v>0</x:v>
      </x:c>
      <x:c r="AD71" t="n">
        <x:v>2</x:v>
      </x:c>
      <x:c r="AE71" t="str">
        <x:v>Gain 10 Ward Magic Armour (add 10 to current Magic Armour and temporary Maximum Magic Armour) for 2 turns.</x:v>
      </x:c>
      <x:c r="AF71"/>
      <x:c r="AG71" t="str">
        <x:v>Strong two-handed magic.</x:v>
      </x:c>
      <x:c r="AH71" t="str">
        <x:v>Weapon Skill 2 normally has a 1-turn cooldown; Fortify/Ward use 2 turns; dual Bastion/Aegis uses 3 turns.</x:v>
      </x:c>
    </x:row>
    <x:row r="72">
      <x:c r="A72" t="str">
        <x:v>WPN-068</x:v>
      </x:c>
      <x:c r="B72" t="str">
        <x:v>Sturdy Staff</x:v>
      </x:c>
      <x:c r="C72" t="str">
        <x:v>Green</x:v>
      </x:c>
      <x:c r="D72" t="str">
        <x:v>Weapon</x:v>
      </x:c>
      <x:c r="E72" t="str">
        <x:v>Staff</x:v>
      </x:c>
      <x:c r="F72" t="str">
        <x:v>2H</x:v>
      </x:c>
      <x:c r="G72" t="str">
        <x:v>Mage, Siren, Bard</x:v>
      </x:c>
      <x:c r="H72" t="str">
        <x:v>Magical</x:v>
      </x:c>
      <x:c r="I72" t="str">
        <x:v>Focus</x:v>
      </x:c>
      <x:c r="J72" t="n">
        <x:v>5</x:v>
      </x:c>
      <x:c r="K72" t="n">
        <x:v>8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1</x:v>
      </x:c>
      <x:c r="S72" t="n">
        <x:v>1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str">
        <x:v>Runic Sweep</x:v>
      </x:c>
      <x:c r="Y72" t="n">
        <x:v>2</x:v>
      </x:c>
      <x:c r="Z72" t="n">
        <x:v>110</x:v>
      </x:c>
      <x:c r="AA72" t="str">
        <x:v>Grand Ward</x:v>
      </x:c>
      <x:c r="AB72" t="n">
        <x:v>3</x:v>
      </x:c>
      <x:c r="AC72" t="n">
        <x:v>0</x:v>
      </x:c>
      <x:c r="AD72" t="n">
        <x:v>2</x:v>
      </x:c>
      <x:c r="AE72" t="str">
        <x:v>Gain 10 Ward Magic Armour (add 10 to current Magic Armour and temporary Maximum Magic Armour) for 2 turns.</x:v>
      </x:c>
      <x:c r="AF72"/>
      <x:c r="AG72" t="str">
        <x:v>Strong two-handed magic.</x:v>
      </x:c>
      <x:c r="AH72" t="str">
        <x:v>Weapon Skill 2 normally has a 1-turn cooldown; Fortify/Ward use 2 turns; dual Bastion/Aegis uses 3 turns.</x:v>
      </x:c>
    </x:row>
    <x:row r="73">
      <x:c r="A73" t="str">
        <x:v>WPN-069</x:v>
      </x:c>
      <x:c r="B73" t="str">
        <x:v>Tempered Staff</x:v>
      </x:c>
      <x:c r="C73" t="str">
        <x:v>Blue</x:v>
      </x:c>
      <x:c r="D73" t="str">
        <x:v>Weapon</x:v>
      </x:c>
      <x:c r="E73" t="str">
        <x:v>Staff</x:v>
      </x:c>
      <x:c r="F73" t="str">
        <x:v>2H</x:v>
      </x:c>
      <x:c r="G73" t="str">
        <x:v>Mage, Siren, Bard</x:v>
      </x:c>
      <x:c r="H73" t="str">
        <x:v>Magical</x:v>
      </x:c>
      <x:c r="I73" t="str">
        <x:v>Focus</x:v>
      </x:c>
      <x:c r="J73" t="n">
        <x:v>6</x:v>
      </x:c>
      <x:c r="K73" t="n">
        <x:v>9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2</x:v>
      </x:c>
      <x:c r="S73" t="n">
        <x:v>1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str">
        <x:v>Runic Sweep</x:v>
      </x:c>
      <x:c r="Y73" t="n">
        <x:v>2</x:v>
      </x:c>
      <x:c r="Z73" t="n">
        <x:v>110</x:v>
      </x:c>
      <x:c r="AA73" t="str">
        <x:v>Grand Ward</x:v>
      </x:c>
      <x:c r="AB73" t="n">
        <x:v>3</x:v>
      </x:c>
      <x:c r="AC73" t="n">
        <x:v>0</x:v>
      </x:c>
      <x:c r="AD73" t="n">
        <x:v>2</x:v>
      </x:c>
      <x:c r="AE73" t="str">
        <x:v>Gain 10 Ward Magic Armour (add 10 to current Magic Armour and temporary Maximum Magic Armour) for 2 turns.</x:v>
      </x:c>
      <x:c r="AF73"/>
      <x:c r="AG73" t="str">
        <x:v>Strong two-handed magic.</x:v>
      </x:c>
      <x:c r="AH73" t="str">
        <x:v>Weapon Skill 2 normally has a 1-turn cooldown; Fortify/Ward use 2 turns; dual Bastion/Aegis uses 3 turns.</x:v>
      </x:c>
    </x:row>
    <x:row r="74">
      <x:c r="A74" t="str">
        <x:v>WPN-070</x:v>
      </x:c>
      <x:c r="B74" t="str">
        <x:v>Masterwork Staff</x:v>
      </x:c>
      <x:c r="C74" t="str">
        <x:v>Purple</x:v>
      </x:c>
      <x:c r="D74" t="str">
        <x:v>Weapon</x:v>
      </x:c>
      <x:c r="E74" t="str">
        <x:v>Staff</x:v>
      </x:c>
      <x:c r="F74" t="str">
        <x:v>2H</x:v>
      </x:c>
      <x:c r="G74" t="str">
        <x:v>Mage, Siren, Bard</x:v>
      </x:c>
      <x:c r="H74" t="str">
        <x:v>Magical</x:v>
      </x:c>
      <x:c r="I74" t="str">
        <x:v>Focus</x:v>
      </x:c>
      <x:c r="J74" t="n">
        <x:v>8</x:v>
      </x:c>
      <x:c r="K74" t="n">
        <x:v>11</x:v>
      </x:c>
      <x:c r="L74" t="n">
        <x:v>0</x:v>
      </x:c>
      <x:c r="M74" t="n">
        <x:v>0</x:v>
      </x:c>
      <x:c r="N74" t="n">
        <x:v>1</x:v>
      </x:c>
      <x:c r="O74" t="n">
        <x:v>0</x:v>
      </x:c>
      <x:c r="P74" t="n">
        <x:v>0</x:v>
      </x:c>
      <x:c r="Q74" t="n">
        <x:v>0</x:v>
      </x:c>
      <x:c r="R74" t="n">
        <x:v>3</x:v>
      </x:c>
      <x:c r="S74" t="n">
        <x:v>1</x:v>
      </x:c>
      <x:c r="T74" t="n">
        <x:v>0</x:v>
      </x:c>
      <x:c r="U74" t="n">
        <x:v>0</x:v>
      </x:c>
      <x:c r="V74" t="n">
        <x:v>0</x:v>
      </x:c>
      <x:c r="W74" t="n">
        <x:v>1</x:v>
      </x:c>
      <x:c r="X74" t="str">
        <x:v>Runic Sweep</x:v>
      </x:c>
      <x:c r="Y74" t="n">
        <x:v>2</x:v>
      </x:c>
      <x:c r="Z74" t="n">
        <x:v>110</x:v>
      </x:c>
      <x:c r="AA74" t="str">
        <x:v>Grand Ward</x:v>
      </x:c>
      <x:c r="AB74" t="n">
        <x:v>3</x:v>
      </x:c>
      <x:c r="AC74" t="n">
        <x:v>0</x:v>
      </x:c>
      <x:c r="AD74" t="n">
        <x:v>2</x:v>
      </x:c>
      <x:c r="AE74" t="str">
        <x:v>Gain 10 Ward Magic Armour (add 10 to current Magic Armour and temporary Maximum Magic Armour) for 2 turns.</x:v>
      </x:c>
      <x:c r="AF74"/>
      <x:c r="AG74" t="str">
        <x:v>Strong two-handed magic.</x:v>
      </x:c>
      <x:c r="AH74" t="str">
        <x:v>Weapon Skill 2 normally has a 1-turn cooldown; Fortify/Ward use 2 turns; dual Bastion/Aegis uses 3 turns.</x:v>
      </x:c>
    </x:row>
    <x:row r="75">
      <x:c r="A75" t="str">
        <x:v>WPN-071</x:v>
      </x:c>
      <x:c r="B75" t="str">
        <x:v>Regal Staff</x:v>
      </x:c>
      <x:c r="C75" t="str">
        <x:v>Gold</x:v>
      </x:c>
      <x:c r="D75" t="str">
        <x:v>Weapon</x:v>
      </x:c>
      <x:c r="E75" t="str">
        <x:v>Staff</x:v>
      </x:c>
      <x:c r="F75" t="str">
        <x:v>2H</x:v>
      </x:c>
      <x:c r="G75" t="str">
        <x:v>Mage, Siren, Bard</x:v>
      </x:c>
      <x:c r="H75" t="str">
        <x:v>Magical</x:v>
      </x:c>
      <x:c r="I75" t="str">
        <x:v>Focus</x:v>
      </x:c>
      <x:c r="J75" t="n">
        <x:v>9</x:v>
      </x:c>
      <x:c r="K75" t="n">
        <x:v>14</x:v>
      </x:c>
      <x:c r="L75" t="n">
        <x:v>0</x:v>
      </x:c>
      <x:c r="M75" t="n">
        <x:v>0</x:v>
      </x:c>
      <x:c r="N75" t="n">
        <x:v>1</x:v>
      </x:c>
      <x:c r="O75" t="n">
        <x:v>0</x:v>
      </x:c>
      <x:c r="P75" t="n">
        <x:v>0</x:v>
      </x:c>
      <x:c r="Q75" t="n">
        <x:v>0</x:v>
      </x:c>
      <x:c r="R75" t="n">
        <x:v>4</x:v>
      </x:c>
      <x:c r="S75" t="n">
        <x:v>2</x:v>
      </x:c>
      <x:c r="T75" t="n">
        <x:v>0</x:v>
      </x:c>
      <x:c r="U75" t="n">
        <x:v>0</x:v>
      </x:c>
      <x:c r="V75" t="n">
        <x:v>0</x:v>
      </x:c>
      <x:c r="W75" t="n">
        <x:v>2</x:v>
      </x:c>
      <x:c r="X75" t="str">
        <x:v>Runic Sweep</x:v>
      </x:c>
      <x:c r="Y75" t="n">
        <x:v>2</x:v>
      </x:c>
      <x:c r="Z75" t="n">
        <x:v>110</x:v>
      </x:c>
      <x:c r="AA75" t="str">
        <x:v>Grand Ward</x:v>
      </x:c>
      <x:c r="AB75" t="n">
        <x:v>3</x:v>
      </x:c>
      <x:c r="AC75" t="n">
        <x:v>0</x:v>
      </x:c>
      <x:c r="AD75" t="n">
        <x:v>2</x:v>
      </x:c>
      <x:c r="AE75" t="str">
        <x:v>Gain 10 Ward Magic Armour (add 10 to current Magic Armour and temporary Maximum Magic Armour) for 2 turns.</x:v>
      </x:c>
      <x:c r="AF75"/>
      <x:c r="AG75" t="str">
        <x:v>Strong two-handed magic.</x:v>
      </x:c>
      <x:c r="AH75" t="str">
        <x:v>Weapon Skill 2 normally has a 1-turn cooldown; Fortify/Ward use 2 turns; dual Bastion/Aegis uses 3 turns.</x:v>
      </x:c>
    </x:row>
    <x:row r="76">
      <x:c r="A76" t="str">
        <x:v>WPN-072</x:v>
      </x:c>
      <x:c r="B76" t="str">
        <x:v>Mythic Staff</x:v>
      </x:c>
      <x:c r="C76" t="str">
        <x:v>Orange</x:v>
      </x:c>
      <x:c r="D76" t="str">
        <x:v>Weapon</x:v>
      </x:c>
      <x:c r="E76" t="str">
        <x:v>Staff</x:v>
      </x:c>
      <x:c r="F76" t="str">
        <x:v>2H</x:v>
      </x:c>
      <x:c r="G76" t="str">
        <x:v>Mage, Siren, Bard</x:v>
      </x:c>
      <x:c r="H76" t="str">
        <x:v>Magical</x:v>
      </x:c>
      <x:c r="I76" t="str">
        <x:v>Focus</x:v>
      </x:c>
      <x:c r="J76" t="n">
        <x:v>11</x:v>
      </x:c>
      <x:c r="K76" t="n">
        <x:v>17</x:v>
      </x:c>
      <x:c r="L76" t="n">
        <x:v>0</x:v>
      </x:c>
      <x:c r="M76" t="n">
        <x:v>0</x:v>
      </x:c>
      <x:c r="N76" t="n">
        <x:v>2</x:v>
      </x:c>
      <x:c r="O76" t="n">
        <x:v>0</x:v>
      </x:c>
      <x:c r="P76" t="n">
        <x:v>0</x:v>
      </x:c>
      <x:c r="Q76" t="n">
        <x:v>0</x:v>
      </x:c>
      <x:c r="R76" t="n">
        <x:v>5</x:v>
      </x:c>
      <x:c r="S76" t="n">
        <x:v>2</x:v>
      </x:c>
      <x:c r="T76" t="n">
        <x:v>0</x:v>
      </x:c>
      <x:c r="U76" t="n">
        <x:v>0</x:v>
      </x:c>
      <x:c r="V76" t="n">
        <x:v>0</x:v>
      </x:c>
      <x:c r="W76" t="n">
        <x:v>3</x:v>
      </x:c>
      <x:c r="X76" t="str">
        <x:v>Runic Sweep</x:v>
      </x:c>
      <x:c r="Y76" t="n">
        <x:v>2</x:v>
      </x:c>
      <x:c r="Z76" t="n">
        <x:v>110</x:v>
      </x:c>
      <x:c r="AA76" t="str">
        <x:v>Grand Ward</x:v>
      </x:c>
      <x:c r="AB76" t="n">
        <x:v>3</x:v>
      </x:c>
      <x:c r="AC76" t="n">
        <x:v>0</x:v>
      </x:c>
      <x:c r="AD76" t="n">
        <x:v>2</x:v>
      </x:c>
      <x:c r="AE76" t="str">
        <x:v>Gain 10 Ward Magic Armour (add 10 to current Magic Armour and temporary Maximum Magic Armour) for 2 turns.</x:v>
      </x:c>
      <x:c r="AF76"/>
      <x:c r="AG76" t="str">
        <x:v>Strong two-handed magic.</x:v>
      </x:c>
      <x:c r="AH76" t="str">
        <x:v>Weapon Skill 2 normally has a 1-turn cooldown; Fortify/Ward use 2 turns; dual Bastion/Aegis uses 3 turns.</x:v>
      </x:c>
    </x:row>
    <x:row r="77">
      <x:c r="A77" t="str">
        <x:v>WPN-073</x:v>
      </x:c>
      <x:c r="B77" t="str">
        <x:v>Greatblade</x:v>
      </x:c>
      <x:c r="C77" t="str">
        <x:v>Grey</x:v>
      </x:c>
      <x:c r="D77" t="str">
        <x:v>Weapon</x:v>
      </x:c>
      <x:c r="E77" t="str">
        <x:v>Greatblade</x:v>
      </x:c>
      <x:c r="F77" t="str">
        <x:v>2H</x:v>
      </x:c>
      <x:c r="G77" t="str">
        <x:v>Knight and Brute</x:v>
      </x:c>
      <x:c r="H77" t="str">
        <x:v>Physical Strength</x:v>
      </x:c>
      <x:c r="I77" t="str">
        <x:v>Might</x:v>
      </x:c>
      <x:c r="J77" t="n">
        <x:v>6</x:v>
      </x:c>
      <x:c r="K77" t="n">
        <x:v>8</x:v>
      </x:c>
      <x:c r="L77" t="n">
        <x:v>0</x:v>
      </x:c>
      <x:c r="M77" t="n">
        <x:v>0</x:v>
      </x:c>
      <x:c r="N77" t="n">
        <x:v>0</x:v>
      </x:c>
      <x:c r="O77" t="n">
        <x:v>1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str">
        <x:v>Greatwing Slash</x:v>
      </x:c>
      <x:c r="Y77" t="n">
        <x:v>2</x:v>
      </x:c>
      <x:c r="Z77" t="n">
        <x:v>120</x:v>
      </x:c>
      <x:c r="AA77" t="str">
        <x:v>Sundering Wing</x:v>
      </x:c>
      <x:c r="AB77" t="n">
        <x:v>3</x:v>
      </x:c>
      <x:c r="AC77" t="n">
        <x:v>125</x:v>
      </x:c>
      <x:c r="AD77" t="n">
        <x:v>1</x:v>
      </x:c>
      <x:c r="AE77" t="str">
        <x:v>Deal 125% Strength weapon damage. If Armour is broken and Health is damaged, apply 2 Fracture stacks.</x:v>
      </x:c>
      <x:c r="AF77"/>
      <x:c r="AG77" t="str">
        <x:v>Highest direct Strength profile.</x:v>
      </x:c>
      <x:c r="AH77" t="str">
        <x:v>Weapon Skill 2 normally has a 1-turn cooldown; Fortify/Ward use 2 turns; dual Bastion/Aegis uses 3 turns.</x:v>
      </x:c>
    </x:row>
    <x:row r="78">
      <x:c r="A78" t="str">
        <x:v>WPN-074</x:v>
      </x:c>
      <x:c r="B78" t="str">
        <x:v>Sturdy Greatblade</x:v>
      </x:c>
      <x:c r="C78" t="str">
        <x:v>Green</x:v>
      </x:c>
      <x:c r="D78" t="str">
        <x:v>Weapon</x:v>
      </x:c>
      <x:c r="E78" t="str">
        <x:v>Greatblade</x:v>
      </x:c>
      <x:c r="F78" t="str">
        <x:v>2H</x:v>
      </x:c>
      <x:c r="G78" t="str">
        <x:v>Knight and Brute</x:v>
      </x:c>
      <x:c r="H78" t="str">
        <x:v>Physical Strength</x:v>
      </x:c>
      <x:c r="I78" t="str">
        <x:v>Might</x:v>
      </x:c>
      <x:c r="J78" t="n">
        <x:v>8</x:v>
      </x:c>
      <x:c r="K78" t="n">
        <x:v>10</x:v>
      </x:c>
      <x:c r="L78" t="n">
        <x:v>0</x:v>
      </x:c>
      <x:c r="M78" t="n">
        <x:v>0</x:v>
      </x:c>
      <x:c r="N78" t="n">
        <x:v>0</x:v>
      </x:c>
      <x:c r="O78" t="n">
        <x:v>1</x:v>
      </x:c>
      <x:c r="P78" t="n">
        <x:v>0</x:v>
      </x:c>
      <x:c r="Q78" t="n">
        <x:v>1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str">
        <x:v>Greatwing Slash</x:v>
      </x:c>
      <x:c r="Y78" t="n">
        <x:v>2</x:v>
      </x:c>
      <x:c r="Z78" t="n">
        <x:v>120</x:v>
      </x:c>
      <x:c r="AA78" t="str">
        <x:v>Sundering Wing</x:v>
      </x:c>
      <x:c r="AB78" t="n">
        <x:v>3</x:v>
      </x:c>
      <x:c r="AC78" t="n">
        <x:v>125</x:v>
      </x:c>
      <x:c r="AD78" t="n">
        <x:v>1</x:v>
      </x:c>
      <x:c r="AE78" t="str">
        <x:v>Deal 125% Strength weapon damage. If Armour is broken and Health is damaged, apply 2 Fracture stacks.</x:v>
      </x:c>
      <x:c r="AF78"/>
      <x:c r="AG78" t="str">
        <x:v>Highest direct Strength profile.</x:v>
      </x:c>
      <x:c r="AH78" t="str">
        <x:v>Weapon Skill 2 normally has a 1-turn cooldown; Fortify/Ward use 2 turns; dual Bastion/Aegis uses 3 turns.</x:v>
      </x:c>
    </x:row>
    <x:row r="79">
      <x:c r="A79" t="str">
        <x:v>WPN-075</x:v>
      </x:c>
      <x:c r="B79" t="str">
        <x:v>Tempered Greatblade</x:v>
      </x:c>
      <x:c r="C79" t="str">
        <x:v>Blue</x:v>
      </x:c>
      <x:c r="D79" t="str">
        <x:v>Weapon</x:v>
      </x:c>
      <x:c r="E79" t="str">
        <x:v>Greatblade</x:v>
      </x:c>
      <x:c r="F79" t="str">
        <x:v>2H</x:v>
      </x:c>
      <x:c r="G79" t="str">
        <x:v>Knight and Brute</x:v>
      </x:c>
      <x:c r="H79" t="str">
        <x:v>Physical Strength</x:v>
      </x:c>
      <x:c r="I79" t="str">
        <x:v>Might</x:v>
      </x:c>
      <x:c r="J79" t="n">
        <x:v>9</x:v>
      </x:c>
      <x:c r="K79" t="n">
        <x:v>12</x:v>
      </x:c>
      <x:c r="L79" t="n">
        <x:v>0</x:v>
      </x:c>
      <x:c r="M79" t="n">
        <x:v>0</x:v>
      </x:c>
      <x:c r="N79" t="n">
        <x:v>0</x:v>
      </x:c>
      <x:c r="O79" t="n">
        <x:v>2</x:v>
      </x:c>
      <x:c r="P79" t="n">
        <x:v>0</x:v>
      </x:c>
      <x:c r="Q79" t="n">
        <x:v>1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str">
        <x:v>Greatwing Slash</x:v>
      </x:c>
      <x:c r="Y79" t="n">
        <x:v>2</x:v>
      </x:c>
      <x:c r="Z79" t="n">
        <x:v>120</x:v>
      </x:c>
      <x:c r="AA79" t="str">
        <x:v>Sundering Wing</x:v>
      </x:c>
      <x:c r="AB79" t="n">
        <x:v>3</x:v>
      </x:c>
      <x:c r="AC79" t="n">
        <x:v>125</x:v>
      </x:c>
      <x:c r="AD79" t="n">
        <x:v>1</x:v>
      </x:c>
      <x:c r="AE79" t="str">
        <x:v>Deal 125% Strength weapon damage. If Armour is broken and Health is damaged, apply 2 Fracture stacks.</x:v>
      </x:c>
      <x:c r="AF79"/>
      <x:c r="AG79" t="str">
        <x:v>Highest direct Strength profile.</x:v>
      </x:c>
      <x:c r="AH79" t="str">
        <x:v>Weapon Skill 2 normally has a 1-turn cooldown; Fortify/Ward use 2 turns; dual Bastion/Aegis uses 3 turns.</x:v>
      </x:c>
    </x:row>
    <x:row r="80">
      <x:c r="A80" t="str">
        <x:v>WPN-076</x:v>
      </x:c>
      <x:c r="B80" t="str">
        <x:v>Masterwork Greatblade</x:v>
      </x:c>
      <x:c r="C80" t="str">
        <x:v>Purple</x:v>
      </x:c>
      <x:c r="D80" t="str">
        <x:v>Weapon</x:v>
      </x:c>
      <x:c r="E80" t="str">
        <x:v>Greatblade</x:v>
      </x:c>
      <x:c r="F80" t="str">
        <x:v>2H</x:v>
      </x:c>
      <x:c r="G80" t="str">
        <x:v>Knight and Brute</x:v>
      </x:c>
      <x:c r="H80" t="str">
        <x:v>Physical Strength</x:v>
      </x:c>
      <x:c r="I80" t="str">
        <x:v>Might</x:v>
      </x:c>
      <x:c r="J80" t="n">
        <x:v>11</x:v>
      </x:c>
      <x:c r="K80" t="n">
        <x:v>15</x:v>
      </x:c>
      <x:c r="L80" t="n">
        <x:v>0</x:v>
      </x:c>
      <x:c r="M80" t="n">
        <x:v>0</x:v>
      </x:c>
      <x:c r="N80" t="n">
        <x:v>1</x:v>
      </x:c>
      <x:c r="O80" t="n">
        <x:v>3</x:v>
      </x:c>
      <x:c r="P80" t="n">
        <x:v>0</x:v>
      </x:c>
      <x:c r="Q80" t="n">
        <x:v>1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1</x:v>
      </x:c>
      <x:c r="W80" t="n">
        <x:v>0</x:v>
      </x:c>
      <x:c r="X80" t="str">
        <x:v>Greatwing Slash</x:v>
      </x:c>
      <x:c r="Y80" t="n">
        <x:v>2</x:v>
      </x:c>
      <x:c r="Z80" t="n">
        <x:v>120</x:v>
      </x:c>
      <x:c r="AA80" t="str">
        <x:v>Sundering Wing</x:v>
      </x:c>
      <x:c r="AB80" t="n">
        <x:v>3</x:v>
      </x:c>
      <x:c r="AC80" t="n">
        <x:v>125</x:v>
      </x:c>
      <x:c r="AD80" t="n">
        <x:v>1</x:v>
      </x:c>
      <x:c r="AE80" t="str">
        <x:v>Deal 125% Strength weapon damage. If Armour is broken and Health is damaged, apply 2 Fracture stacks.</x:v>
      </x:c>
      <x:c r="AF80"/>
      <x:c r="AG80" t="str">
        <x:v>Highest direct Strength profile.</x:v>
      </x:c>
      <x:c r="AH80" t="str">
        <x:v>Weapon Skill 2 normally has a 1-turn cooldown; Fortify/Ward use 2 turns; dual Bastion/Aegis uses 3 turns.</x:v>
      </x:c>
    </x:row>
    <x:row r="81">
      <x:c r="A81" t="str">
        <x:v>WPN-077</x:v>
      </x:c>
      <x:c r="B81" t="str">
        <x:v>Regal Greatblade</x:v>
      </x:c>
      <x:c r="C81" t="str">
        <x:v>Gold</x:v>
      </x:c>
      <x:c r="D81" t="str">
        <x:v>Weapon</x:v>
      </x:c>
      <x:c r="E81" t="str">
        <x:v>Greatblade</x:v>
      </x:c>
      <x:c r="F81" t="str">
        <x:v>2H</x:v>
      </x:c>
      <x:c r="G81" t="str">
        <x:v>Knight and Brute</x:v>
      </x:c>
      <x:c r="H81" t="str">
        <x:v>Physical Strength</x:v>
      </x:c>
      <x:c r="I81" t="str">
        <x:v>Might</x:v>
      </x:c>
      <x:c r="J81" t="n">
        <x:v>14</x:v>
      </x:c>
      <x:c r="K81" t="n">
        <x:v>18</x:v>
      </x:c>
      <x:c r="L81" t="n">
        <x:v>0</x:v>
      </x:c>
      <x:c r="M81" t="n">
        <x:v>0</x:v>
      </x:c>
      <x:c r="N81" t="n">
        <x:v>1</x:v>
      </x:c>
      <x:c r="O81" t="n">
        <x:v>4</x:v>
      </x:c>
      <x:c r="P81" t="n">
        <x:v>0</x:v>
      </x:c>
      <x:c r="Q81" t="n">
        <x:v>2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2</x:v>
      </x:c>
      <x:c r="W81" t="n">
        <x:v>0</x:v>
      </x:c>
      <x:c r="X81" t="str">
        <x:v>Greatwing Slash</x:v>
      </x:c>
      <x:c r="Y81" t="n">
        <x:v>2</x:v>
      </x:c>
      <x:c r="Z81" t="n">
        <x:v>120</x:v>
      </x:c>
      <x:c r="AA81" t="str">
        <x:v>Sundering Wing</x:v>
      </x:c>
      <x:c r="AB81" t="n">
        <x:v>3</x:v>
      </x:c>
      <x:c r="AC81" t="n">
        <x:v>125</x:v>
      </x:c>
      <x:c r="AD81" t="n">
        <x:v>1</x:v>
      </x:c>
      <x:c r="AE81" t="str">
        <x:v>Deal 125% Strength weapon damage. If Armour is broken and Health is damaged, apply 2 Fracture stacks.</x:v>
      </x:c>
      <x:c r="AF81"/>
      <x:c r="AG81" t="str">
        <x:v>Highest direct Strength profile.</x:v>
      </x:c>
      <x:c r="AH81" t="str">
        <x:v>Weapon Skill 2 normally has a 1-turn cooldown; Fortify/Ward use 2 turns; dual Bastion/Aegis uses 3 turns.</x:v>
      </x:c>
    </x:row>
    <x:row r="82">
      <x:c r="A82" t="str">
        <x:v>WPN-078</x:v>
      </x:c>
      <x:c r="B82" t="str">
        <x:v>Mythic Greatblade</x:v>
      </x:c>
      <x:c r="C82" t="str">
        <x:v>Orange</x:v>
      </x:c>
      <x:c r="D82" t="str">
        <x:v>Weapon</x:v>
      </x:c>
      <x:c r="E82" t="str">
        <x:v>Greatblade</x:v>
      </x:c>
      <x:c r="F82" t="str">
        <x:v>2H</x:v>
      </x:c>
      <x:c r="G82" t="str">
        <x:v>Knight and Brute</x:v>
      </x:c>
      <x:c r="H82" t="str">
        <x:v>Physical Strength</x:v>
      </x:c>
      <x:c r="I82" t="str">
        <x:v>Might</x:v>
      </x:c>
      <x:c r="J82" t="n">
        <x:v>17</x:v>
      </x:c>
      <x:c r="K82" t="n">
        <x:v>22</x:v>
      </x:c>
      <x:c r="L82" t="n">
        <x:v>0</x:v>
      </x:c>
      <x:c r="M82" t="n">
        <x:v>0</x:v>
      </x:c>
      <x:c r="N82" t="n">
        <x:v>2</x:v>
      </x:c>
      <x:c r="O82" t="n">
        <x:v>5</x:v>
      </x:c>
      <x:c r="P82" t="n">
        <x:v>0</x:v>
      </x:c>
      <x:c r="Q82" t="n">
        <x:v>2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3</x:v>
      </x:c>
      <x:c r="W82" t="n">
        <x:v>0</x:v>
      </x:c>
      <x:c r="X82" t="str">
        <x:v>Greatwing Slash</x:v>
      </x:c>
      <x:c r="Y82" t="n">
        <x:v>2</x:v>
      </x:c>
      <x:c r="Z82" t="n">
        <x:v>120</x:v>
      </x:c>
      <x:c r="AA82" t="str">
        <x:v>Sundering Wing</x:v>
      </x:c>
      <x:c r="AB82" t="n">
        <x:v>3</x:v>
      </x:c>
      <x:c r="AC82" t="n">
        <x:v>125</x:v>
      </x:c>
      <x:c r="AD82" t="n">
        <x:v>1</x:v>
      </x:c>
      <x:c r="AE82" t="str">
        <x:v>Deal 125% Strength weapon damage. If Armour is broken and Health is damaged, apply 2 Fracture stacks.</x:v>
      </x:c>
      <x:c r="AF82"/>
      <x:c r="AG82" t="str">
        <x:v>Highest direct Strength profile.</x:v>
      </x:c>
      <x:c r="AH82" t="str">
        <x:v>Weapon Skill 2 normally has a 1-turn cooldown; Fortify/Ward use 2 turns; dual Bastion/Aegis uses 3 turns.</x:v>
      </x:c>
    </x:row>
    <x:row r="83">
      <x:c r="A83" t="str">
        <x:v>WPN-079</x:v>
      </x:c>
      <x:c r="B83" t="str">
        <x:v>Greatbow</x:v>
      </x:c>
      <x:c r="C83" t="str">
        <x:v>Grey</x:v>
      </x:c>
      <x:c r="D83" t="str">
        <x:v>Weapon</x:v>
      </x:c>
      <x:c r="E83" t="str">
        <x:v>Greatbow</x:v>
      </x:c>
      <x:c r="F83" t="str">
        <x:v>2H</x:v>
      </x:c>
      <x:c r="G83" t="str">
        <x:v>Brute and Knight</x:v>
      </x:c>
      <x:c r="H83" t="str">
        <x:v>Physical Finesse</x:v>
      </x:c>
      <x:c r="I83" t="str">
        <x:v>Dexterity</x:v>
      </x:c>
      <x:c r="J83" t="n">
        <x:v>5</x:v>
      </x:c>
      <x:c r="K83" t="n">
        <x:v>8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str">
        <x:v>Piercing Flight</x:v>
      </x:c>
      <x:c r="Y83" t="n">
        <x:v>2</x:v>
      </x:c>
      <x:c r="Z83" t="n">
        <x:v>120</x:v>
      </x:c>
      <x:c r="AA83" t="str">
        <x:v>Raptor’s Draw</x:v>
      </x:c>
      <x:c r="AB83" t="n">
        <x:v>3</x:v>
      </x:c>
      <x:c r="AC83" t="n">
        <x:v>140</x:v>
      </x:c>
      <x:c r="AD83" t="n">
        <x:v>1</x:v>
      </x:c>
      <x:c r="AE83" t="str">
        <x:v>Deal 140% Finesse weapon damage with +10 Precision.</x:v>
      </x:c>
      <x:c r="AF83"/>
      <x:c r="AG83" t="str">
        <x:v>High ranged finesse damage.</x:v>
      </x:c>
      <x:c r="AH83" t="str">
        <x:v>Weapon Skill 2 normally has a 1-turn cooldown; Fortify/Ward use 2 turns; dual Bastion/Aegis uses 3 turns.</x:v>
      </x:c>
    </x:row>
    <x:row r="84">
      <x:c r="A84" t="str">
        <x:v>WPN-080</x:v>
      </x:c>
      <x:c r="B84" t="str">
        <x:v>Sturdy Greatbow</x:v>
      </x:c>
      <x:c r="C84" t="str">
        <x:v>Green</x:v>
      </x:c>
      <x:c r="D84" t="str">
        <x:v>Weapon</x:v>
      </x:c>
      <x:c r="E84" t="str">
        <x:v>Greatbow</x:v>
      </x:c>
      <x:c r="F84" t="str">
        <x:v>2H</x:v>
      </x:c>
      <x:c r="G84" t="str">
        <x:v>Brute and Knight</x:v>
      </x:c>
      <x:c r="H84" t="str">
        <x:v>Physical Finesse</x:v>
      </x:c>
      <x:c r="I84" t="str">
        <x:v>Dexterity</x:v>
      </x:c>
      <x:c r="J84" t="n">
        <x:v>6</x:v>
      </x:c>
      <x:c r="K84" t="n">
        <x:v>10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n">
        <x:v>0</x:v>
      </x:c>
      <x:c r="R84" t="n">
        <x:v>0</x:v>
      </x:c>
      <x:c r="S84" t="n">
        <x:v>0</x:v>
      </x:c>
      <x:c r="T84" t="n">
        <x:v>1</x:v>
      </x:c>
      <x:c r="U84" t="n">
        <x:v>0</x:v>
      </x:c>
      <x:c r="V84" t="n">
        <x:v>0</x:v>
      </x:c>
      <x:c r="W84" t="n">
        <x:v>0</x:v>
      </x:c>
      <x:c r="X84" t="str">
        <x:v>Piercing Flight</x:v>
      </x:c>
      <x:c r="Y84" t="n">
        <x:v>2</x:v>
      </x:c>
      <x:c r="Z84" t="n">
        <x:v>120</x:v>
      </x:c>
      <x:c r="AA84" t="str">
        <x:v>Raptor’s Draw</x:v>
      </x:c>
      <x:c r="AB84" t="n">
        <x:v>3</x:v>
      </x:c>
      <x:c r="AC84" t="n">
        <x:v>140</x:v>
      </x:c>
      <x:c r="AD84" t="n">
        <x:v>1</x:v>
      </x:c>
      <x:c r="AE84" t="str">
        <x:v>Deal 140% Finesse weapon damage with +10 Precision.</x:v>
      </x:c>
      <x:c r="AF84"/>
      <x:c r="AG84" t="str">
        <x:v>High ranged finesse damage.</x:v>
      </x:c>
      <x:c r="AH84" t="str">
        <x:v>Weapon Skill 2 normally has a 1-turn cooldown; Fortify/Ward use 2 turns; dual Bastion/Aegis uses 3 turns.</x:v>
      </x:c>
    </x:row>
    <x:row r="85">
      <x:c r="A85" t="str">
        <x:v>WPN-081</x:v>
      </x:c>
      <x:c r="B85" t="str">
        <x:v>Tempered Greatbow</x:v>
      </x:c>
      <x:c r="C85" t="str">
        <x:v>Blue</x:v>
      </x:c>
      <x:c r="D85" t="str">
        <x:v>Weapon</x:v>
      </x:c>
      <x:c r="E85" t="str">
        <x:v>Greatbow</x:v>
      </x:c>
      <x:c r="F85" t="str">
        <x:v>2H</x:v>
      </x:c>
      <x:c r="G85" t="str">
        <x:v>Brute and Knight</x:v>
      </x:c>
      <x:c r="H85" t="str">
        <x:v>Physical Finesse</x:v>
      </x:c>
      <x:c r="I85" t="str">
        <x:v>Dexterity</x:v>
      </x:c>
      <x:c r="J85" t="n">
        <x:v>8</x:v>
      </x:c>
      <x:c r="K85" t="n">
        <x:v>12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2</x:v>
      </x:c>
      <x:c r="Q85" t="n">
        <x:v>0</x:v>
      </x:c>
      <x:c r="R85" t="n">
        <x:v>0</x:v>
      </x:c>
      <x:c r="S85" t="n">
        <x:v>0</x:v>
      </x:c>
      <x:c r="T85" t="n">
        <x:v>1</x:v>
      </x:c>
      <x:c r="U85" t="n">
        <x:v>1</x:v>
      </x:c>
      <x:c r="V85" t="n">
        <x:v>0</x:v>
      </x:c>
      <x:c r="W85" t="n">
        <x:v>0</x:v>
      </x:c>
      <x:c r="X85" t="str">
        <x:v>Piercing Flight</x:v>
      </x:c>
      <x:c r="Y85" t="n">
        <x:v>2</x:v>
      </x:c>
      <x:c r="Z85" t="n">
        <x:v>120</x:v>
      </x:c>
      <x:c r="AA85" t="str">
        <x:v>Raptor’s Draw</x:v>
      </x:c>
      <x:c r="AB85" t="n">
        <x:v>3</x:v>
      </x:c>
      <x:c r="AC85" t="n">
        <x:v>140</x:v>
      </x:c>
      <x:c r="AD85" t="n">
        <x:v>1</x:v>
      </x:c>
      <x:c r="AE85" t="str">
        <x:v>Deal 140% Finesse weapon damage with +10 Precision.</x:v>
      </x:c>
      <x:c r="AF85"/>
      <x:c r="AG85" t="str">
        <x:v>High ranged finesse damage.</x:v>
      </x:c>
      <x:c r="AH85" t="str">
        <x:v>Weapon Skill 2 normally has a 1-turn cooldown; Fortify/Ward use 2 turns; dual Bastion/Aegis uses 3 turns.</x:v>
      </x:c>
    </x:row>
    <x:row r="86">
      <x:c r="A86" t="str">
        <x:v>WPN-082</x:v>
      </x:c>
      <x:c r="B86" t="str">
        <x:v>Masterwork Greatbow</x:v>
      </x:c>
      <x:c r="C86" t="str">
        <x:v>Purple</x:v>
      </x:c>
      <x:c r="D86" t="str">
        <x:v>Weapon</x:v>
      </x:c>
      <x:c r="E86" t="str">
        <x:v>Greatbow</x:v>
      </x:c>
      <x:c r="F86" t="str">
        <x:v>2H</x:v>
      </x:c>
      <x:c r="G86" t="str">
        <x:v>Brute and Knight</x:v>
      </x:c>
      <x:c r="H86" t="str">
        <x:v>Physical Finesse</x:v>
      </x:c>
      <x:c r="I86" t="str">
        <x:v>Dexterity</x:v>
      </x:c>
      <x:c r="J86" t="n">
        <x:v>10</x:v>
      </x:c>
      <x:c r="K86" t="n">
        <x:v>15</x:v>
      </x:c>
      <x:c r="L86" t="n">
        <x:v>0</x:v>
      </x:c>
      <x:c r="M86" t="n">
        <x:v>0</x:v>
      </x:c>
      <x:c r="N86" t="n">
        <x:v>1</x:v>
      </x:c>
      <x:c r="O86" t="n">
        <x:v>0</x:v>
      </x:c>
      <x:c r="P86" t="n">
        <x:v>3</x:v>
      </x:c>
      <x:c r="Q86" t="n">
        <x:v>0</x:v>
      </x:c>
      <x:c r="R86" t="n">
        <x:v>0</x:v>
      </x:c>
      <x:c r="S86" t="n">
        <x:v>0</x:v>
      </x:c>
      <x:c r="T86" t="n">
        <x:v>1</x:v>
      </x:c>
      <x:c r="U86" t="n">
        <x:v>2</x:v>
      </x:c>
      <x:c r="V86" t="n">
        <x:v>0</x:v>
      </x:c>
      <x:c r="W86" t="n">
        <x:v>0</x:v>
      </x:c>
      <x:c r="X86" t="str">
        <x:v>Piercing Flight</x:v>
      </x:c>
      <x:c r="Y86" t="n">
        <x:v>2</x:v>
      </x:c>
      <x:c r="Z86" t="n">
        <x:v>120</x:v>
      </x:c>
      <x:c r="AA86" t="str">
        <x:v>Raptor’s Draw</x:v>
      </x:c>
      <x:c r="AB86" t="n">
        <x:v>3</x:v>
      </x:c>
      <x:c r="AC86" t="n">
        <x:v>140</x:v>
      </x:c>
      <x:c r="AD86" t="n">
        <x:v>1</x:v>
      </x:c>
      <x:c r="AE86" t="str">
        <x:v>Deal 140% Finesse weapon damage with +10 Precision.</x:v>
      </x:c>
      <x:c r="AF86"/>
      <x:c r="AG86" t="str">
        <x:v>High ranged finesse damage.</x:v>
      </x:c>
      <x:c r="AH86" t="str">
        <x:v>Weapon Skill 2 normally has a 1-turn cooldown; Fortify/Ward use 2 turns; dual Bastion/Aegis uses 3 turns.</x:v>
      </x:c>
    </x:row>
    <x:row r="87">
      <x:c r="A87" t="str">
        <x:v>WPN-083</x:v>
      </x:c>
      <x:c r="B87" t="str">
        <x:v>Regal Greatbow</x:v>
      </x:c>
      <x:c r="C87" t="str">
        <x:v>Gold</x:v>
      </x:c>
      <x:c r="D87" t="str">
        <x:v>Weapon</x:v>
      </x:c>
      <x:c r="E87" t="str">
        <x:v>Greatbow</x:v>
      </x:c>
      <x:c r="F87" t="str">
        <x:v>2H</x:v>
      </x:c>
      <x:c r="G87" t="str">
        <x:v>Brute and Knight</x:v>
      </x:c>
      <x:c r="H87" t="str">
        <x:v>Physical Finesse</x:v>
      </x:c>
      <x:c r="I87" t="str">
        <x:v>Dexterity</x:v>
      </x:c>
      <x:c r="J87" t="n">
        <x:v>12</x:v>
      </x:c>
      <x:c r="K87" t="n">
        <x:v>18</x:v>
      </x:c>
      <x:c r="L87" t="n">
        <x:v>0</x:v>
      </x:c>
      <x:c r="M87" t="n">
        <x:v>0</x:v>
      </x:c>
      <x:c r="N87" t="n">
        <x:v>1</x:v>
      </x:c>
      <x:c r="O87" t="n">
        <x:v>0</x:v>
      </x:c>
      <x:c r="P87" t="n">
        <x:v>4</x:v>
      </x:c>
      <x:c r="Q87" t="n">
        <x:v>0</x:v>
      </x:c>
      <x:c r="R87" t="n">
        <x:v>0</x:v>
      </x:c>
      <x:c r="S87" t="n">
        <x:v>0</x:v>
      </x:c>
      <x:c r="T87" t="n">
        <x:v>2</x:v>
      </x:c>
      <x:c r="U87" t="n">
        <x:v>3</x:v>
      </x:c>
      <x:c r="V87" t="n">
        <x:v>0</x:v>
      </x:c>
      <x:c r="W87" t="n">
        <x:v>0</x:v>
      </x:c>
      <x:c r="X87" t="str">
        <x:v>Piercing Flight</x:v>
      </x:c>
      <x:c r="Y87" t="n">
        <x:v>2</x:v>
      </x:c>
      <x:c r="Z87" t="n">
        <x:v>120</x:v>
      </x:c>
      <x:c r="AA87" t="str">
        <x:v>Raptor’s Draw</x:v>
      </x:c>
      <x:c r="AB87" t="n">
        <x:v>3</x:v>
      </x:c>
      <x:c r="AC87" t="n">
        <x:v>140</x:v>
      </x:c>
      <x:c r="AD87" t="n">
        <x:v>1</x:v>
      </x:c>
      <x:c r="AE87" t="str">
        <x:v>Deal 140% Finesse weapon damage with +10 Precision.</x:v>
      </x:c>
      <x:c r="AF87"/>
      <x:c r="AG87" t="str">
        <x:v>High ranged finesse damage.</x:v>
      </x:c>
      <x:c r="AH87" t="str">
        <x:v>Weapon Skill 2 normally has a 1-turn cooldown; Fortify/Ward use 2 turns; dual Bastion/Aegis uses 3 turns.</x:v>
      </x:c>
    </x:row>
    <x:row r="88">
      <x:c r="A88" t="str">
        <x:v>WPN-084</x:v>
      </x:c>
      <x:c r="B88" t="str">
        <x:v>Mythic Greatbow</x:v>
      </x:c>
      <x:c r="C88" t="str">
        <x:v>Orange</x:v>
      </x:c>
      <x:c r="D88" t="str">
        <x:v>Weapon</x:v>
      </x:c>
      <x:c r="E88" t="str">
        <x:v>Greatbow</x:v>
      </x:c>
      <x:c r="F88" t="str">
        <x:v>2H</x:v>
      </x:c>
      <x:c r="G88" t="str">
        <x:v>Brute and Knight</x:v>
      </x:c>
      <x:c r="H88" t="str">
        <x:v>Physical Finesse</x:v>
      </x:c>
      <x:c r="I88" t="str">
        <x:v>Dexterity</x:v>
      </x:c>
      <x:c r="J88" t="n">
        <x:v>14</x:v>
      </x:c>
      <x:c r="K88" t="n">
        <x:v>22</x:v>
      </x:c>
      <x:c r="L88" t="n">
        <x:v>0</x:v>
      </x:c>
      <x:c r="M88" t="n">
        <x:v>0</x:v>
      </x:c>
      <x:c r="N88" t="n">
        <x:v>2</x:v>
      </x:c>
      <x:c r="O88" t="n">
        <x:v>0</x:v>
      </x:c>
      <x:c r="P88" t="n">
        <x:v>5</x:v>
      </x:c>
      <x:c r="Q88" t="n">
        <x:v>0</x:v>
      </x:c>
      <x:c r="R88" t="n">
        <x:v>0</x:v>
      </x:c>
      <x:c r="S88" t="n">
        <x:v>0</x:v>
      </x:c>
      <x:c r="T88" t="n">
        <x:v>2</x:v>
      </x:c>
      <x:c r="U88" t="n">
        <x:v>4</x:v>
      </x:c>
      <x:c r="V88" t="n">
        <x:v>0</x:v>
      </x:c>
      <x:c r="W88" t="n">
        <x:v>0</x:v>
      </x:c>
      <x:c r="X88" t="str">
        <x:v>Piercing Flight</x:v>
      </x:c>
      <x:c r="Y88" t="n">
        <x:v>2</x:v>
      </x:c>
      <x:c r="Z88" t="n">
        <x:v>120</x:v>
      </x:c>
      <x:c r="AA88" t="str">
        <x:v>Raptor’s Draw</x:v>
      </x:c>
      <x:c r="AB88" t="n">
        <x:v>3</x:v>
      </x:c>
      <x:c r="AC88" t="n">
        <x:v>140</x:v>
      </x:c>
      <x:c r="AD88" t="n">
        <x:v>1</x:v>
      </x:c>
      <x:c r="AE88" t="str">
        <x:v>Deal 140% Finesse weapon damage with +10 Precision.</x:v>
      </x:c>
      <x:c r="AF88"/>
      <x:c r="AG88" t="str">
        <x:v>High ranged finesse damage.</x:v>
      </x:c>
      <x:c r="AH88" t="str">
        <x:v>Weapon Skill 2 normally has a 1-turn cooldown; Fortify/Ward use 2 turns; dual Bastion/Aegis uses 3 turns.</x:v>
      </x:c>
    </x:row>
    <x:row r="89">
      <x:c r="A89" t="str">
        <x:v>WPN-085</x:v>
      </x:c>
      <x:c r="B89" t="str">
        <x:v>War Scythe</x:v>
      </x:c>
      <x:c r="C89" t="str">
        <x:v>Grey</x:v>
      </x:c>
      <x:c r="D89" t="str">
        <x:v>Weapon</x:v>
      </x:c>
      <x:c r="E89" t="str">
        <x:v>War Scythe</x:v>
      </x:c>
      <x:c r="F89" t="str">
        <x:v>2H</x:v>
      </x:c>
      <x:c r="G89" t="str">
        <x:v>Inquisitor and Brute</x:v>
      </x:c>
      <x:c r="H89" t="str">
        <x:v>Physical Strength</x:v>
      </x:c>
      <x:c r="I89" t="str">
        <x:v>Might</x:v>
      </x:c>
      <x:c r="J89" t="n">
        <x:v>5</x:v>
      </x:c>
      <x:c r="K89" t="n">
        <x:v>7</x:v>
      </x:c>
      <x:c r="L89" t="n">
        <x:v>0</x:v>
      </x:c>
      <x:c r="M89" t="n">
        <x:v>0</x:v>
      </x:c>
      <x:c r="N89" t="n">
        <x:v>0</x:v>
      </x:c>
      <x:c r="O89" t="n">
        <x:v>1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str">
        <x:v>Reaping Arc</x:v>
      </x:c>
      <x:c r="Y89" t="n">
        <x:v>2</x:v>
      </x:c>
      <x:c r="Z89" t="n">
        <x:v>100</x:v>
      </x:c>
      <x:c r="AA89" t="str">
        <x:v>Death’s Harvest</x:v>
      </x:c>
      <x:c r="AB89" t="n">
        <x:v>3</x:v>
      </x:c>
      <x:c r="AC89" t="n">
        <x:v>125</x:v>
      </x:c>
      <x:c r="AD89" t="n">
        <x:v>1</x:v>
      </x:c>
      <x:c r="AE89" t="str">
        <x:v>Deal 125% Strength weapon damage. Gain +20 Skill Power if the target is below 30% Health.</x:v>
      </x:c>
      <x:c r="AF89"/>
      <x:c r="AG89" t="str">
        <x:v>Execution and recovery identity.</x:v>
      </x:c>
      <x:c r="AH89" t="str">
        <x:v>Weapon Skill 2 normally has a 1-turn cooldown; Fortify/Ward use 2 turns; dual Bastion/Aegis uses 3 turns.</x:v>
      </x:c>
    </x:row>
    <x:row r="90">
      <x:c r="A90" t="str">
        <x:v>WPN-086</x:v>
      </x:c>
      <x:c r="B90" t="str">
        <x:v>Sturdy War Scythe</x:v>
      </x:c>
      <x:c r="C90" t="str">
        <x:v>Green</x:v>
      </x:c>
      <x:c r="D90" t="str">
        <x:v>Weapon</x:v>
      </x:c>
      <x:c r="E90" t="str">
        <x:v>War Scythe</x:v>
      </x:c>
      <x:c r="F90" t="str">
        <x:v>2H</x:v>
      </x:c>
      <x:c r="G90" t="str">
        <x:v>Inquisitor and Brute</x:v>
      </x:c>
      <x:c r="H90" t="str">
        <x:v>Physical Strength</x:v>
      </x:c>
      <x:c r="I90" t="str">
        <x:v>Might</x:v>
      </x:c>
      <x:c r="J90" t="n">
        <x:v>6</x:v>
      </x:c>
      <x:c r="K90" t="n">
        <x:v>9</x:v>
      </x:c>
      <x:c r="L90" t="n">
        <x:v>0</x:v>
      </x:c>
      <x:c r="M90" t="n">
        <x:v>0</x:v>
      </x:c>
      <x:c r="N90" t="n">
        <x:v>1</x:v>
      </x:c>
      <x:c r="O90" t="n">
        <x:v>1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str">
        <x:v>Reaping Arc</x:v>
      </x:c>
      <x:c r="Y90" t="n">
        <x:v>2</x:v>
      </x:c>
      <x:c r="Z90" t="n">
        <x:v>100</x:v>
      </x:c>
      <x:c r="AA90" t="str">
        <x:v>Death’s Harvest</x:v>
      </x:c>
      <x:c r="AB90" t="n">
        <x:v>3</x:v>
      </x:c>
      <x:c r="AC90" t="n">
        <x:v>125</x:v>
      </x:c>
      <x:c r="AD90" t="n">
        <x:v>1</x:v>
      </x:c>
      <x:c r="AE90" t="str">
        <x:v>Deal 125% Strength weapon damage. Gain +20 Skill Power if the target is below 30% Health.</x:v>
      </x:c>
      <x:c r="AF90"/>
      <x:c r="AG90" t="str">
        <x:v>Execution and recovery identity.</x:v>
      </x:c>
      <x:c r="AH90" t="str">
        <x:v>Weapon Skill 2 normally has a 1-turn cooldown; Fortify/Ward use 2 turns; dual Bastion/Aegis uses 3 turns.</x:v>
      </x:c>
    </x:row>
    <x:row r="91">
      <x:c r="A91" t="str">
        <x:v>WPN-087</x:v>
      </x:c>
      <x:c r="B91" t="str">
        <x:v>Tempered War Scythe</x:v>
      </x:c>
      <x:c r="C91" t="str">
        <x:v>Blue</x:v>
      </x:c>
      <x:c r="D91" t="str">
        <x:v>Weapon</x:v>
      </x:c>
      <x:c r="E91" t="str">
        <x:v>War Scythe</x:v>
      </x:c>
      <x:c r="F91" t="str">
        <x:v>2H</x:v>
      </x:c>
      <x:c r="G91" t="str">
        <x:v>Inquisitor and Brute</x:v>
      </x:c>
      <x:c r="H91" t="str">
        <x:v>Physical Strength</x:v>
      </x:c>
      <x:c r="I91" t="str">
        <x:v>Might</x:v>
      </x:c>
      <x:c r="J91" t="n">
        <x:v>8</x:v>
      </x:c>
      <x:c r="K91" t="n">
        <x:v>11</x:v>
      </x:c>
      <x:c r="L91" t="n">
        <x:v>0</x:v>
      </x:c>
      <x:c r="M91" t="n">
        <x:v>0</x:v>
      </x:c>
      <x:c r="N91" t="n">
        <x:v>1</x:v>
      </x:c>
      <x:c r="O91" t="n">
        <x:v>2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str">
        <x:v>Reaping Arc</x:v>
      </x:c>
      <x:c r="Y91" t="n">
        <x:v>2</x:v>
      </x:c>
      <x:c r="Z91" t="n">
        <x:v>100</x:v>
      </x:c>
      <x:c r="AA91" t="str">
        <x:v>Death’s Harvest</x:v>
      </x:c>
      <x:c r="AB91" t="n">
        <x:v>3</x:v>
      </x:c>
      <x:c r="AC91" t="n">
        <x:v>125</x:v>
      </x:c>
      <x:c r="AD91" t="n">
        <x:v>1</x:v>
      </x:c>
      <x:c r="AE91" t="str">
        <x:v>Deal 125% Strength weapon damage. Gain +20 Skill Power if the target is below 30% Health.</x:v>
      </x:c>
      <x:c r="AF91"/>
      <x:c r="AG91" t="str">
        <x:v>Execution and recovery identity.</x:v>
      </x:c>
      <x:c r="AH91" t="str">
        <x:v>Weapon Skill 2 normally has a 1-turn cooldown; Fortify/Ward use 2 turns; dual Bastion/Aegis uses 3 turns.</x:v>
      </x:c>
    </x:row>
    <x:row r="92">
      <x:c r="A92" t="str">
        <x:v>WPN-088</x:v>
      </x:c>
      <x:c r="B92" t="str">
        <x:v>Masterwork War Scythe</x:v>
      </x:c>
      <x:c r="C92" t="str">
        <x:v>Purple</x:v>
      </x:c>
      <x:c r="D92" t="str">
        <x:v>Weapon</x:v>
      </x:c>
      <x:c r="E92" t="str">
        <x:v>War Scythe</x:v>
      </x:c>
      <x:c r="F92" t="str">
        <x:v>2H</x:v>
      </x:c>
      <x:c r="G92" t="str">
        <x:v>Inquisitor and Brute</x:v>
      </x:c>
      <x:c r="H92" t="str">
        <x:v>Physical Strength</x:v>
      </x:c>
      <x:c r="I92" t="str">
        <x:v>Might</x:v>
      </x:c>
      <x:c r="J92" t="n">
        <x:v>10</x:v>
      </x:c>
      <x:c r="K92" t="n">
        <x:v>13</x:v>
      </x:c>
      <x:c r="L92" t="n">
        <x:v>0</x:v>
      </x:c>
      <x:c r="M92" t="n">
        <x:v>0</x:v>
      </x:c>
      <x:c r="N92" t="n">
        <x:v>1</x:v>
      </x:c>
      <x:c r="O92" t="n">
        <x:v>3</x:v>
      </x:c>
      <x:c r="P92" t="n">
        <x:v>0</x:v>
      </x:c>
      <x:c r="Q92" t="n">
        <x:v>1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1</x:v>
      </x:c>
      <x:c r="W92" t="n">
        <x:v>0</x:v>
      </x:c>
      <x:c r="X92" t="str">
        <x:v>Reaping Arc</x:v>
      </x:c>
      <x:c r="Y92" t="n">
        <x:v>2</x:v>
      </x:c>
      <x:c r="Z92" t="n">
        <x:v>100</x:v>
      </x:c>
      <x:c r="AA92" t="str">
        <x:v>Death’s Harvest</x:v>
      </x:c>
      <x:c r="AB92" t="n">
        <x:v>3</x:v>
      </x:c>
      <x:c r="AC92" t="n">
        <x:v>125</x:v>
      </x:c>
      <x:c r="AD92" t="n">
        <x:v>1</x:v>
      </x:c>
      <x:c r="AE92" t="str">
        <x:v>Deal 125% Strength weapon damage. Gain +20 Skill Power if the target is below 30% Health.</x:v>
      </x:c>
      <x:c r="AF92"/>
      <x:c r="AG92" t="str">
        <x:v>Execution and recovery identity.</x:v>
      </x:c>
      <x:c r="AH92" t="str">
        <x:v>Weapon Skill 2 normally has a 1-turn cooldown; Fortify/Ward use 2 turns; dual Bastion/Aegis uses 3 turns.</x:v>
      </x:c>
    </x:row>
    <x:row r="93">
      <x:c r="A93" t="str">
        <x:v>WPN-089</x:v>
      </x:c>
      <x:c r="B93" t="str">
        <x:v>Regal War Scythe</x:v>
      </x:c>
      <x:c r="C93" t="str">
        <x:v>Gold</x:v>
      </x:c>
      <x:c r="D93" t="str">
        <x:v>Weapon</x:v>
      </x:c>
      <x:c r="E93" t="str">
        <x:v>War Scythe</x:v>
      </x:c>
      <x:c r="F93" t="str">
        <x:v>2H</x:v>
      </x:c>
      <x:c r="G93" t="str">
        <x:v>Inquisitor and Brute</x:v>
      </x:c>
      <x:c r="H93" t="str">
        <x:v>Physical Strength</x:v>
      </x:c>
      <x:c r="I93" t="str">
        <x:v>Might</x:v>
      </x:c>
      <x:c r="J93" t="n">
        <x:v>12</x:v>
      </x:c>
      <x:c r="K93" t="n">
        <x:v>16</x:v>
      </x:c>
      <x:c r="L93" t="n">
        <x:v>0</x:v>
      </x:c>
      <x:c r="M93" t="n">
        <x:v>0</x:v>
      </x:c>
      <x:c r="N93" t="n">
        <x:v>2</x:v>
      </x:c>
      <x:c r="O93" t="n">
        <x:v>4</x:v>
      </x:c>
      <x:c r="P93" t="n">
        <x:v>0</x:v>
      </x:c>
      <x:c r="Q93" t="n">
        <x:v>1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2</x:v>
      </x:c>
      <x:c r="W93" t="n">
        <x:v>0</x:v>
      </x:c>
      <x:c r="X93" t="str">
        <x:v>Reaping Arc</x:v>
      </x:c>
      <x:c r="Y93" t="n">
        <x:v>2</x:v>
      </x:c>
      <x:c r="Z93" t="n">
        <x:v>100</x:v>
      </x:c>
      <x:c r="AA93" t="str">
        <x:v>Death’s Harvest</x:v>
      </x:c>
      <x:c r="AB93" t="n">
        <x:v>3</x:v>
      </x:c>
      <x:c r="AC93" t="n">
        <x:v>125</x:v>
      </x:c>
      <x:c r="AD93" t="n">
        <x:v>1</x:v>
      </x:c>
      <x:c r="AE93" t="str">
        <x:v>Deal 125% Strength weapon damage. Gain +20 Skill Power if the target is below 30% Health.</x:v>
      </x:c>
      <x:c r="AF93"/>
      <x:c r="AG93" t="str">
        <x:v>Execution and recovery identity.</x:v>
      </x:c>
      <x:c r="AH93" t="str">
        <x:v>Weapon Skill 2 normally has a 1-turn cooldown; Fortify/Ward use 2 turns; dual Bastion/Aegis uses 3 turns.</x:v>
      </x:c>
    </x:row>
    <x:row r="94">
      <x:c r="A94" t="str">
        <x:v>WPN-090</x:v>
      </x:c>
      <x:c r="B94" t="str">
        <x:v>Mythic War Scythe</x:v>
      </x:c>
      <x:c r="C94" t="str">
        <x:v>Orange</x:v>
      </x:c>
      <x:c r="D94" t="str">
        <x:v>Weapon</x:v>
      </x:c>
      <x:c r="E94" t="str">
        <x:v>War Scythe</x:v>
      </x:c>
      <x:c r="F94" t="str">
        <x:v>2H</x:v>
      </x:c>
      <x:c r="G94" t="str">
        <x:v>Inquisitor and Brute</x:v>
      </x:c>
      <x:c r="H94" t="str">
        <x:v>Physical Strength</x:v>
      </x:c>
      <x:c r="I94" t="str">
        <x:v>Might</x:v>
      </x:c>
      <x:c r="J94" t="n">
        <x:v>14</x:v>
      </x:c>
      <x:c r="K94" t="n">
        <x:v>19</x:v>
      </x:c>
      <x:c r="L94" t="n">
        <x:v>0</x:v>
      </x:c>
      <x:c r="M94" t="n">
        <x:v>0</x:v>
      </x:c>
      <x:c r="N94" t="n">
        <x:v>2</x:v>
      </x:c>
      <x:c r="O94" t="n">
        <x:v>5</x:v>
      </x:c>
      <x:c r="P94" t="n">
        <x:v>0</x:v>
      </x:c>
      <x:c r="Q94" t="n">
        <x:v>2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3</x:v>
      </x:c>
      <x:c r="W94" t="n">
        <x:v>0</x:v>
      </x:c>
      <x:c r="X94" t="str">
        <x:v>Reaping Arc</x:v>
      </x:c>
      <x:c r="Y94" t="n">
        <x:v>2</x:v>
      </x:c>
      <x:c r="Z94" t="n">
        <x:v>100</x:v>
      </x:c>
      <x:c r="AA94" t="str">
        <x:v>Death’s Harvest</x:v>
      </x:c>
      <x:c r="AB94" t="n">
        <x:v>3</x:v>
      </x:c>
      <x:c r="AC94" t="n">
        <x:v>125</x:v>
      </x:c>
      <x:c r="AD94" t="n">
        <x:v>1</x:v>
      </x:c>
      <x:c r="AE94" t="str">
        <x:v>Deal 125% Strength weapon damage. Gain +20 Skill Power if the target is below 30% Health.</x:v>
      </x:c>
      <x:c r="AF94"/>
      <x:c r="AG94" t="str">
        <x:v>Execution and recovery identity.</x:v>
      </x:c>
      <x:c r="AH94" t="str">
        <x:v>Weapon Skill 2 normally has a 1-turn cooldown; Fortify/Ward use 2 turns; dual Bastion/Aegis uses 3 turns.</x:v>
      </x:c>
    </x:row>
    <x:row r="95">
      <x:c r="A95" t="str">
        <x:v>WPN-091</x:v>
      </x:c>
      <x:c r="B95" t="str">
        <x:v>Runic Grimoire</x:v>
      </x:c>
      <x:c r="C95" t="str">
        <x:v>Grey</x:v>
      </x:c>
      <x:c r="D95" t="str">
        <x:v>Weapon</x:v>
      </x:c>
      <x:c r="E95" t="str">
        <x:v>Runic Grimoire</x:v>
      </x:c>
      <x:c r="F95" t="str">
        <x:v>2H</x:v>
      </x:c>
      <x:c r="G95" t="str">
        <x:v>Mage and Siren</x:v>
      </x:c>
      <x:c r="H95" t="str">
        <x:v>Magical</x:v>
      </x:c>
      <x:c r="I95" t="str">
        <x:v>Focus</x:v>
      </x:c>
      <x:c r="J95" t="n">
        <x:v>3</x:v>
      </x:c>
      <x:c r="K95" t="n">
        <x:v>5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1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str">
        <x:v>Inscribed Burst</x:v>
      </x:c>
      <x:c r="Y95" t="n">
        <x:v>2</x:v>
      </x:c>
      <x:c r="Z95" t="n">
        <x:v>100</x:v>
      </x:c>
      <x:c r="AA95" t="str">
        <x:v>Runic Bastion</x:v>
      </x:c>
      <x:c r="AB95" t="n">
        <x:v>3</x:v>
      </x:c>
      <x:c r="AC95" t="n">
        <x:v>0</x:v>
      </x:c>
      <x:c r="AD95" t="n">
        <x:v>3</x:v>
      </x:c>
      <x:c r="AE95" t="str">
        <x:v>Gain 5 Fortified Armour (add 5 to current Armour and temporary Maximum Armour) and 7 Ward Magic Armour (add 7 to current Magic Armour and temporary Maximum Magic Armour) for 2 turns.</x:v>
      </x:c>
      <x:c r="AF95"/>
      <x:c r="AG95" t="str">
        <x:v>Spell utility and named runes.</x:v>
      </x:c>
      <x:c r="AH95" t="str">
        <x:v>Weapon Skill 2 normally has a 1-turn cooldown; Fortify/Ward use 2 turns; dual Bastion/Aegis uses 3 turns.</x:v>
      </x:c>
    </x:row>
    <x:row r="96">
      <x:c r="A96" t="str">
        <x:v>WPN-092</x:v>
      </x:c>
      <x:c r="B96" t="str">
        <x:v>Sturdy Runic Grimoire</x:v>
      </x:c>
      <x:c r="C96" t="str">
        <x:v>Green</x:v>
      </x:c>
      <x:c r="D96" t="str">
        <x:v>Weapon</x:v>
      </x:c>
      <x:c r="E96" t="str">
        <x:v>Runic Grimoire</x:v>
      </x:c>
      <x:c r="F96" t="str">
        <x:v>2H</x:v>
      </x:c>
      <x:c r="G96" t="str">
        <x:v>Mage and Siren</x:v>
      </x:c>
      <x:c r="H96" t="str">
        <x:v>Magical</x:v>
      </x:c>
      <x:c r="I96" t="str">
        <x:v>Focus</x:v>
      </x:c>
      <x:c r="J96" t="n">
        <x:v>4</x:v>
      </x:c>
      <x:c r="K96" t="n">
        <x:v>6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1</x:v>
      </x:c>
      <x:c r="S96" t="n">
        <x:v>1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str">
        <x:v>Inscribed Burst</x:v>
      </x:c>
      <x:c r="Y96" t="n">
        <x:v>2</x:v>
      </x:c>
      <x:c r="Z96" t="n">
        <x:v>100</x:v>
      </x:c>
      <x:c r="AA96" t="str">
        <x:v>Runic Bastion</x:v>
      </x:c>
      <x:c r="AB96" t="n">
        <x:v>3</x:v>
      </x:c>
      <x:c r="AC96" t="n">
        <x:v>0</x:v>
      </x:c>
      <x:c r="AD96" t="n">
        <x:v>3</x:v>
      </x:c>
      <x:c r="AE96" t="str">
        <x:v>Gain 5 Fortified Armour (add 5 to current Armour and temporary Maximum Armour) and 7 Ward Magic Armour (add 7 to current Magic Armour and temporary Maximum Magic Armour) for 2 turns.</x:v>
      </x:c>
      <x:c r="AF96"/>
      <x:c r="AG96" t="str">
        <x:v>Spell utility and named runes.</x:v>
      </x:c>
      <x:c r="AH96" t="str">
        <x:v>Weapon Skill 2 normally has a 1-turn cooldown; Fortify/Ward use 2 turns; dual Bastion/Aegis uses 3 turns.</x:v>
      </x:c>
    </x:row>
    <x:row r="97">
      <x:c r="A97" t="str">
        <x:v>WPN-093</x:v>
      </x:c>
      <x:c r="B97" t="str">
        <x:v>Tempered Runic Grimoire</x:v>
      </x:c>
      <x:c r="C97" t="str">
        <x:v>Blue</x:v>
      </x:c>
      <x:c r="D97" t="str">
        <x:v>Weapon</x:v>
      </x:c>
      <x:c r="E97" t="str">
        <x:v>Runic Grimoire</x:v>
      </x:c>
      <x:c r="F97" t="str">
        <x:v>2H</x:v>
      </x:c>
      <x:c r="G97" t="str">
        <x:v>Mage and Siren</x:v>
      </x:c>
      <x:c r="H97" t="str">
        <x:v>Magical</x:v>
      </x:c>
      <x:c r="I97" t="str">
        <x:v>Focus</x:v>
      </x:c>
      <x:c r="J97" t="n">
        <x:v>5</x:v>
      </x:c>
      <x:c r="K97" t="n">
        <x:v>8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2</x:v>
      </x:c>
      <x:c r="S97" t="n">
        <x:v>1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str">
        <x:v>Inscribed Burst</x:v>
      </x:c>
      <x:c r="Y97" t="n">
        <x:v>2</x:v>
      </x:c>
      <x:c r="Z97" t="n">
        <x:v>100</x:v>
      </x:c>
      <x:c r="AA97" t="str">
        <x:v>Runic Bastion</x:v>
      </x:c>
      <x:c r="AB97" t="n">
        <x:v>3</x:v>
      </x:c>
      <x:c r="AC97" t="n">
        <x:v>0</x:v>
      </x:c>
      <x:c r="AD97" t="n">
        <x:v>3</x:v>
      </x:c>
      <x:c r="AE97" t="str">
        <x:v>Gain 5 Fortified Armour (add 5 to current Armour and temporary Maximum Armour) and 7 Ward Magic Armour (add 7 to current Magic Armour and temporary Maximum Magic Armour) for 2 turns.</x:v>
      </x:c>
      <x:c r="AF97"/>
      <x:c r="AG97" t="str">
        <x:v>Spell utility and named runes.</x:v>
      </x:c>
      <x:c r="AH97" t="str">
        <x:v>Weapon Skill 2 normally has a 1-turn cooldown; Fortify/Ward use 2 turns; dual Bastion/Aegis uses 3 turns.</x:v>
      </x:c>
    </x:row>
    <x:row r="98">
      <x:c r="A98" t="str">
        <x:v>WPN-094</x:v>
      </x:c>
      <x:c r="B98" t="str">
        <x:v>Masterwork Runic Grimoire</x:v>
      </x:c>
      <x:c r="C98" t="str">
        <x:v>Purple</x:v>
      </x:c>
      <x:c r="D98" t="str">
        <x:v>Weapon</x:v>
      </x:c>
      <x:c r="E98" t="str">
        <x:v>Runic Grimoire</x:v>
      </x:c>
      <x:c r="F98" t="str">
        <x:v>2H</x:v>
      </x:c>
      <x:c r="G98" t="str">
        <x:v>Mage and Siren</x:v>
      </x:c>
      <x:c r="H98" t="str">
        <x:v>Magical</x:v>
      </x:c>
      <x:c r="I98" t="str">
        <x:v>Focus</x:v>
      </x:c>
      <x:c r="J98" t="n">
        <x:v>6</x:v>
      </x:c>
      <x:c r="K98" t="n">
        <x:v>10</x:v>
      </x:c>
      <x:c r="L98" t="n">
        <x:v>0</x:v>
      </x:c>
      <x:c r="M98" t="n">
        <x:v>0</x:v>
      </x:c>
      <x:c r="N98" t="n">
        <x:v>1</x:v>
      </x:c>
      <x:c r="O98" t="n">
        <x:v>0</x:v>
      </x:c>
      <x:c r="P98" t="n">
        <x:v>0</x:v>
      </x:c>
      <x:c r="Q98" t="n">
        <x:v>0</x:v>
      </x:c>
      <x:c r="R98" t="n">
        <x:v>3</x:v>
      </x:c>
      <x:c r="S98" t="n">
        <x:v>1</x:v>
      </x:c>
      <x:c r="T98" t="n">
        <x:v>0</x:v>
      </x:c>
      <x:c r="U98" t="n">
        <x:v>0</x:v>
      </x:c>
      <x:c r="V98" t="n">
        <x:v>0</x:v>
      </x:c>
      <x:c r="W98" t="n">
        <x:v>1</x:v>
      </x:c>
      <x:c r="X98" t="str">
        <x:v>Inscribed Burst</x:v>
      </x:c>
      <x:c r="Y98" t="n">
        <x:v>2</x:v>
      </x:c>
      <x:c r="Z98" t="n">
        <x:v>100</x:v>
      </x:c>
      <x:c r="AA98" t="str">
        <x:v>Runic Bastion</x:v>
      </x:c>
      <x:c r="AB98" t="n">
        <x:v>3</x:v>
      </x:c>
      <x:c r="AC98" t="n">
        <x:v>0</x:v>
      </x:c>
      <x:c r="AD98" t="n">
        <x:v>3</x:v>
      </x:c>
      <x:c r="AE98" t="str">
        <x:v>Gain 5 Fortified Armour (add 5 to current Armour and temporary Maximum Armour) and 7 Ward Magic Armour (add 7 to current Magic Armour and temporary Maximum Magic Armour) for 2 turns.</x:v>
      </x:c>
      <x:c r="AF98"/>
      <x:c r="AG98" t="str">
        <x:v>Spell utility and named runes.</x:v>
      </x:c>
      <x:c r="AH98" t="str">
        <x:v>Weapon Skill 2 normally has a 1-turn cooldown; Fortify/Ward use 2 turns; dual Bastion/Aegis uses 3 turns.</x:v>
      </x:c>
    </x:row>
    <x:row r="99">
      <x:c r="A99" t="str">
        <x:v>WPN-095</x:v>
      </x:c>
      <x:c r="B99" t="str">
        <x:v>Regal Runic Grimoire</x:v>
      </x:c>
      <x:c r="C99" t="str">
        <x:v>Gold</x:v>
      </x:c>
      <x:c r="D99" t="str">
        <x:v>Weapon</x:v>
      </x:c>
      <x:c r="E99" t="str">
        <x:v>Runic Grimoire</x:v>
      </x:c>
      <x:c r="F99" t="str">
        <x:v>2H</x:v>
      </x:c>
      <x:c r="G99" t="str">
        <x:v>Mage and Siren</x:v>
      </x:c>
      <x:c r="H99" t="str">
        <x:v>Magical</x:v>
      </x:c>
      <x:c r="I99" t="str">
        <x:v>Focus</x:v>
      </x:c>
      <x:c r="J99" t="n">
        <x:v>7</x:v>
      </x:c>
      <x:c r="K99" t="n">
        <x:v>12</x:v>
      </x:c>
      <x:c r="L99" t="n">
        <x:v>0</x:v>
      </x:c>
      <x:c r="M99" t="n">
        <x:v>0</x:v>
      </x:c>
      <x:c r="N99" t="n">
        <x:v>1</x:v>
      </x:c>
      <x:c r="O99" t="n">
        <x:v>0</x:v>
      </x:c>
      <x:c r="P99" t="n">
        <x:v>0</x:v>
      </x:c>
      <x:c r="Q99" t="n">
        <x:v>0</x:v>
      </x:c>
      <x:c r="R99" t="n">
        <x:v>4</x:v>
      </x:c>
      <x:c r="S99" t="n">
        <x:v>2</x:v>
      </x:c>
      <x:c r="T99" t="n">
        <x:v>0</x:v>
      </x:c>
      <x:c r="U99" t="n">
        <x:v>0</x:v>
      </x:c>
      <x:c r="V99" t="n">
        <x:v>0</x:v>
      </x:c>
      <x:c r="W99" t="n">
        <x:v>2</x:v>
      </x:c>
      <x:c r="X99" t="str">
        <x:v>Inscribed Burst</x:v>
      </x:c>
      <x:c r="Y99" t="n">
        <x:v>2</x:v>
      </x:c>
      <x:c r="Z99" t="n">
        <x:v>100</x:v>
      </x:c>
      <x:c r="AA99" t="str">
        <x:v>Runic Bastion</x:v>
      </x:c>
      <x:c r="AB99" t="n">
        <x:v>3</x:v>
      </x:c>
      <x:c r="AC99" t="n">
        <x:v>0</x:v>
      </x:c>
      <x:c r="AD99" t="n">
        <x:v>3</x:v>
      </x:c>
      <x:c r="AE99" t="str">
        <x:v>Gain 5 Fortified Armour (add 5 to current Armour and temporary Maximum Armour) and 7 Ward Magic Armour (add 7 to current Magic Armour and temporary Maximum Magic Armour) for 2 turns.</x:v>
      </x:c>
      <x:c r="AF99"/>
      <x:c r="AG99" t="str">
        <x:v>Spell utility and named runes.</x:v>
      </x:c>
      <x:c r="AH99" t="str">
        <x:v>Weapon Skill 2 normally has a 1-turn cooldown; Fortify/Ward use 2 turns; dual Bastion/Aegis uses 3 turns.</x:v>
      </x:c>
    </x:row>
    <x:row r="100">
      <x:c r="A100" t="str">
        <x:v>WPN-096</x:v>
      </x:c>
      <x:c r="B100" t="str">
        <x:v>Mythic Runic Grimoire</x:v>
      </x:c>
      <x:c r="C100" t="str">
        <x:v>Orange</x:v>
      </x:c>
      <x:c r="D100" t="str">
        <x:v>Weapon</x:v>
      </x:c>
      <x:c r="E100" t="str">
        <x:v>Runic Grimoire</x:v>
      </x:c>
      <x:c r="F100" t="str">
        <x:v>2H</x:v>
      </x:c>
      <x:c r="G100" t="str">
        <x:v>Mage and Siren</x:v>
      </x:c>
      <x:c r="H100" t="str">
        <x:v>Magical</x:v>
      </x:c>
      <x:c r="I100" t="str">
        <x:v>Focus</x:v>
      </x:c>
      <x:c r="J100" t="n">
        <x:v>8</x:v>
      </x:c>
      <x:c r="K100" t="n">
        <x:v>14</x:v>
      </x:c>
      <x:c r="L100" t="n">
        <x:v>0</x:v>
      </x:c>
      <x:c r="M100" t="n">
        <x:v>0</x:v>
      </x:c>
      <x:c r="N100" t="n">
        <x:v>2</x:v>
      </x:c>
      <x:c r="O100" t="n">
        <x:v>0</x:v>
      </x:c>
      <x:c r="P100" t="n">
        <x:v>0</x:v>
      </x:c>
      <x:c r="Q100" t="n">
        <x:v>0</x:v>
      </x:c>
      <x:c r="R100" t="n">
        <x:v>5</x:v>
      </x:c>
      <x:c r="S100" t="n">
        <x:v>2</x:v>
      </x:c>
      <x:c r="T100" t="n">
        <x:v>0</x:v>
      </x:c>
      <x:c r="U100" t="n">
        <x:v>0</x:v>
      </x:c>
      <x:c r="V100" t="n">
        <x:v>0</x:v>
      </x:c>
      <x:c r="W100" t="n">
        <x:v>3</x:v>
      </x:c>
      <x:c r="X100" t="str">
        <x:v>Inscribed Burst</x:v>
      </x:c>
      <x:c r="Y100" t="n">
        <x:v>2</x:v>
      </x:c>
      <x:c r="Z100" t="n">
        <x:v>100</x:v>
      </x:c>
      <x:c r="AA100" t="str">
        <x:v>Runic Bastion</x:v>
      </x:c>
      <x:c r="AB100" t="n">
        <x:v>3</x:v>
      </x:c>
      <x:c r="AC100" t="n">
        <x:v>0</x:v>
      </x:c>
      <x:c r="AD100" t="n">
        <x:v>3</x:v>
      </x:c>
      <x:c r="AE100" t="str">
        <x:v>Gain 5 Fortified Armour (add 5 to current Armour and temporary Maximum Armour) and 7 Ward Magic Armour (add 7 to current Magic Armour and temporary Maximum Magic Armour) for 2 turns.</x:v>
      </x:c>
      <x:c r="AF100"/>
      <x:c r="AG100" t="str">
        <x:v>Spell utility and named runes.</x:v>
      </x:c>
      <x:c r="AH100" t="str">
        <x:v>Weapon Skill 2 normally has a 1-turn cooldown; Fortify/Ward use 2 turns; dual Bastion/Aegis uses 3 turns.</x:v>
      </x:c>
    </x:row>
    <x:row r="101">
      <x:c r="A101" t="str">
        <x:v>WPN-097</x:v>
      </x:c>
      <x:c r="B101" t="str">
        <x:v>Bard Song</x:v>
      </x:c>
      <x:c r="C101" t="str">
        <x:v>Grey</x:v>
      </x:c>
      <x:c r="D101" t="str">
        <x:v>Weapon</x:v>
      </x:c>
      <x:c r="E101" t="str">
        <x:v>Bard Song</x:v>
      </x:c>
      <x:c r="F101" t="str">
        <x:v>2H</x:v>
      </x:c>
      <x:c r="G101" t="str">
        <x:v>Bard only</x:v>
      </x:c>
      <x:c r="H101" t="str">
        <x:v>Magical</x:v>
      </x:c>
      <x:c r="I101" t="str">
        <x:v>Focus</x:v>
      </x:c>
      <x:c r="J101" t="n">
        <x:v>2</x:v>
      </x:c>
      <x:c r="K101" t="n">
        <x:v>4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1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str">
        <x:v>Rallying Chorus</x:v>
      </x:c>
      <x:c r="Y101" t="n">
        <x:v>2</x:v>
      </x:c>
      <x:c r="Z101" t="n">
        <x:v>70</x:v>
      </x:c>
      <x:c r="AA101" t="str">
        <x:v>Resonant Refrain</x:v>
      </x:c>
      <x:c r="AB101" t="n">
        <x:v>3</x:v>
      </x:c>
      <x:c r="AC101" t="n">
        <x:v>90</x:v>
      </x:c>
      <x:c r="AD101" t="n">
        <x:v>1</x:v>
      </x:c>
      <x:c r="AE101" t="str">
        <x:v>Deal 90% Magic weapon damage, restore 4 Magic Armour, and gain Minor Resolve Up for 2 turns.</x:v>
      </x:c>
      <x:c r="AF101"/>
      <x:c r="AG101" t="str">
        <x:v>Support-oriented magic damage.</x:v>
      </x:c>
      <x:c r="AH101" t="str">
        <x:v>Weapon Skill 2 normally has a 1-turn cooldown; Fortify/Ward use 2 turns; dual Bastion/Aegis uses 3 turns.</x:v>
      </x:c>
    </x:row>
    <x:row r="102">
      <x:c r="A102" t="str">
        <x:v>WPN-098</x:v>
      </x:c>
      <x:c r="B102" t="str">
        <x:v>Sturdy Bard Song</x:v>
      </x:c>
      <x:c r="C102" t="str">
        <x:v>Green</x:v>
      </x:c>
      <x:c r="D102" t="str">
        <x:v>Weapon</x:v>
      </x:c>
      <x:c r="E102" t="str">
        <x:v>Bard Song</x:v>
      </x:c>
      <x:c r="F102" t="str">
        <x:v>2H</x:v>
      </x:c>
      <x:c r="G102" t="str">
        <x:v>Bard only</x:v>
      </x:c>
      <x:c r="H102" t="str">
        <x:v>Magical</x:v>
      </x:c>
      <x:c r="I102" t="str">
        <x:v>Focus</x:v>
      </x:c>
      <x:c r="J102" t="n">
        <x:v>3</x:v>
      </x:c>
      <x:c r="K102" t="n">
        <x:v>5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1</x:v>
      </x:c>
      <x:c r="Q102" t="n">
        <x:v>0</x:v>
      </x:c>
      <x:c r="R102" t="n">
        <x:v>1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str">
        <x:v>Rallying Chorus</x:v>
      </x:c>
      <x:c r="Y102" t="n">
        <x:v>2</x:v>
      </x:c>
      <x:c r="Z102" t="n">
        <x:v>70</x:v>
      </x:c>
      <x:c r="AA102" t="str">
        <x:v>Resonant Refrain</x:v>
      </x:c>
      <x:c r="AB102" t="n">
        <x:v>3</x:v>
      </x:c>
      <x:c r="AC102" t="n">
        <x:v>90</x:v>
      </x:c>
      <x:c r="AD102" t="n">
        <x:v>1</x:v>
      </x:c>
      <x:c r="AE102" t="str">
        <x:v>Deal 90% Magic weapon damage, restore 4 Magic Armour, and gain Minor Resolve Up for 2 turns.</x:v>
      </x:c>
      <x:c r="AF102"/>
      <x:c r="AG102" t="str">
        <x:v>Support-oriented magic damage.</x:v>
      </x:c>
      <x:c r="AH102" t="str">
        <x:v>Weapon Skill 2 normally has a 1-turn cooldown; Fortify/Ward use 2 turns; dual Bastion/Aegis uses 3 turns.</x:v>
      </x:c>
    </x:row>
    <x:row r="103">
      <x:c r="A103" t="str">
        <x:v>WPN-099</x:v>
      </x:c>
      <x:c r="B103" t="str">
        <x:v>Tempered Bard Song</x:v>
      </x:c>
      <x:c r="C103" t="str">
        <x:v>Blue</x:v>
      </x:c>
      <x:c r="D103" t="str">
        <x:v>Weapon</x:v>
      </x:c>
      <x:c r="E103" t="str">
        <x:v>Bard Song</x:v>
      </x:c>
      <x:c r="F103" t="str">
        <x:v>2H</x:v>
      </x:c>
      <x:c r="G103" t="str">
        <x:v>Bard only</x:v>
      </x:c>
      <x:c r="H103" t="str">
        <x:v>Magical</x:v>
      </x:c>
      <x:c r="I103" t="str">
        <x:v>Focus</x:v>
      </x:c>
      <x:c r="J103" t="n">
        <x:v>3</x:v>
      </x:c>
      <x:c r="K103" t="n">
        <x:v>6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1</x:v>
      </x:c>
      <x:c r="Q103" t="n">
        <x:v>0</x:v>
      </x:c>
      <x:c r="R103" t="n">
        <x:v>2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str">
        <x:v>Rallying Chorus</x:v>
      </x:c>
      <x:c r="Y103" t="n">
        <x:v>2</x:v>
      </x:c>
      <x:c r="Z103" t="n">
        <x:v>70</x:v>
      </x:c>
      <x:c r="AA103" t="str">
        <x:v>Resonant Refrain</x:v>
      </x:c>
      <x:c r="AB103" t="n">
        <x:v>3</x:v>
      </x:c>
      <x:c r="AC103" t="n">
        <x:v>90</x:v>
      </x:c>
      <x:c r="AD103" t="n">
        <x:v>1</x:v>
      </x:c>
      <x:c r="AE103" t="str">
        <x:v>Deal 90% Magic weapon damage, restore 4 Magic Armour, and gain Minor Resolve Up for 2 turns.</x:v>
      </x:c>
      <x:c r="AF103"/>
      <x:c r="AG103" t="str">
        <x:v>Support-oriented magic damage.</x:v>
      </x:c>
      <x:c r="AH103" t="str">
        <x:v>Weapon Skill 2 normally has a 1-turn cooldown; Fortify/Ward use 2 turns; dual Bastion/Aegis uses 3 turns.</x:v>
      </x:c>
    </x:row>
    <x:row r="104">
      <x:c r="A104" t="str">
        <x:v>WPN-100</x:v>
      </x:c>
      <x:c r="B104" t="str">
        <x:v>Masterwork Bard Song</x:v>
      </x:c>
      <x:c r="C104" t="str">
        <x:v>Purple</x:v>
      </x:c>
      <x:c r="D104" t="str">
        <x:v>Weapon</x:v>
      </x:c>
      <x:c r="E104" t="str">
        <x:v>Bard Song</x:v>
      </x:c>
      <x:c r="F104" t="str">
        <x:v>2H</x:v>
      </x:c>
      <x:c r="G104" t="str">
        <x:v>Bard only</x:v>
      </x:c>
      <x:c r="H104" t="str">
        <x:v>Magical</x:v>
      </x:c>
      <x:c r="I104" t="str">
        <x:v>Focus</x:v>
      </x:c>
      <x:c r="J104" t="n">
        <x:v>4</x:v>
      </x:c>
      <x:c r="K104" t="n">
        <x:v>8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1</x:v>
      </x:c>
      <x:c r="Q104" t="n">
        <x:v>0</x:v>
      </x:c>
      <x:c r="R104" t="n">
        <x:v>3</x:v>
      </x:c>
      <x:c r="S104" t="n">
        <x:v>1</x:v>
      </x:c>
      <x:c r="T104" t="n">
        <x:v>0</x:v>
      </x:c>
      <x:c r="U104" t="n">
        <x:v>0</x:v>
      </x:c>
      <x:c r="V104" t="n">
        <x:v>0</x:v>
      </x:c>
      <x:c r="W104" t="n">
        <x:v>1</x:v>
      </x:c>
      <x:c r="X104" t="str">
        <x:v>Rallying Chorus</x:v>
      </x:c>
      <x:c r="Y104" t="n">
        <x:v>2</x:v>
      </x:c>
      <x:c r="Z104" t="n">
        <x:v>70</x:v>
      </x:c>
      <x:c r="AA104" t="str">
        <x:v>Resonant Refrain</x:v>
      </x:c>
      <x:c r="AB104" t="n">
        <x:v>3</x:v>
      </x:c>
      <x:c r="AC104" t="n">
        <x:v>90</x:v>
      </x:c>
      <x:c r="AD104" t="n">
        <x:v>1</x:v>
      </x:c>
      <x:c r="AE104" t="str">
        <x:v>Deal 90% Magic weapon damage, restore 4 Magic Armour, and gain Minor Resolve Up for 2 turns.</x:v>
      </x:c>
      <x:c r="AF104"/>
      <x:c r="AG104" t="str">
        <x:v>Support-oriented magic damage.</x:v>
      </x:c>
      <x:c r="AH104" t="str">
        <x:v>Weapon Skill 2 normally has a 1-turn cooldown; Fortify/Ward use 2 turns; dual Bastion/Aegis uses 3 turns.</x:v>
      </x:c>
    </x:row>
    <x:row r="105">
      <x:c r="A105" t="str">
        <x:v>WPN-101</x:v>
      </x:c>
      <x:c r="B105" t="str">
        <x:v>Regal Bard Song</x:v>
      </x:c>
      <x:c r="C105" t="str">
        <x:v>Gold</x:v>
      </x:c>
      <x:c r="D105" t="str">
        <x:v>Weapon</x:v>
      </x:c>
      <x:c r="E105" t="str">
        <x:v>Bard Song</x:v>
      </x:c>
      <x:c r="F105" t="str">
        <x:v>2H</x:v>
      </x:c>
      <x:c r="G105" t="str">
        <x:v>Bard only</x:v>
      </x:c>
      <x:c r="H105" t="str">
        <x:v>Magical</x:v>
      </x:c>
      <x:c r="I105" t="str">
        <x:v>Focus</x:v>
      </x:c>
      <x:c r="J105" t="n">
        <x:v>5</x:v>
      </x:c>
      <x:c r="K105" t="n">
        <x:v>9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2</x:v>
      </x:c>
      <x:c r="Q105" t="n">
        <x:v>0</x:v>
      </x:c>
      <x:c r="R105" t="n">
        <x:v>4</x:v>
      </x:c>
      <x:c r="S105" t="n">
        <x:v>1</x:v>
      </x:c>
      <x:c r="T105" t="n">
        <x:v>0</x:v>
      </x:c>
      <x:c r="U105" t="n">
        <x:v>0</x:v>
      </x:c>
      <x:c r="V105" t="n">
        <x:v>0</x:v>
      </x:c>
      <x:c r="W105" t="n">
        <x:v>2</x:v>
      </x:c>
      <x:c r="X105" t="str">
        <x:v>Rallying Chorus</x:v>
      </x:c>
      <x:c r="Y105" t="n">
        <x:v>2</x:v>
      </x:c>
      <x:c r="Z105" t="n">
        <x:v>70</x:v>
      </x:c>
      <x:c r="AA105" t="str">
        <x:v>Resonant Refrain</x:v>
      </x:c>
      <x:c r="AB105" t="n">
        <x:v>3</x:v>
      </x:c>
      <x:c r="AC105" t="n">
        <x:v>90</x:v>
      </x:c>
      <x:c r="AD105" t="n">
        <x:v>1</x:v>
      </x:c>
      <x:c r="AE105" t="str">
        <x:v>Deal 90% Magic weapon damage, restore 4 Magic Armour, and gain Minor Resolve Up for 2 turns.</x:v>
      </x:c>
      <x:c r="AF105"/>
      <x:c r="AG105" t="str">
        <x:v>Support-oriented magic damage.</x:v>
      </x:c>
      <x:c r="AH105" t="str">
        <x:v>Weapon Skill 2 normally has a 1-turn cooldown; Fortify/Ward use 2 turns; dual Bastion/Aegis uses 3 turns.</x:v>
      </x:c>
    </x:row>
    <x:row r="106">
      <x:c r="A106" t="str">
        <x:v>WPN-102</x:v>
      </x:c>
      <x:c r="B106" t="str">
        <x:v>Mythic Bard Song</x:v>
      </x:c>
      <x:c r="C106" t="str">
        <x:v>Orange</x:v>
      </x:c>
      <x:c r="D106" t="str">
        <x:v>Weapon</x:v>
      </x:c>
      <x:c r="E106" t="str">
        <x:v>Bard Song</x:v>
      </x:c>
      <x:c r="F106" t="str">
        <x:v>2H</x:v>
      </x:c>
      <x:c r="G106" t="str">
        <x:v>Bard only</x:v>
      </x:c>
      <x:c r="H106" t="str">
        <x:v>Magical</x:v>
      </x:c>
      <x:c r="I106" t="str">
        <x:v>Focus</x:v>
      </x:c>
      <x:c r="J106" t="n">
        <x:v>6</x:v>
      </x:c>
      <x:c r="K106" t="n">
        <x:v>11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2</x:v>
      </x:c>
      <x:c r="Q106" t="n">
        <x:v>0</x:v>
      </x:c>
      <x:c r="R106" t="n">
        <x:v>5</x:v>
      </x:c>
      <x:c r="S106" t="n">
        <x:v>2</x:v>
      </x:c>
      <x:c r="T106" t="n">
        <x:v>0</x:v>
      </x:c>
      <x:c r="U106" t="n">
        <x:v>0</x:v>
      </x:c>
      <x:c r="V106" t="n">
        <x:v>0</x:v>
      </x:c>
      <x:c r="W106" t="n">
        <x:v>3</x:v>
      </x:c>
      <x:c r="X106" t="str">
        <x:v>Rallying Chorus</x:v>
      </x:c>
      <x:c r="Y106" t="n">
        <x:v>2</x:v>
      </x:c>
      <x:c r="Z106" t="n">
        <x:v>70</x:v>
      </x:c>
      <x:c r="AA106" t="str">
        <x:v>Resonant Refrain</x:v>
      </x:c>
      <x:c r="AB106" t="n">
        <x:v>3</x:v>
      </x:c>
      <x:c r="AC106" t="n">
        <x:v>90</x:v>
      </x:c>
      <x:c r="AD106" t="n">
        <x:v>1</x:v>
      </x:c>
      <x:c r="AE106" t="str">
        <x:v>Deal 90% Magic weapon damage, restore 4 Magic Armour, and gain Minor Resolve Up for 2 turns.</x:v>
      </x:c>
      <x:c r="AF106"/>
      <x:c r="AG106" t="str">
        <x:v>Support-oriented magic damage.</x:v>
      </x:c>
      <x:c r="AH106" t="str">
        <x:v>Weapon Skill 2 normally has a 1-turn cooldown; Fortify/Ward use 2 turns; dual Bastion/Aegis uses 3 turns.</x:v>
      </x:c>
    </x:row>
    <x:row r="107">
      <x:c r="A107" t="str">
        <x:v>WPN-103</x:v>
      </x:c>
      <x:c r="B107" t="str">
        <x:v>Lament Song</x:v>
      </x:c>
      <x:c r="C107" t="str">
        <x:v>Grey</x:v>
      </x:c>
      <x:c r="D107" t="str">
        <x:v>Weapon</x:v>
      </x:c>
      <x:c r="E107" t="str">
        <x:v>Lament Song</x:v>
      </x:c>
      <x:c r="F107" t="str">
        <x:v>2H</x:v>
      </x:c>
      <x:c r="G107" t="str">
        <x:v>Bard and Siren</x:v>
      </x:c>
      <x:c r="H107" t="str">
        <x:v>Magical</x:v>
      </x:c>
      <x:c r="I107" t="str">
        <x:v>Focus</x:v>
      </x:c>
      <x:c r="J107" t="n">
        <x:v>2</x:v>
      </x:c>
      <x:c r="K107" t="n">
        <x:v>4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1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str">
        <x:v>Mourning Note</x:v>
      </x:c>
      <x:c r="Y107" t="n">
        <x:v>2</x:v>
      </x:c>
      <x:c r="Z107" t="n">
        <x:v>85</x:v>
      </x:c>
      <x:c r="AA107" t="str">
        <x:v>Dirge of Fracture</x:v>
      </x:c>
      <x:c r="AB107" t="n">
        <x:v>3</x:v>
      </x:c>
      <x:c r="AC107" t="n">
        <x:v>100</x:v>
      </x:c>
      <x:c r="AD107" t="n">
        <x:v>1</x:v>
      </x:c>
      <x:c r="AE107" t="str">
        <x:v>Deal 100% Magic weapon damage. If Magic Armour is broken and Health is damaged, apply Moderate Resolve Down for 1 turn.</x:v>
      </x:c>
      <x:c r="AF107"/>
      <x:c r="AG107" t="str">
        <x:v>Debuff-oriented magic damage.</x:v>
      </x:c>
      <x:c r="AH107" t="str">
        <x:v>Weapon Skill 2 normally has a 1-turn cooldown; Fortify/Ward use 2 turns; dual Bastion/Aegis uses 3 turns.</x:v>
      </x:c>
    </x:row>
    <x:row r="108">
      <x:c r="A108" t="str">
        <x:v>WPN-104</x:v>
      </x:c>
      <x:c r="B108" t="str">
        <x:v>Sturdy Lament Song</x:v>
      </x:c>
      <x:c r="C108" t="str">
        <x:v>Green</x:v>
      </x:c>
      <x:c r="D108" t="str">
        <x:v>Weapon</x:v>
      </x:c>
      <x:c r="E108" t="str">
        <x:v>Lament Song</x:v>
      </x:c>
      <x:c r="F108" t="str">
        <x:v>2H</x:v>
      </x:c>
      <x:c r="G108" t="str">
        <x:v>Bard and Siren</x:v>
      </x:c>
      <x:c r="H108" t="str">
        <x:v>Magical</x:v>
      </x:c>
      <x:c r="I108" t="str">
        <x:v>Focus</x:v>
      </x:c>
      <x:c r="J108" t="n">
        <x:v>3</x:v>
      </x:c>
      <x:c r="K108" t="n">
        <x:v>5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1</x:v>
      </x:c>
      <x:c r="S108" t="n">
        <x:v>1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str">
        <x:v>Mourning Note</x:v>
      </x:c>
      <x:c r="Y108" t="n">
        <x:v>2</x:v>
      </x:c>
      <x:c r="Z108" t="n">
        <x:v>85</x:v>
      </x:c>
      <x:c r="AA108" t="str">
        <x:v>Dirge of Fracture</x:v>
      </x:c>
      <x:c r="AB108" t="n">
        <x:v>3</x:v>
      </x:c>
      <x:c r="AC108" t="n">
        <x:v>100</x:v>
      </x:c>
      <x:c r="AD108" t="n">
        <x:v>1</x:v>
      </x:c>
      <x:c r="AE108" t="str">
        <x:v>Deal 100% Magic weapon damage. If Magic Armour is broken and Health is damaged, apply Moderate Resolve Down for 1 turn.</x:v>
      </x:c>
      <x:c r="AF108"/>
      <x:c r="AG108" t="str">
        <x:v>Debuff-oriented magic damage.</x:v>
      </x:c>
      <x:c r="AH108" t="str">
        <x:v>Weapon Skill 2 normally has a 1-turn cooldown; Fortify/Ward use 2 turns; dual Bastion/Aegis uses 3 turns.</x:v>
      </x:c>
    </x:row>
    <x:row r="109">
      <x:c r="A109" t="str">
        <x:v>WPN-105</x:v>
      </x:c>
      <x:c r="B109" t="str">
        <x:v>Tempered Lament Song</x:v>
      </x:c>
      <x:c r="C109" t="str">
        <x:v>Blue</x:v>
      </x:c>
      <x:c r="D109" t="str">
        <x:v>Weapon</x:v>
      </x:c>
      <x:c r="E109" t="str">
        <x:v>Lament Song</x:v>
      </x:c>
      <x:c r="F109" t="str">
        <x:v>2H</x:v>
      </x:c>
      <x:c r="G109" t="str">
        <x:v>Bard and Siren</x:v>
      </x:c>
      <x:c r="H109" t="str">
        <x:v>Magical</x:v>
      </x:c>
      <x:c r="I109" t="str">
        <x:v>Focus</x:v>
      </x:c>
      <x:c r="J109" t="n">
        <x:v>3</x:v>
      </x:c>
      <x:c r="K109" t="n">
        <x:v>6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2</x:v>
      </x:c>
      <x:c r="S109" t="n">
        <x:v>1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str">
        <x:v>Mourning Note</x:v>
      </x:c>
      <x:c r="Y109" t="n">
        <x:v>2</x:v>
      </x:c>
      <x:c r="Z109" t="n">
        <x:v>85</x:v>
      </x:c>
      <x:c r="AA109" t="str">
        <x:v>Dirge of Fracture</x:v>
      </x:c>
      <x:c r="AB109" t="n">
        <x:v>3</x:v>
      </x:c>
      <x:c r="AC109" t="n">
        <x:v>100</x:v>
      </x:c>
      <x:c r="AD109" t="n">
        <x:v>1</x:v>
      </x:c>
      <x:c r="AE109" t="str">
        <x:v>Deal 100% Magic weapon damage. If Magic Armour is broken and Health is damaged, apply Moderate Resolve Down for 1 turn.</x:v>
      </x:c>
      <x:c r="AF109"/>
      <x:c r="AG109" t="str">
        <x:v>Debuff-oriented magic damage.</x:v>
      </x:c>
      <x:c r="AH109" t="str">
        <x:v>Weapon Skill 2 normally has a 1-turn cooldown; Fortify/Ward use 2 turns; dual Bastion/Aegis uses 3 turns.</x:v>
      </x:c>
    </x:row>
    <x:row r="110">
      <x:c r="A110" t="str">
        <x:v>WPN-106</x:v>
      </x:c>
      <x:c r="B110" t="str">
        <x:v>Masterwork Lament Song</x:v>
      </x:c>
      <x:c r="C110" t="str">
        <x:v>Purple</x:v>
      </x:c>
      <x:c r="D110" t="str">
        <x:v>Weapon</x:v>
      </x:c>
      <x:c r="E110" t="str">
        <x:v>Lament Song</x:v>
      </x:c>
      <x:c r="F110" t="str">
        <x:v>2H</x:v>
      </x:c>
      <x:c r="G110" t="str">
        <x:v>Bard and Siren</x:v>
      </x:c>
      <x:c r="H110" t="str">
        <x:v>Magical</x:v>
      </x:c>
      <x:c r="I110" t="str">
        <x:v>Focus</x:v>
      </x:c>
      <x:c r="J110" t="n">
        <x:v>4</x:v>
      </x:c>
      <x:c r="K110" t="n">
        <x:v>8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3</x:v>
      </x:c>
      <x:c r="S110" t="n">
        <x:v>1</x:v>
      </x:c>
      <x:c r="T110" t="n">
        <x:v>1</x:v>
      </x:c>
      <x:c r="U110" t="n">
        <x:v>0</x:v>
      </x:c>
      <x:c r="V110" t="n">
        <x:v>0</x:v>
      </x:c>
      <x:c r="W110" t="n">
        <x:v>1</x:v>
      </x:c>
      <x:c r="X110" t="str">
        <x:v>Mourning Note</x:v>
      </x:c>
      <x:c r="Y110" t="n">
        <x:v>2</x:v>
      </x:c>
      <x:c r="Z110" t="n">
        <x:v>85</x:v>
      </x:c>
      <x:c r="AA110" t="str">
        <x:v>Dirge of Fracture</x:v>
      </x:c>
      <x:c r="AB110" t="n">
        <x:v>3</x:v>
      </x:c>
      <x:c r="AC110" t="n">
        <x:v>100</x:v>
      </x:c>
      <x:c r="AD110" t="n">
        <x:v>1</x:v>
      </x:c>
      <x:c r="AE110" t="str">
        <x:v>Deal 100% Magic weapon damage. If Magic Armour is broken and Health is damaged, apply Moderate Resolve Down for 1 turn.</x:v>
      </x:c>
      <x:c r="AF110"/>
      <x:c r="AG110" t="str">
        <x:v>Debuff-oriented magic damage.</x:v>
      </x:c>
      <x:c r="AH110" t="str">
        <x:v>Weapon Skill 2 normally has a 1-turn cooldown; Fortify/Ward use 2 turns; dual Bastion/Aegis uses 3 turns.</x:v>
      </x:c>
    </x:row>
    <x:row r="111">
      <x:c r="A111" t="str">
        <x:v>WPN-107</x:v>
      </x:c>
      <x:c r="B111" t="str">
        <x:v>Regal Lament Song</x:v>
      </x:c>
      <x:c r="C111" t="str">
        <x:v>Gold</x:v>
      </x:c>
      <x:c r="D111" t="str">
        <x:v>Weapon</x:v>
      </x:c>
      <x:c r="E111" t="str">
        <x:v>Lament Song</x:v>
      </x:c>
      <x:c r="F111" t="str">
        <x:v>2H</x:v>
      </x:c>
      <x:c r="G111" t="str">
        <x:v>Bard and Siren</x:v>
      </x:c>
      <x:c r="H111" t="str">
        <x:v>Magical</x:v>
      </x:c>
      <x:c r="I111" t="str">
        <x:v>Focus</x:v>
      </x:c>
      <x:c r="J111" t="n">
        <x:v>5</x:v>
      </x:c>
      <x:c r="K111" t="n">
        <x:v>9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4</x:v>
      </x:c>
      <x:c r="S111" t="n">
        <x:v>2</x:v>
      </x:c>
      <x:c r="T111" t="n">
        <x:v>1</x:v>
      </x:c>
      <x:c r="U111" t="n">
        <x:v>0</x:v>
      </x:c>
      <x:c r="V111" t="n">
        <x:v>0</x:v>
      </x:c>
      <x:c r="W111" t="n">
        <x:v>2</x:v>
      </x:c>
      <x:c r="X111" t="str">
        <x:v>Mourning Note</x:v>
      </x:c>
      <x:c r="Y111" t="n">
        <x:v>2</x:v>
      </x:c>
      <x:c r="Z111" t="n">
        <x:v>85</x:v>
      </x:c>
      <x:c r="AA111" t="str">
        <x:v>Dirge of Fracture</x:v>
      </x:c>
      <x:c r="AB111" t="n">
        <x:v>3</x:v>
      </x:c>
      <x:c r="AC111" t="n">
        <x:v>100</x:v>
      </x:c>
      <x:c r="AD111" t="n">
        <x:v>1</x:v>
      </x:c>
      <x:c r="AE111" t="str">
        <x:v>Deal 100% Magic weapon damage. If Magic Armour is broken and Health is damaged, apply Moderate Resolve Down for 1 turn.</x:v>
      </x:c>
      <x:c r="AF111"/>
      <x:c r="AG111" t="str">
        <x:v>Debuff-oriented magic damage.</x:v>
      </x:c>
      <x:c r="AH111" t="str">
        <x:v>Weapon Skill 2 normally has a 1-turn cooldown; Fortify/Ward use 2 turns; dual Bastion/Aegis uses 3 turns.</x:v>
      </x:c>
    </x:row>
    <x:row r="112">
      <x:c r="A112" t="str">
        <x:v>WPN-108</x:v>
      </x:c>
      <x:c r="B112" t="str">
        <x:v>Mythic Lament Song</x:v>
      </x:c>
      <x:c r="C112" t="str">
        <x:v>Orange</x:v>
      </x:c>
      <x:c r="D112" t="str">
        <x:v>Weapon</x:v>
      </x:c>
      <x:c r="E112" t="str">
        <x:v>Lament Song</x:v>
      </x:c>
      <x:c r="F112" t="str">
        <x:v>2H</x:v>
      </x:c>
      <x:c r="G112" t="str">
        <x:v>Bard and Siren</x:v>
      </x:c>
      <x:c r="H112" t="str">
        <x:v>Magical</x:v>
      </x:c>
      <x:c r="I112" t="str">
        <x:v>Focus</x:v>
      </x:c>
      <x:c r="J112" t="n">
        <x:v>6</x:v>
      </x:c>
      <x:c r="K112" t="n">
        <x:v>11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5</x:v>
      </x:c>
      <x:c r="S112" t="n">
        <x:v>2</x:v>
      </x:c>
      <x:c r="T112" t="n">
        <x:v>2</x:v>
      </x:c>
      <x:c r="U112" t="n">
        <x:v>0</x:v>
      </x:c>
      <x:c r="V112" t="n">
        <x:v>0</x:v>
      </x:c>
      <x:c r="W112" t="n">
        <x:v>3</x:v>
      </x:c>
      <x:c r="X112" t="str">
        <x:v>Mourning Note</x:v>
      </x:c>
      <x:c r="Y112" t="n">
        <x:v>2</x:v>
      </x:c>
      <x:c r="Z112" t="n">
        <x:v>85</x:v>
      </x:c>
      <x:c r="AA112" t="str">
        <x:v>Dirge of Fracture</x:v>
      </x:c>
      <x:c r="AB112" t="n">
        <x:v>3</x:v>
      </x:c>
      <x:c r="AC112" t="n">
        <x:v>100</x:v>
      </x:c>
      <x:c r="AD112" t="n">
        <x:v>1</x:v>
      </x:c>
      <x:c r="AE112" t="str">
        <x:v>Deal 100% Magic weapon damage. If Magic Armour is broken and Health is damaged, apply Moderate Resolve Down for 1 turn.</x:v>
      </x:c>
      <x:c r="AF112"/>
      <x:c r="AG112" t="str">
        <x:v>Debuff-oriented magic damage.</x:v>
      </x:c>
      <x:c r="AH112" t="str">
        <x:v>Weapon Skill 2 normally has a 1-turn cooldown; Fortify/Ward use 2 turns; dual Bastion/Aegis uses 3 turns.</x:v>
      </x:c>
    </x:row>
    <x:row r="113">
      <x:c r="A113" t="str">
        <x:v>ARM-001</x:v>
      </x:c>
      <x:c r="B113" t="str">
        <x:v>Ironfeather Harness</x:v>
      </x:c>
      <x:c r="C113" t="str">
        <x:v>Grey</x:v>
      </x:c>
      <x:c r="D113" t="str">
        <x:v>Armour/Plumage</x:v>
      </x:c>
      <x:c r="E113" t="str">
        <x:v>Ironfeather Bastion</x:v>
      </x:c>
      <x:c r="F113" t="str">
        <x:v>Heavy</x:v>
      </x:c>
      <x:c r="G113" t="str">
        <x:v>Knight, Brute, physical Inquisitor</x:v>
      </x:c>
      <x:c r="H113"/>
      <x:c r="I113"/>
      <x:c r="J113" t="n">
        <x:v>0</x:v>
      </x:c>
      <x:c r="K113" t="n">
        <x:v>0</x:v>
      </x:c>
      <x:c r="L113" t="n">
        <x:v>4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1</x:v>
      </x:c>
      <x:c r="R113" t="n">
        <x:v>0</x:v>
      </x:c>
      <x:c r="S113" t="n">
        <x:v>0</x:v>
      </x:c>
      <x:c r="T113" t="n">
        <x:v>-2</x:v>
      </x:c>
      <x:c r="U113" t="n">
        <x:v>0</x:v>
      </x:c>
      <x:c r="V113" t="n">
        <x:v>0</x:v>
      </x:c>
      <x:c r="W113" t="n">
        <x:v>0</x:v>
      </x:c>
      <x:c r="X113" t="str">
        <x:v>Reinforce Plumage</x:v>
      </x:c>
      <x:c r="Y113" t="n">
        <x:v>2</x:v>
      </x:c>
      <x:c r="Z113" t="n">
        <x:v>0</x:v>
      </x:c>
      <x:c r="AA113" t="str">
        <x:v>Iron Fortify</x:v>
      </x:c>
      <x:c r="AB113" t="n">
        <x:v>3</x:v>
      </x:c>
      <x:c r="AC113" t="n">
        <x:v>0</x:v>
      </x:c>
      <x:c r="AD113" t="n">
        <x:v>2</x:v>
      </x:c>
      <x:c r="AE113" t="str">
        <x:v>Default: None. A: Restore 4 Armour, capped at normal Maximum Armour. B: Gain 8 Fortified Armour (add 8 to current Armour and temporary Maximum Armour) for 2 turns.</x:v>
      </x:c>
      <x:c r="AF113" t="str">
        <x:v>2pc: While Armour remains, gain +2 Guard. | 3pc: First time Armour is depleted each combat, restore 1 Armour.</x:v>
      </x:c>
      <x:c r="AG113" t="str">
        <x:v>Ember; Frost; Storm; Venom; Blood; Lunar; Solar</x:v>
      </x:c>
      <x:c r="AH113" t="str">
        <x:v>Restoration repairs only to normal maximum with a 1-turn cooldown. Fortify/Ward heal and overflow with 2-turn cooldowns; dual effects use 3 turns.</x:v>
      </x:c>
    </x:row>
    <x:row r="114">
      <x:c r="A114" t="str">
        <x:v>ARM-002</x:v>
      </x:c>
      <x:c r="B114" t="str">
        <x:v>Sturdy Ironfeather Harness</x:v>
      </x:c>
      <x:c r="C114" t="str">
        <x:v>Green</x:v>
      </x:c>
      <x:c r="D114" t="str">
        <x:v>Armour/Plumage</x:v>
      </x:c>
      <x:c r="E114" t="str">
        <x:v>Ironfeather Bastion</x:v>
      </x:c>
      <x:c r="F114" t="str">
        <x:v>Heavy</x:v>
      </x:c>
      <x:c r="G114" t="str">
        <x:v>Knight, Brute, physical Inquisitor</x:v>
      </x:c>
      <x:c r="H114"/>
      <x:c r="I114"/>
      <x:c r="J114" t="n">
        <x:v>0</x:v>
      </x:c>
      <x:c r="K114" t="n">
        <x:v>0</x:v>
      </x:c>
      <x:c r="L114" t="n">
        <x:v>6</x:v>
      </x:c>
      <x:c r="M114" t="n">
        <x:v>1</x:v>
      </x:c>
      <x:c r="N114" t="n">
        <x:v>1</x:v>
      </x:c>
      <x:c r="O114" t="n">
        <x:v>0</x:v>
      </x:c>
      <x:c r="P114" t="n">
        <x:v>0</x:v>
      </x:c>
      <x:c r="Q114" t="n">
        <x:v>1</x:v>
      </x:c>
      <x:c r="R114" t="n">
        <x:v>0</x:v>
      </x:c>
      <x:c r="S114" t="n">
        <x:v>0</x:v>
      </x:c>
      <x:c r="T114" t="n">
        <x:v>-2</x:v>
      </x:c>
      <x:c r="U114" t="n">
        <x:v>0</x:v>
      </x:c>
      <x:c r="V114" t="n">
        <x:v>0</x:v>
      </x:c>
      <x:c r="W114" t="n">
        <x:v>0</x:v>
      </x:c>
      <x:c r="X114" t="str">
        <x:v>Reinforce Plumage</x:v>
      </x:c>
      <x:c r="Y114" t="n">
        <x:v>2</x:v>
      </x:c>
      <x:c r="Z114" t="n">
        <x:v>0</x:v>
      </x:c>
      <x:c r="AA114" t="str">
        <x:v>Iron Fortify</x:v>
      </x:c>
      <x:c r="AB114" t="n">
        <x:v>3</x:v>
      </x:c>
      <x:c r="AC114" t="n">
        <x:v>0</x:v>
      </x:c>
      <x:c r="AD114" t="n">
        <x:v>2</x:v>
      </x:c>
      <x:c r="AE114" t="str">
        <x:v>Default: Reinforce Plumage. A: Restore 4 Armour, capped at normal Maximum Armour. B: Gain 8 Fortified Armour (add 8 to current Armour and temporary Maximum Armour) for 2 turns.</x:v>
      </x:c>
      <x:c r="AF114" t="str">
        <x:v>2pc: While Armour remains, gain +2 Guard. | 3pc: First time Armour is depleted each combat, restore 1 Armour.</x:v>
      </x:c>
      <x:c r="AG114" t="str">
        <x:v>Ember; Frost; Storm; Venom; Blood; Lunar; Solar</x:v>
      </x:c>
      <x:c r="AH114" t="str">
        <x:v>Restoration repairs only to normal maximum with a 1-turn cooldown. Fortify/Ward heal and overflow with 2-turn cooldowns; dual effects use 3 turns.</x:v>
      </x:c>
    </x:row>
    <x:row r="115">
      <x:c r="A115" t="str">
        <x:v>ARM-003</x:v>
      </x:c>
      <x:c r="B115" t="str">
        <x:v>Tempered Ironfeather Harness</x:v>
      </x:c>
      <x:c r="C115" t="str">
        <x:v>Blue</x:v>
      </x:c>
      <x:c r="D115" t="str">
        <x:v>Armour/Plumage</x:v>
      </x:c>
      <x:c r="E115" t="str">
        <x:v>Ironfeather Bastion</x:v>
      </x:c>
      <x:c r="F115" t="str">
        <x:v>Heavy</x:v>
      </x:c>
      <x:c r="G115" t="str">
        <x:v>Knight, Brute, physical Inquisitor</x:v>
      </x:c>
      <x:c r="H115"/>
      <x:c r="I115"/>
      <x:c r="J115" t="n">
        <x:v>0</x:v>
      </x:c>
      <x:c r="K115" t="n">
        <x:v>0</x:v>
      </x:c>
      <x:c r="L115" t="n">
        <x:v>9</x:v>
      </x:c>
      <x:c r="M115" t="n">
        <x:v>1</x:v>
      </x:c>
      <x:c r="N115" t="n">
        <x:v>1</x:v>
      </x:c>
      <x:c r="O115" t="n">
        <x:v>0</x:v>
      </x:c>
      <x:c r="P115" t="n">
        <x:v>0</x:v>
      </x:c>
      <x:c r="Q115" t="n">
        <x:v>2</x:v>
      </x:c>
      <x:c r="R115" t="n">
        <x:v>0</x:v>
      </x:c>
      <x:c r="S115" t="n">
        <x:v>0</x:v>
      </x:c>
      <x:c r="T115" t="n">
        <x:v>-2</x:v>
      </x:c>
      <x:c r="U115" t="n">
        <x:v>0</x:v>
      </x:c>
      <x:c r="V115" t="n">
        <x:v>0</x:v>
      </x:c>
      <x:c r="W115" t="n">
        <x:v>0</x:v>
      </x:c>
      <x:c r="X115" t="str">
        <x:v>Reinforce Plumage</x:v>
      </x:c>
      <x:c r="Y115" t="n">
        <x:v>2</x:v>
      </x:c>
      <x:c r="Z115" t="n">
        <x:v>0</x:v>
      </x:c>
      <x:c r="AA115" t="str">
        <x:v>Iron Fortify</x:v>
      </x:c>
      <x:c r="AB115" t="n">
        <x:v>3</x:v>
      </x:c>
      <x:c r="AC115" t="n">
        <x:v>0</x:v>
      </x:c>
      <x:c r="AD115" t="n">
        <x:v>2</x:v>
      </x:c>
      <x:c r="AE115" t="str">
        <x:v>Default: Reinforce Plumage. A: Restore 4 Armour, capped at normal Maximum Armour. B: Gain 8 Fortified Armour (add 8 to current Armour and temporary Maximum Armour) for 2 turns.</x:v>
      </x:c>
      <x:c r="AF115" t="str">
        <x:v>2pc: While Armour remains, gain +3 Guard. | 3pc: First time Armour is depleted each combat, restore 2 Armour.</x:v>
      </x:c>
      <x:c r="AG115" t="str">
        <x:v>Ember; Frost; Storm; Venom; Blood; Lunar; Solar</x:v>
      </x:c>
      <x:c r="AH115" t="str">
        <x:v>Restoration repairs only to normal maximum with a 1-turn cooldown. Fortify/Ward heal and overflow with 2-turn cooldowns; dual effects use 3 turns.</x:v>
      </x:c>
    </x:row>
    <x:row r="116">
      <x:c r="A116" t="str">
        <x:v>ARM-004</x:v>
      </x:c>
      <x:c r="B116" t="str">
        <x:v>Masterwork Ironfeather Harness</x:v>
      </x:c>
      <x:c r="C116" t="str">
        <x:v>Purple</x:v>
      </x:c>
      <x:c r="D116" t="str">
        <x:v>Armour/Plumage</x:v>
      </x:c>
      <x:c r="E116" t="str">
        <x:v>Ironfeather Bastion</x:v>
      </x:c>
      <x:c r="F116" t="str">
        <x:v>Heavy</x:v>
      </x:c>
      <x:c r="G116" t="str">
        <x:v>Knight, Brute, physical Inquisitor</x:v>
      </x:c>
      <x:c r="H116"/>
      <x:c r="I116"/>
      <x:c r="J116" t="n">
        <x:v>0</x:v>
      </x:c>
      <x:c r="K116" t="n">
        <x:v>0</x:v>
      </x:c>
      <x:c r="L116" t="n">
        <x:v>12</x:v>
      </x:c>
      <x:c r="M116" t="n">
        <x:v>1</x:v>
      </x:c>
      <x:c r="N116" t="n">
        <x:v>1</x:v>
      </x:c>
      <x:c r="O116" t="n">
        <x:v>1</x:v>
      </x:c>
      <x:c r="P116" t="n">
        <x:v>0</x:v>
      </x:c>
      <x:c r="Q116" t="n">
        <x:v>3</x:v>
      </x:c>
      <x:c r="R116" t="n">
        <x:v>0</x:v>
      </x:c>
      <x:c r="S116" t="n">
        <x:v>0</x:v>
      </x:c>
      <x:c r="T116" t="n">
        <x:v>-2</x:v>
      </x:c>
      <x:c r="U116" t="n">
        <x:v>0</x:v>
      </x:c>
      <x:c r="V116" t="n">
        <x:v>0</x:v>
      </x:c>
      <x:c r="W116" t="n">
        <x:v>0</x:v>
      </x:c>
      <x:c r="X116" t="str">
        <x:v>Reinforce Plumage</x:v>
      </x:c>
      <x:c r="Y116" t="n">
        <x:v>2</x:v>
      </x:c>
      <x:c r="Z116" t="n">
        <x:v>0</x:v>
      </x:c>
      <x:c r="AA116" t="str">
        <x:v>Iron Fortify</x:v>
      </x:c>
      <x:c r="AB116" t="n">
        <x:v>3</x:v>
      </x:c>
      <x:c r="AC116" t="n">
        <x:v>0</x:v>
      </x:c>
      <x:c r="AD116" t="n">
        <x:v>2</x:v>
      </x:c>
      <x:c r="AE116" t="str">
        <x:v>Default: Iron Fortify. A: Restore 4 Armour, capped at normal Maximum Armour. B: Gain 8 Fortified Armour (add 8 to current Armour and temporary Maximum Armour) for 2 turns.</x:v>
      </x:c>
      <x:c r="AF116" t="str">
        <x:v>2pc: While Armour remains, gain +3 Guard. | 3pc: First time Armour is depleted each combat, restore 2 Armour.</x:v>
      </x:c>
      <x:c r="AG116" t="str">
        <x:v>Ember; Frost; Storm; Venom; Blood; Lunar; Solar</x:v>
      </x:c>
      <x:c r="AH116" t="str">
        <x:v>Restoration repairs only to normal maximum with a 1-turn cooldown. Fortify/Ward heal and overflow with 2-turn cooldowns; dual effects use 3 turns.</x:v>
      </x:c>
    </x:row>
    <x:row r="117">
      <x:c r="A117" t="str">
        <x:v>ARM-005</x:v>
      </x:c>
      <x:c r="B117" t="str">
        <x:v>Regal Ironfeather Harness</x:v>
      </x:c>
      <x:c r="C117" t="str">
        <x:v>Gold</x:v>
      </x:c>
      <x:c r="D117" t="str">
        <x:v>Armour/Plumage</x:v>
      </x:c>
      <x:c r="E117" t="str">
        <x:v>Ironfeather Bastion</x:v>
      </x:c>
      <x:c r="F117" t="str">
        <x:v>Heavy</x:v>
      </x:c>
      <x:c r="G117" t="str">
        <x:v>Knight, Brute, physical Inquisitor</x:v>
      </x:c>
      <x:c r="H117"/>
      <x:c r="I117"/>
      <x:c r="J117" t="n">
        <x:v>0</x:v>
      </x:c>
      <x:c r="K117" t="n">
        <x:v>0</x:v>
      </x:c>
      <x:c r="L117" t="n">
        <x:v>16</x:v>
      </x:c>
      <x:c r="M117" t="n">
        <x:v>2</x:v>
      </x:c>
      <x:c r="N117" t="n">
        <x:v>2</x:v>
      </x:c>
      <x:c r="O117" t="n">
        <x:v>1</x:v>
      </x:c>
      <x:c r="P117" t="n">
        <x:v>0</x:v>
      </x:c>
      <x:c r="Q117" t="n">
        <x:v>4</x:v>
      </x:c>
      <x:c r="R117" t="n">
        <x:v>0</x:v>
      </x:c>
      <x:c r="S117" t="n">
        <x:v>0</x:v>
      </x:c>
      <x:c r="T117" t="n">
        <x:v>-2</x:v>
      </x:c>
      <x:c r="U117" t="n">
        <x:v>0</x:v>
      </x:c>
      <x:c r="V117" t="n">
        <x:v>0</x:v>
      </x:c>
      <x:c r="W117" t="n">
        <x:v>0</x:v>
      </x:c>
      <x:c r="X117" t="str">
        <x:v>Reinforce Plumage</x:v>
      </x:c>
      <x:c r="Y117" t="n">
        <x:v>2</x:v>
      </x:c>
      <x:c r="Z117" t="n">
        <x:v>0</x:v>
      </x:c>
      <x:c r="AA117" t="str">
        <x:v>Iron Fortify</x:v>
      </x:c>
      <x:c r="AB117" t="n">
        <x:v>3</x:v>
      </x:c>
      <x:c r="AC117" t="n">
        <x:v>0</x:v>
      </x:c>
      <x:c r="AD117" t="n">
        <x:v>2</x:v>
      </x:c>
      <x:c r="AE117" t="str">
        <x:v>Default: Iron Fortify. A: Restore 4 Armour, capped at normal Maximum Armour. B: Gain 8 Fortified Armour (add 8 to current Armour and temporary Maximum Armour) for 2 turns.</x:v>
      </x:c>
      <x:c r="AF117" t="str">
        <x:v>2pc: While Armour remains, gain +4 Guard. | 3pc: First time Armour is depleted each combat, restore 3 Armour.</x:v>
      </x:c>
      <x:c r="AG117" t="str">
        <x:v>Ember; Frost; Storm; Venom; Blood; Lunar; Solar</x:v>
      </x:c>
      <x:c r="AH117" t="str">
        <x:v>Restoration repairs only to normal maximum with a 1-turn cooldown. Fortify/Ward heal and overflow with 2-turn cooldowns; dual effects use 3 turns.</x:v>
      </x:c>
    </x:row>
    <x:row r="118">
      <x:c r="A118" t="str">
        <x:v>ARM-006</x:v>
      </x:c>
      <x:c r="B118" t="str">
        <x:v>Mythic Ironfeather Harness</x:v>
      </x:c>
      <x:c r="C118" t="str">
        <x:v>Orange</x:v>
      </x:c>
      <x:c r="D118" t="str">
        <x:v>Armour/Plumage</x:v>
      </x:c>
      <x:c r="E118" t="str">
        <x:v>Ironfeather Bastion</x:v>
      </x:c>
      <x:c r="F118" t="str">
        <x:v>Heavy</x:v>
      </x:c>
      <x:c r="G118" t="str">
        <x:v>Knight, Brute, physical Inquisitor</x:v>
      </x:c>
      <x:c r="H118"/>
      <x:c r="I118"/>
      <x:c r="J118" t="n">
        <x:v>0</x:v>
      </x:c>
      <x:c r="K118" t="n">
        <x:v>0</x:v>
      </x:c>
      <x:c r="L118" t="n">
        <x:v>21</x:v>
      </x:c>
      <x:c r="M118" t="n">
        <x:v>3</x:v>
      </x:c>
      <x:c r="N118" t="n">
        <x:v>2</x:v>
      </x:c>
      <x:c r="O118" t="n">
        <x:v>2</x:v>
      </x:c>
      <x:c r="P118" t="n">
        <x:v>0</x:v>
      </x:c>
      <x:c r="Q118" t="n">
        <x:v>5</x:v>
      </x:c>
      <x:c r="R118" t="n">
        <x:v>0</x:v>
      </x:c>
      <x:c r="S118" t="n">
        <x:v>0</x:v>
      </x:c>
      <x:c r="T118" t="n">
        <x:v>-2</x:v>
      </x:c>
      <x:c r="U118" t="n">
        <x:v>0</x:v>
      </x:c>
      <x:c r="V118" t="n">
        <x:v>0</x:v>
      </x:c>
      <x:c r="W118" t="n">
        <x:v>0</x:v>
      </x:c>
      <x:c r="X118" t="str">
        <x:v>Reinforce Plumage</x:v>
      </x:c>
      <x:c r="Y118" t="n">
        <x:v>2</x:v>
      </x:c>
      <x:c r="Z118" t="n">
        <x:v>0</x:v>
      </x:c>
      <x:c r="AA118" t="str">
        <x:v>Iron Fortify</x:v>
      </x:c>
      <x:c r="AB118" t="n">
        <x:v>3</x:v>
      </x:c>
      <x:c r="AC118" t="n">
        <x:v>0</x:v>
      </x:c>
      <x:c r="AD118" t="n">
        <x:v>2</x:v>
      </x:c>
      <x:c r="AE118" t="str">
        <x:v>Default: Iron Fortify. A: Restore 4 Armour, capped at normal Maximum Armour. B: Gain 8 Fortified Armour (add 8 to current Armour and temporary Maximum Armour) for 2 turns.</x:v>
      </x:c>
      <x:c r="AF118" t="str">
        <x:v>2pc: While Armour remains, gain +5 Guard. | 3pc: First time Armour is depleted each combat, restore 4 Armour.</x:v>
      </x:c>
      <x:c r="AG118" t="str">
        <x:v>Ember; Frost; Storm; Venom; Blood; Lunar; Solar</x:v>
      </x:c>
      <x:c r="AH118" t="str">
        <x:v>Restoration repairs only to normal maximum with a 1-turn cooldown. Fortify/Ward heal and overflow with 2-turn cooldowns; dual effects use 3 turns.</x:v>
      </x:c>
    </x:row>
    <x:row r="119">
      <x:c r="A119" t="str">
        <x:v>ARM-007</x:v>
      </x:c>
      <x:c r="B119" t="str">
        <x:v>Runewoven Mantle</x:v>
      </x:c>
      <x:c r="C119" t="str">
        <x:v>Grey</x:v>
      </x:c>
      <x:c r="D119" t="str">
        <x:v>Armour/Plumage</x:v>
      </x:c>
      <x:c r="E119" t="str">
        <x:v>Runewoven Aegis</x:v>
      </x:c>
      <x:c r="F119" t="str">
        <x:v>Medium</x:v>
      </x:c>
      <x:c r="G119" t="str">
        <x:v>Mage, Siren, magical Bard</x:v>
      </x:c>
      <x:c r="H119"/>
      <x:c r="I119"/>
      <x:c r="J119" t="n">
        <x:v>0</x:v>
      </x:c>
      <x:c r="K119" t="n">
        <x:v>0</x:v>
      </x:c>
      <x:c r="L119" t="n">
        <x:v>0</x:v>
      </x:c>
      <x:c r="M119" t="n">
        <x:v>4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1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str">
        <x:v>Mend Weave</x:v>
      </x:c>
      <x:c r="Y119" t="n">
        <x:v>2</x:v>
      </x:c>
      <x:c r="Z119" t="n">
        <x:v>0</x:v>
      </x:c>
      <x:c r="AA119" t="str">
        <x:v>Runic Ward</x:v>
      </x:c>
      <x:c r="AB119" t="n">
        <x:v>3</x:v>
      </x:c>
      <x:c r="AC119" t="n">
        <x:v>0</x:v>
      </x:c>
      <x:c r="AD119" t="n">
        <x:v>2</x:v>
      </x:c>
      <x:c r="AE119" t="str">
        <x:v>Default: None. A: Restore 4 Magic Armour, capped at normal Maximum Magic Armour. B: Gain 8 Ward Magic Armour (add 8 to current Magic Armour and temporary Maximum Magic Armour) for 2 turns.</x:v>
      </x:c>
      <x:c r="AF119" t="str">
        <x:v>2pc: While Magic Armour remains, gain +2 Resolve. | 3pc: First time Magic Armour is depleted each combat, restore 1 Magic Armour.</x:v>
      </x:c>
      <x:c r="AG119" t="str">
        <x:v>Ember; Frost; Storm; Venom; Blood; Lunar; Solar</x:v>
      </x:c>
      <x:c r="AH119" t="str">
        <x:v>Restoration repairs only to normal maximum with a 1-turn cooldown. Fortify/Ward heal and overflow with 2-turn cooldowns; dual effects use 3 turns.</x:v>
      </x:c>
    </x:row>
    <x:row r="120">
      <x:c r="A120" t="str">
        <x:v>ARM-008</x:v>
      </x:c>
      <x:c r="B120" t="str">
        <x:v>Sturdy Runewoven Mantle</x:v>
      </x:c>
      <x:c r="C120" t="str">
        <x:v>Green</x:v>
      </x:c>
      <x:c r="D120" t="str">
        <x:v>Armour/Plumage</x:v>
      </x:c>
      <x:c r="E120" t="str">
        <x:v>Runewoven Aegis</x:v>
      </x:c>
      <x:c r="F120" t="str">
        <x:v>Medium</x:v>
      </x:c>
      <x:c r="G120" t="str">
        <x:v>Mage, Siren, magical Bard</x:v>
      </x:c>
      <x:c r="H120"/>
      <x:c r="I120"/>
      <x:c r="J120" t="n">
        <x:v>0</x:v>
      </x:c>
      <x:c r="K120" t="n">
        <x:v>0</x:v>
      </x:c>
      <x:c r="L120" t="n">
        <x:v>0</x:v>
      </x:c>
      <x:c r="M120" t="n">
        <x:v>6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1</x:v>
      </x:c>
      <x:c r="S120" t="n">
        <x:v>1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str">
        <x:v>Mend Weave</x:v>
      </x:c>
      <x:c r="Y120" t="n">
        <x:v>2</x:v>
      </x:c>
      <x:c r="Z120" t="n">
        <x:v>0</x:v>
      </x:c>
      <x:c r="AA120" t="str">
        <x:v>Runic Ward</x:v>
      </x:c>
      <x:c r="AB120" t="n">
        <x:v>3</x:v>
      </x:c>
      <x:c r="AC120" t="n">
        <x:v>0</x:v>
      </x:c>
      <x:c r="AD120" t="n">
        <x:v>2</x:v>
      </x:c>
      <x:c r="AE120" t="str">
        <x:v>Default: Mend Weave. A: Restore 4 Magic Armour, capped at normal Maximum Magic Armour. B: Gain 8 Ward Magic Armour (add 8 to current Magic Armour and temporary Maximum Magic Armour) for 2 turns.</x:v>
      </x:c>
      <x:c r="AF120" t="str">
        <x:v>2pc: While Magic Armour remains, gain +2 Resolve. | 3pc: First time Magic Armour is depleted each combat, restore 1 Magic Armour.</x:v>
      </x:c>
      <x:c r="AG120" t="str">
        <x:v>Ember; Frost; Storm; Venom; Blood; Lunar; Solar</x:v>
      </x:c>
      <x:c r="AH120" t="str">
        <x:v>Restoration repairs only to normal maximum with a 1-turn cooldown. Fortify/Ward heal and overflow with 2-turn cooldowns; dual effects use 3 turns.</x:v>
      </x:c>
    </x:row>
    <x:row r="121">
      <x:c r="A121" t="str">
        <x:v>ARM-009</x:v>
      </x:c>
      <x:c r="B121" t="str">
        <x:v>Tempered Runewoven Mantle</x:v>
      </x:c>
      <x:c r="C121" t="str">
        <x:v>Blue</x:v>
      </x:c>
      <x:c r="D121" t="str">
        <x:v>Armour/Plumage</x:v>
      </x:c>
      <x:c r="E121" t="str">
        <x:v>Runewoven Aegis</x:v>
      </x:c>
      <x:c r="F121" t="str">
        <x:v>Medium</x:v>
      </x:c>
      <x:c r="G121" t="str">
        <x:v>Mage, Siren, magical Bard</x:v>
      </x:c>
      <x:c r="H121"/>
      <x:c r="I121"/>
      <x:c r="J121" t="n">
        <x:v>0</x:v>
      </x:c>
      <x:c r="K121" t="n">
        <x:v>0</x:v>
      </x:c>
      <x:c r="L121" t="n">
        <x:v>1</x:v>
      </x:c>
      <x:c r="M121" t="n">
        <x:v>8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1</x:v>
      </x:c>
      <x:c r="S121" t="n">
        <x:v>2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str">
        <x:v>Mend Weave</x:v>
      </x:c>
      <x:c r="Y121" t="n">
        <x:v>2</x:v>
      </x:c>
      <x:c r="Z121" t="n">
        <x:v>0</x:v>
      </x:c>
      <x:c r="AA121" t="str">
        <x:v>Runic Ward</x:v>
      </x:c>
      <x:c r="AB121" t="n">
        <x:v>3</x:v>
      </x:c>
      <x:c r="AC121" t="n">
        <x:v>0</x:v>
      </x:c>
      <x:c r="AD121" t="n">
        <x:v>2</x:v>
      </x:c>
      <x:c r="AE121" t="str">
        <x:v>Default: Mend Weave. A: Restore 4 Magic Armour, capped at normal Maximum Magic Armour. B: Gain 8 Ward Magic Armour (add 8 to current Magic Armour and temporary Maximum Magic Armour) for 2 turns.</x:v>
      </x:c>
      <x:c r="AF121" t="str">
        <x:v>2pc: While Magic Armour remains, gain +3 Resolve. | 3pc: First time Magic Armour is depleted each combat, restore 2 Magic Armour.</x:v>
      </x:c>
      <x:c r="AG121" t="str">
        <x:v>Ember; Frost; Storm; Venom; Blood; Lunar; Solar</x:v>
      </x:c>
      <x:c r="AH121" t="str">
        <x:v>Restoration repairs only to normal maximum with a 1-turn cooldown. Fortify/Ward heal and overflow with 2-turn cooldowns; dual effects use 3 turns.</x:v>
      </x:c>
    </x:row>
    <x:row r="122">
      <x:c r="A122" t="str">
        <x:v>ARM-010</x:v>
      </x:c>
      <x:c r="B122" t="str">
        <x:v>Masterwork Runewoven Mantle</x:v>
      </x:c>
      <x:c r="C122" t="str">
        <x:v>Purple</x:v>
      </x:c>
      <x:c r="D122" t="str">
        <x:v>Armour/Plumage</x:v>
      </x:c>
      <x:c r="E122" t="str">
        <x:v>Runewoven Aegis</x:v>
      </x:c>
      <x:c r="F122" t="str">
        <x:v>Medium</x:v>
      </x:c>
      <x:c r="G122" t="str">
        <x:v>Mage, Siren, magical Bard</x:v>
      </x:c>
      <x:c r="H122"/>
      <x:c r="I122"/>
      <x:c r="J122" t="n">
        <x:v>0</x:v>
      </x:c>
      <x:c r="K122" t="n">
        <x:v>0</x:v>
      </x:c>
      <x:c r="L122" t="n">
        <x:v>1</x:v>
      </x:c>
      <x:c r="M122" t="n">
        <x:v>11</x:v>
      </x:c>
      <x:c r="N122" t="n">
        <x:v>1</x:v>
      </x:c>
      <x:c r="O122" t="n">
        <x:v>0</x:v>
      </x:c>
      <x:c r="P122" t="n">
        <x:v>0</x:v>
      </x:c>
      <x:c r="Q122" t="n">
        <x:v>0</x:v>
      </x:c>
      <x:c r="R122" t="n">
        <x:v>1</x:v>
      </x:c>
      <x:c r="S122" t="n">
        <x:v>3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str">
        <x:v>Mend Weave</x:v>
      </x:c>
      <x:c r="Y122" t="n">
        <x:v>2</x:v>
      </x:c>
      <x:c r="Z122" t="n">
        <x:v>0</x:v>
      </x:c>
      <x:c r="AA122" t="str">
        <x:v>Runic Ward</x:v>
      </x:c>
      <x:c r="AB122" t="n">
        <x:v>3</x:v>
      </x:c>
      <x:c r="AC122" t="n">
        <x:v>0</x:v>
      </x:c>
      <x:c r="AD122" t="n">
        <x:v>2</x:v>
      </x:c>
      <x:c r="AE122" t="str">
        <x:v>Default: Runic Ward. A: Restore 4 Magic Armour, capped at normal Maximum Magic Armour. B: Gain 8 Ward Magic Armour (add 8 to current Magic Armour and temporary Maximum Magic Armour) for 2 turns.</x:v>
      </x:c>
      <x:c r="AF122" t="str">
        <x:v>2pc: While Magic Armour remains, gain +3 Resolve. | 3pc: First time Magic Armour is depleted each combat, restore 2 Magic Armour.</x:v>
      </x:c>
      <x:c r="AG122" t="str">
        <x:v>Ember; Frost; Storm; Venom; Blood; Lunar; Solar</x:v>
      </x:c>
      <x:c r="AH122" t="str">
        <x:v>Restoration repairs only to normal maximum with a 1-turn cooldown. Fortify/Ward heal and overflow with 2-turn cooldowns; dual effects use 3 turns.</x:v>
      </x:c>
    </x:row>
    <x:row r="123">
      <x:c r="A123" t="str">
        <x:v>ARM-011</x:v>
      </x:c>
      <x:c r="B123" t="str">
        <x:v>Regal Runewoven Mantle</x:v>
      </x:c>
      <x:c r="C123" t="str">
        <x:v>Gold</x:v>
      </x:c>
      <x:c r="D123" t="str">
        <x:v>Armour/Plumage</x:v>
      </x:c>
      <x:c r="E123" t="str">
        <x:v>Runewoven Aegis</x:v>
      </x:c>
      <x:c r="F123" t="str">
        <x:v>Medium</x:v>
      </x:c>
      <x:c r="G123" t="str">
        <x:v>Mage, Siren, magical Bard</x:v>
      </x:c>
      <x:c r="H123"/>
      <x:c r="I123"/>
      <x:c r="J123" t="n">
        <x:v>0</x:v>
      </x:c>
      <x:c r="K123" t="n">
        <x:v>0</x:v>
      </x:c>
      <x:c r="L123" t="n">
        <x:v>2</x:v>
      </x:c>
      <x:c r="M123" t="n">
        <x:v>14</x:v>
      </x:c>
      <x:c r="N123" t="n">
        <x:v>1</x:v>
      </x:c>
      <x:c r="O123" t="n">
        <x:v>0</x:v>
      </x:c>
      <x:c r="P123" t="n">
        <x:v>0</x:v>
      </x:c>
      <x:c r="Q123" t="n">
        <x:v>0</x:v>
      </x:c>
      <x:c r="R123" t="n">
        <x:v>2</x:v>
      </x:c>
      <x:c r="S123" t="n">
        <x:v>4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str">
        <x:v>Mend Weave</x:v>
      </x:c>
      <x:c r="Y123" t="n">
        <x:v>2</x:v>
      </x:c>
      <x:c r="Z123" t="n">
        <x:v>0</x:v>
      </x:c>
      <x:c r="AA123" t="str">
        <x:v>Runic Ward</x:v>
      </x:c>
      <x:c r="AB123" t="n">
        <x:v>3</x:v>
      </x:c>
      <x:c r="AC123" t="n">
        <x:v>0</x:v>
      </x:c>
      <x:c r="AD123" t="n">
        <x:v>2</x:v>
      </x:c>
      <x:c r="AE123" t="str">
        <x:v>Default: Runic Ward. A: Restore 4 Magic Armour, capped at normal Maximum Magic Armour. B: Gain 8 Ward Magic Armour (add 8 to current Magic Armour and temporary Maximum Magic Armour) for 2 turns.</x:v>
      </x:c>
      <x:c r="AF123" t="str">
        <x:v>2pc: While Magic Armour remains, gain +4 Resolve. | 3pc: First time Magic Armour is depleted each combat, restore 3 Magic Armour.</x:v>
      </x:c>
      <x:c r="AG123" t="str">
        <x:v>Ember; Frost; Storm; Venom; Blood; Lunar; Solar</x:v>
      </x:c>
      <x:c r="AH123" t="str">
        <x:v>Restoration repairs only to normal maximum with a 1-turn cooldown. Fortify/Ward heal and overflow with 2-turn cooldowns; dual effects use 3 turns.</x:v>
      </x:c>
    </x:row>
    <x:row r="124">
      <x:c r="A124" t="str">
        <x:v>ARM-012</x:v>
      </x:c>
      <x:c r="B124" t="str">
        <x:v>Mythic Runewoven Mantle</x:v>
      </x:c>
      <x:c r="C124" t="str">
        <x:v>Orange</x:v>
      </x:c>
      <x:c r="D124" t="str">
        <x:v>Armour/Plumage</x:v>
      </x:c>
      <x:c r="E124" t="str">
        <x:v>Runewoven Aegis</x:v>
      </x:c>
      <x:c r="F124" t="str">
        <x:v>Medium</x:v>
      </x:c>
      <x:c r="G124" t="str">
        <x:v>Mage, Siren, magical Bard</x:v>
      </x:c>
      <x:c r="H124"/>
      <x:c r="I124"/>
      <x:c r="J124" t="n">
        <x:v>0</x:v>
      </x:c>
      <x:c r="K124" t="n">
        <x:v>0</x:v>
      </x:c>
      <x:c r="L124" t="n">
        <x:v>3</x:v>
      </x:c>
      <x:c r="M124" t="n">
        <x:v>19</x:v>
      </x:c>
      <x:c r="N124" t="n">
        <x:v>2</x:v>
      </x:c>
      <x:c r="O124" t="n">
        <x:v>0</x:v>
      </x:c>
      <x:c r="P124" t="n">
        <x:v>0</x:v>
      </x:c>
      <x:c r="Q124" t="n">
        <x:v>0</x:v>
      </x:c>
      <x:c r="R124" t="n">
        <x:v>2</x:v>
      </x:c>
      <x:c r="S124" t="n">
        <x:v>5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str">
        <x:v>Mend Weave</x:v>
      </x:c>
      <x:c r="Y124" t="n">
        <x:v>2</x:v>
      </x:c>
      <x:c r="Z124" t="n">
        <x:v>0</x:v>
      </x:c>
      <x:c r="AA124" t="str">
        <x:v>Runic Ward</x:v>
      </x:c>
      <x:c r="AB124" t="n">
        <x:v>3</x:v>
      </x:c>
      <x:c r="AC124" t="n">
        <x:v>0</x:v>
      </x:c>
      <x:c r="AD124" t="n">
        <x:v>2</x:v>
      </x:c>
      <x:c r="AE124" t="str">
        <x:v>Default: Runic Ward. A: Restore 4 Magic Armour, capped at normal Maximum Magic Armour. B: Gain 8 Ward Magic Armour (add 8 to current Magic Armour and temporary Maximum Magic Armour) for 2 turns.</x:v>
      </x:c>
      <x:c r="AF124" t="str">
        <x:v>2pc: While Magic Armour remains, gain +5 Resolve. | 3pc: First time Magic Armour is depleted each combat, restore 4 Magic Armour.</x:v>
      </x:c>
      <x:c r="AG124" t="str">
        <x:v>Ember; Frost; Storm; Venom; Blood; Lunar; Solar</x:v>
      </x:c>
      <x:c r="AH124" t="str">
        <x:v>Restoration repairs only to normal maximum with a 1-turn cooldown. Fortify/Ward heal and overflow with 2-turn cooldowns; dual effects use 3 turns.</x:v>
      </x:c>
    </x:row>
    <x:row r="125">
      <x:c r="A125" t="str">
        <x:v>ARM-013</x:v>
      </x:c>
      <x:c r="B125" t="str">
        <x:v>Layered Scale Plumage</x:v>
      </x:c>
      <x:c r="C125" t="str">
        <x:v>Grey</x:v>
      </x:c>
      <x:c r="D125" t="str">
        <x:v>Armour/Plumage</x:v>
      </x:c>
      <x:c r="E125" t="str">
        <x:v>Layered Scale</x:v>
      </x:c>
      <x:c r="F125" t="str">
        <x:v>Medium</x:v>
      </x:c>
      <x:c r="G125" t="str">
        <x:v>Generalist, Inquisitor, Bard</x:v>
      </x:c>
      <x:c r="H125"/>
      <x:c r="I125"/>
      <x:c r="J125" t="n">
        <x:v>0</x:v>
      </x:c>
      <x:c r="K125" t="n">
        <x:v>0</x:v>
      </x:c>
      <x:c r="L125" t="n">
        <x:v>2</x:v>
      </x:c>
      <x:c r="M125" t="n">
        <x:v>2</x:v>
      </x:c>
      <x:c r="N125" t="n">
        <x:v>1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str">
        <x:v>Rebalance Plates</x:v>
      </x:c>
      <x:c r="Y125" t="n">
        <x:v>2</x:v>
      </x:c>
      <x:c r="Z125" t="n">
        <x:v>0</x:v>
      </x:c>
      <x:c r="AA125" t="str">
        <x:v>Dual Bastion</x:v>
      </x:c>
      <x:c r="AB125" t="n">
        <x:v>3</x:v>
      </x:c>
      <x:c r="AC125" t="n">
        <x:v>0</x:v>
      </x:c>
      <x:c r="AD125" t="n">
        <x:v>3</x:v>
      </x:c>
      <x:c r="AE125" t="str">
        <x:v>Default: None. A: Restore 3 Armour and 3 Magic Armour. B: Gain 5 Fortified Armour (add 5 to current Armour and temporary Maximum Armour) and 5 Ward Magic Armour (add 5 to current Magic Armour and temporary Maximum Magic Armour) for 2 turns.</x:v>
      </x:c>
      <x:c r="AF125" t="str">
        <x:v>2pc: Begin combat with +1 Maximum Armour and +1 Maximum Magic Armour. | 3pc: Once per combat when either protection pool is depleted, restore 1 to both pools.</x:v>
      </x:c>
      <x:c r="AG125" t="str">
        <x:v>Ember; Frost; Storm; Venom; Blood; Lunar; Solar</x:v>
      </x:c>
      <x:c r="AH125" t="str">
        <x:v>Restoration repairs only to normal maximum with a 1-turn cooldown. Fortify/Ward heal and overflow with 2-turn cooldowns; dual effects use 3 turns.</x:v>
      </x:c>
    </x:row>
    <x:row r="126">
      <x:c r="A126" t="str">
        <x:v>ARM-014</x:v>
      </x:c>
      <x:c r="B126" t="str">
        <x:v>Sturdy Layered Scale Plumage</x:v>
      </x:c>
      <x:c r="C126" t="str">
        <x:v>Green</x:v>
      </x:c>
      <x:c r="D126" t="str">
        <x:v>Armour/Plumage</x:v>
      </x:c>
      <x:c r="E126" t="str">
        <x:v>Layered Scale</x:v>
      </x:c>
      <x:c r="F126" t="str">
        <x:v>Medium</x:v>
      </x:c>
      <x:c r="G126" t="str">
        <x:v>Generalist, Inquisitor, Bard</x:v>
      </x:c>
      <x:c r="H126"/>
      <x:c r="I126"/>
      <x:c r="J126" t="n">
        <x:v>0</x:v>
      </x:c>
      <x:c r="K126" t="n">
        <x:v>0</x:v>
      </x:c>
      <x:c r="L126" t="n">
        <x:v>3</x:v>
      </x:c>
      <x:c r="M126" t="n">
        <x:v>3</x:v>
      </x:c>
      <x:c r="N126" t="n">
        <x:v>1</x:v>
      </x:c>
      <x:c r="O126" t="n">
        <x:v>0</x:v>
      </x:c>
      <x:c r="P126" t="n">
        <x:v>0</x:v>
      </x:c>
      <x:c r="Q126" t="n">
        <x:v>1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str">
        <x:v>Rebalance Plates</x:v>
      </x:c>
      <x:c r="Y126" t="n">
        <x:v>2</x:v>
      </x:c>
      <x:c r="Z126" t="n">
        <x:v>0</x:v>
      </x:c>
      <x:c r="AA126" t="str">
        <x:v>Dual Bastion</x:v>
      </x:c>
      <x:c r="AB126" t="n">
        <x:v>3</x:v>
      </x:c>
      <x:c r="AC126" t="n">
        <x:v>0</x:v>
      </x:c>
      <x:c r="AD126" t="n">
        <x:v>3</x:v>
      </x:c>
      <x:c r="AE126" t="str">
        <x:v>Default: Rebalance Plates. A: Restore 3 Armour and 3 Magic Armour. B: Gain 5 Fortified Armour (add 5 to current Armour and temporary Maximum Armour) and 5 Ward Magic Armour (add 5 to current Magic Armour and temporary Maximum Magic Armour) for 2 turns.</x:v>
      </x:c>
      <x:c r="AF126" t="str">
        <x:v>2pc: Begin combat with +1 Maximum Armour and +1 Maximum Magic Armour. | 3pc: Once per combat when either protection pool is depleted, restore 1 to both pools.</x:v>
      </x:c>
      <x:c r="AG126" t="str">
        <x:v>Ember; Frost; Storm; Venom; Blood; Lunar; Solar</x:v>
      </x:c>
      <x:c r="AH126" t="str">
        <x:v>Restoration repairs only to normal maximum with a 1-turn cooldown. Fortify/Ward heal and overflow with 2-turn cooldowns; dual effects use 3 turns.</x:v>
      </x:c>
    </x:row>
    <x:row r="127">
      <x:c r="A127" t="str">
        <x:v>ARM-015</x:v>
      </x:c>
      <x:c r="B127" t="str">
        <x:v>Tempered Layered Scale Plumage</x:v>
      </x:c>
      <x:c r="C127" t="str">
        <x:v>Blue</x:v>
      </x:c>
      <x:c r="D127" t="str">
        <x:v>Armour/Plumage</x:v>
      </x:c>
      <x:c r="E127" t="str">
        <x:v>Layered Scale</x:v>
      </x:c>
      <x:c r="F127" t="str">
        <x:v>Medium</x:v>
      </x:c>
      <x:c r="G127" t="str">
        <x:v>Generalist, Inquisitor, Bard</x:v>
      </x:c>
      <x:c r="H127"/>
      <x:c r="I127"/>
      <x:c r="J127" t="n">
        <x:v>0</x:v>
      </x:c>
      <x:c r="K127" t="n">
        <x:v>0</x:v>
      </x:c>
      <x:c r="L127" t="n">
        <x:v>5</x:v>
      </x:c>
      <x:c r="M127" t="n">
        <x:v>4</x:v>
      </x:c>
      <x:c r="N127" t="n">
        <x:v>2</x:v>
      </x:c>
      <x:c r="O127" t="n">
        <x:v>0</x:v>
      </x:c>
      <x:c r="P127" t="n">
        <x:v>0</x:v>
      </x:c>
      <x:c r="Q127" t="n">
        <x:v>1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str">
        <x:v>Rebalance Plates</x:v>
      </x:c>
      <x:c r="Y127" t="n">
        <x:v>2</x:v>
      </x:c>
      <x:c r="Z127" t="n">
        <x:v>0</x:v>
      </x:c>
      <x:c r="AA127" t="str">
        <x:v>Dual Bastion</x:v>
      </x:c>
      <x:c r="AB127" t="n">
        <x:v>3</x:v>
      </x:c>
      <x:c r="AC127" t="n">
        <x:v>0</x:v>
      </x:c>
      <x:c r="AD127" t="n">
        <x:v>3</x:v>
      </x:c>
      <x:c r="AE127" t="str">
        <x:v>Default: Rebalance Plates. A: Restore 3 Armour and 3 Magic Armour. B: Gain 5 Fortified Armour (add 5 to current Armour and temporary Maximum Armour) and 5 Ward Magic Armour (add 5 to current Magic Armour and temporary Maximum Magic Armour) for 2 turns.</x:v>
      </x:c>
      <x:c r="AF127" t="str">
        <x:v>2pc: Begin combat with +2 Maximum Armour and +2 Maximum Magic Armour. | 3pc: Once per combat when either protection pool is depleted, restore 1 to both pools.</x:v>
      </x:c>
      <x:c r="AG127" t="str">
        <x:v>Ember; Frost; Storm; Venom; Blood; Lunar; Solar</x:v>
      </x:c>
      <x:c r="AH127" t="str">
        <x:v>Restoration repairs only to normal maximum with a 1-turn cooldown. Fortify/Ward heal and overflow with 2-turn cooldowns; dual effects use 3 turns.</x:v>
      </x:c>
    </x:row>
    <x:row r="128">
      <x:c r="A128" t="str">
        <x:v>ARM-016</x:v>
      </x:c>
      <x:c r="B128" t="str">
        <x:v>Masterwork Layered Scale Plumage</x:v>
      </x:c>
      <x:c r="C128" t="str">
        <x:v>Purple</x:v>
      </x:c>
      <x:c r="D128" t="str">
        <x:v>Armour/Plumage</x:v>
      </x:c>
      <x:c r="E128" t="str">
        <x:v>Layered Scale</x:v>
      </x:c>
      <x:c r="F128" t="str">
        <x:v>Medium</x:v>
      </x:c>
      <x:c r="G128" t="str">
        <x:v>Generalist, Inquisitor, Bard</x:v>
      </x:c>
      <x:c r="H128"/>
      <x:c r="I128"/>
      <x:c r="J128" t="n">
        <x:v>0</x:v>
      </x:c>
      <x:c r="K128" t="n">
        <x:v>0</x:v>
      </x:c>
      <x:c r="L128" t="n">
        <x:v>6</x:v>
      </x:c>
      <x:c r="M128" t="n">
        <x:v>6</x:v>
      </x:c>
      <x:c r="N128" t="n">
        <x:v>3</x:v>
      </x:c>
      <x:c r="O128" t="n">
        <x:v>0</x:v>
      </x:c>
      <x:c r="P128" t="n">
        <x:v>0</x:v>
      </x:c>
      <x:c r="Q128" t="n">
        <x:v>1</x:v>
      </x:c>
      <x:c r="R128" t="n">
        <x:v>0</x:v>
      </x:c>
      <x:c r="S128" t="n">
        <x:v>1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str">
        <x:v>Rebalance Plates</x:v>
      </x:c>
      <x:c r="Y128" t="n">
        <x:v>2</x:v>
      </x:c>
      <x:c r="Z128" t="n">
        <x:v>0</x:v>
      </x:c>
      <x:c r="AA128" t="str">
        <x:v>Dual Bastion</x:v>
      </x:c>
      <x:c r="AB128" t="n">
        <x:v>3</x:v>
      </x:c>
      <x:c r="AC128" t="n">
        <x:v>0</x:v>
      </x:c>
      <x:c r="AD128" t="n">
        <x:v>3</x:v>
      </x:c>
      <x:c r="AE128" t="str">
        <x:v>Default: Dual Bastion. A: Restore 3 Armour and 3 Magic Armour. B: Gain 5 Fortified Armour (add 5 to current Armour and temporary Maximum Armour) and 5 Ward Magic Armour (add 5 to current Magic Armour and temporary Maximum Magic Armour) for 2 turns.</x:v>
      </x:c>
      <x:c r="AF128" t="str">
        <x:v>2pc: Begin combat with +2 Maximum Armour and +2 Maximum Magic Armour. | 3pc: Once per combat when either protection pool is depleted, restore 1 to both pools.</x:v>
      </x:c>
      <x:c r="AG128" t="str">
        <x:v>Ember; Frost; Storm; Venom; Blood; Lunar; Solar</x:v>
      </x:c>
      <x:c r="AH128" t="str">
        <x:v>Restoration repairs only to normal maximum with a 1-turn cooldown. Fortify/Ward heal and overflow with 2-turn cooldowns; dual effects use 3 turns.</x:v>
      </x:c>
    </x:row>
    <x:row r="129">
      <x:c r="A129" t="str">
        <x:v>ARM-017</x:v>
      </x:c>
      <x:c r="B129" t="str">
        <x:v>Regal Layered Scale Plumage</x:v>
      </x:c>
      <x:c r="C129" t="str">
        <x:v>Gold</x:v>
      </x:c>
      <x:c r="D129" t="str">
        <x:v>Armour/Plumage</x:v>
      </x:c>
      <x:c r="E129" t="str">
        <x:v>Layered Scale</x:v>
      </x:c>
      <x:c r="F129" t="str">
        <x:v>Medium</x:v>
      </x:c>
      <x:c r="G129" t="str">
        <x:v>Generalist, Inquisitor, Bard</x:v>
      </x:c>
      <x:c r="H129"/>
      <x:c r="I129"/>
      <x:c r="J129" t="n">
        <x:v>0</x:v>
      </x:c>
      <x:c r="K129" t="n">
        <x:v>0</x:v>
      </x:c>
      <x:c r="L129" t="n">
        <x:v>8</x:v>
      </x:c>
      <x:c r="M129" t="n">
        <x:v>8</x:v>
      </x:c>
      <x:c r="N129" t="n">
        <x:v>4</x:v>
      </x:c>
      <x:c r="O129" t="n">
        <x:v>0</x:v>
      </x:c>
      <x:c r="P129" t="n">
        <x:v>0</x:v>
      </x:c>
      <x:c r="Q129" t="n">
        <x:v>2</x:v>
      </x:c>
      <x:c r="R129" t="n">
        <x:v>0</x:v>
      </x:c>
      <x:c r="S129" t="n">
        <x:v>1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str">
        <x:v>Rebalance Plates</x:v>
      </x:c>
      <x:c r="Y129" t="n">
        <x:v>2</x:v>
      </x:c>
      <x:c r="Z129" t="n">
        <x:v>0</x:v>
      </x:c>
      <x:c r="AA129" t="str">
        <x:v>Dual Bastion</x:v>
      </x:c>
      <x:c r="AB129" t="n">
        <x:v>3</x:v>
      </x:c>
      <x:c r="AC129" t="n">
        <x:v>0</x:v>
      </x:c>
      <x:c r="AD129" t="n">
        <x:v>3</x:v>
      </x:c>
      <x:c r="AE129" t="str">
        <x:v>Default: Dual Bastion. A: Restore 3 Armour and 3 Magic Armour. B: Gain 5 Fortified Armour (add 5 to current Armour and temporary Maximum Armour) and 5 Ward Magic Armour (add 5 to current Magic Armour and temporary Maximum Magic Armour) for 2 turns.</x:v>
      </x:c>
      <x:c r="AF129" t="str">
        <x:v>2pc: Begin combat with +3 Maximum Armour and +3 Maximum Magic Armour. | 3pc: Once per combat when either protection pool is depleted, restore 2 to both pools.</x:v>
      </x:c>
      <x:c r="AG129" t="str">
        <x:v>Ember; Frost; Storm; Venom; Blood; Lunar; Solar</x:v>
      </x:c>
      <x:c r="AH129" t="str">
        <x:v>Restoration repairs only to normal maximum with a 1-turn cooldown. Fortify/Ward heal and overflow with 2-turn cooldowns; dual effects use 3 turns.</x:v>
      </x:c>
    </x:row>
    <x:row r="130">
      <x:c r="A130" t="str">
        <x:v>ARM-018</x:v>
      </x:c>
      <x:c r="B130" t="str">
        <x:v>Mythic Layered Scale Plumage</x:v>
      </x:c>
      <x:c r="C130" t="str">
        <x:v>Orange</x:v>
      </x:c>
      <x:c r="D130" t="str">
        <x:v>Armour/Plumage</x:v>
      </x:c>
      <x:c r="E130" t="str">
        <x:v>Layered Scale</x:v>
      </x:c>
      <x:c r="F130" t="str">
        <x:v>Medium</x:v>
      </x:c>
      <x:c r="G130" t="str">
        <x:v>Generalist, Inquisitor, Bard</x:v>
      </x:c>
      <x:c r="H130"/>
      <x:c r="I130"/>
      <x:c r="J130" t="n">
        <x:v>0</x:v>
      </x:c>
      <x:c r="K130" t="n">
        <x:v>0</x:v>
      </x:c>
      <x:c r="L130" t="n">
        <x:v>11</x:v>
      </x:c>
      <x:c r="M130" t="n">
        <x:v>11</x:v>
      </x:c>
      <x:c r="N130" t="n">
        <x:v>5</x:v>
      </x:c>
      <x:c r="O130" t="n">
        <x:v>0</x:v>
      </x:c>
      <x:c r="P130" t="n">
        <x:v>0</x:v>
      </x:c>
      <x:c r="Q130" t="n">
        <x:v>2</x:v>
      </x:c>
      <x:c r="R130" t="n">
        <x:v>0</x:v>
      </x:c>
      <x:c r="S130" t="n">
        <x:v>2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str">
        <x:v>Rebalance Plates</x:v>
      </x:c>
      <x:c r="Y130" t="n">
        <x:v>2</x:v>
      </x:c>
      <x:c r="Z130" t="n">
        <x:v>0</x:v>
      </x:c>
      <x:c r="AA130" t="str">
        <x:v>Dual Bastion</x:v>
      </x:c>
      <x:c r="AB130" t="n">
        <x:v>3</x:v>
      </x:c>
      <x:c r="AC130" t="n">
        <x:v>0</x:v>
      </x:c>
      <x:c r="AD130" t="n">
        <x:v>3</x:v>
      </x:c>
      <x:c r="AE130" t="str">
        <x:v>Default: Dual Bastion. A: Restore 3 Armour and 3 Magic Armour. B: Gain 5 Fortified Armour (add 5 to current Armour and temporary Maximum Armour) and 5 Ward Magic Armour (add 5 to current Magic Armour and temporary Maximum Magic Armour) for 2 turns.</x:v>
      </x:c>
      <x:c r="AF130" t="str">
        <x:v>2pc: Begin combat with +4 Maximum Armour and +4 Maximum Magic Armour. | 3pc: Once per combat when either protection pool is depleted, restore 2 to both pools.</x:v>
      </x:c>
      <x:c r="AG130" t="str">
        <x:v>Ember; Frost; Storm; Venom; Blood; Lunar; Solar</x:v>
      </x:c>
      <x:c r="AH130" t="str">
        <x:v>Restoration repairs only to normal maximum with a 1-turn cooldown. Fortify/Ward heal and overflow with 2-turn cooldowns; dual effects use 3 turns.</x:v>
      </x:c>
    </x:row>
    <x:row r="131">
      <x:c r="A131" t="str">
        <x:v>ARM-019</x:v>
      </x:c>
      <x:c r="B131" t="str">
        <x:v>Shadowplume Vest</x:v>
      </x:c>
      <x:c r="C131" t="str">
        <x:v>Grey</x:v>
      </x:c>
      <x:c r="D131" t="str">
        <x:v>Armour/Plumage</x:v>
      </x:c>
      <x:c r="E131" t="str">
        <x:v>Shadowplume</x:v>
      </x:c>
      <x:c r="F131" t="str">
        <x:v>Light</x:v>
      </x:c>
      <x:c r="G131" t="str">
        <x:v>Rogue, Dexterity Bard, bow user</x:v>
      </x:c>
      <x:c r="H131"/>
      <x:c r="I131"/>
      <x:c r="J131" t="n">
        <x:v>0</x:v>
      </x:c>
      <x:c r="K131" t="n">
        <x:v>0</x:v>
      </x:c>
      <x:c r="L131" t="n">
        <x:v>1</x:v>
      </x:c>
      <x:c r="M131" t="n">
        <x:v>2</x:v>
      </x:c>
      <x:c r="N131" t="n">
        <x:v>0</x:v>
      </x:c>
      <x:c r="O131" t="n">
        <x:v>0</x:v>
      </x:c>
      <x:c r="P131" t="n">
        <x:v>1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str">
        <x:v>Featherstep</x:v>
      </x:c>
      <x:c r="Y131" t="n">
        <x:v>2</x:v>
      </x:c>
      <x:c r="Z131" t="n">
        <x:v>0</x:v>
      </x:c>
      <x:c r="AA131" t="str">
        <x:v>Vanishing Plumage</x:v>
      </x:c>
      <x:c r="AB131" t="n">
        <x:v>3</x:v>
      </x:c>
      <x:c r="AC131" t="n">
        <x:v>0</x:v>
      </x:c>
      <x:c r="AD131" t="n">
        <x:v>2</x:v>
      </x:c>
      <x:c r="AE131" t="str">
        <x:v>Default: None. A: Gain Minor Agility Up for 2 turns and restore 2 Magic Armour. B: Gain 5 Ward Magic Armour (add 5 to current Magic Armour and temporary Maximum Magic Armour) and Minor Agility Up for 2 turns.</x:v>
      </x:c>
      <x:c r="AF131" t="str">
        <x:v>2pc: While both protection pools remain above zero, gain +2 Agility. | 3pc: First successful Dodge each combat restores 1 to the lower protection pool.</x:v>
      </x:c>
      <x:c r="AG131" t="str">
        <x:v>Ember; Frost; Storm; Venom; Blood; Lunar; Solar</x:v>
      </x:c>
      <x:c r="AH131" t="str">
        <x:v>Restoration repairs only to normal maximum with a 1-turn cooldown. Fortify/Ward heal and overflow with 2-turn cooldowns; dual effects use 3 turns.</x:v>
      </x:c>
    </x:row>
    <x:row r="132">
      <x:c r="A132" t="str">
        <x:v>ARM-020</x:v>
      </x:c>
      <x:c r="B132" t="str">
        <x:v>Sturdy Shadowplume Vest</x:v>
      </x:c>
      <x:c r="C132" t="str">
        <x:v>Green</x:v>
      </x:c>
      <x:c r="D132" t="str">
        <x:v>Armour/Plumage</x:v>
      </x:c>
      <x:c r="E132" t="str">
        <x:v>Shadowplume</x:v>
      </x:c>
      <x:c r="F132" t="str">
        <x:v>Light</x:v>
      </x:c>
      <x:c r="G132" t="str">
        <x:v>Rogue, Dexterity Bard, bow user</x:v>
      </x:c>
      <x:c r="H132"/>
      <x:c r="I132"/>
      <x:c r="J132" t="n">
        <x:v>0</x:v>
      </x:c>
      <x:c r="K132" t="n">
        <x:v>0</x:v>
      </x:c>
      <x:c r="L132" t="n">
        <x:v>2</x:v>
      </x:c>
      <x:c r="M132" t="n">
        <x:v>3</x:v>
      </x:c>
      <x:c r="N132" t="n">
        <x:v>0</x:v>
      </x:c>
      <x:c r="O132" t="n">
        <x:v>0</x:v>
      </x:c>
      <x:c r="P132" t="n">
        <x:v>1</x:v>
      </x:c>
      <x:c r="Q132" t="n">
        <x:v>0</x:v>
      </x:c>
      <x:c r="R132" t="n">
        <x:v>0</x:v>
      </x:c>
      <x:c r="S132" t="n">
        <x:v>0</x:v>
      </x:c>
      <x:c r="T132" t="n">
        <x:v>1</x:v>
      </x:c>
      <x:c r="U132" t="n">
        <x:v>0</x:v>
      </x:c>
      <x:c r="V132" t="n">
        <x:v>0</x:v>
      </x:c>
      <x:c r="W132" t="n">
        <x:v>0</x:v>
      </x:c>
      <x:c r="X132" t="str">
        <x:v>Featherstep</x:v>
      </x:c>
      <x:c r="Y132" t="n">
        <x:v>2</x:v>
      </x:c>
      <x:c r="Z132" t="n">
        <x:v>0</x:v>
      </x:c>
      <x:c r="AA132" t="str">
        <x:v>Vanishing Plumage</x:v>
      </x:c>
      <x:c r="AB132" t="n">
        <x:v>3</x:v>
      </x:c>
      <x:c r="AC132" t="n">
        <x:v>0</x:v>
      </x:c>
      <x:c r="AD132" t="n">
        <x:v>2</x:v>
      </x:c>
      <x:c r="AE132" t="str">
        <x:v>Default: Featherstep. A: Gain Minor Agility Up for 2 turns and restore 2 Magic Armour. B: Gain 5 Ward Magic Armour (add 5 to current Magic Armour and temporary Maximum Magic Armour) and Minor Agility Up for 2 turns.</x:v>
      </x:c>
      <x:c r="AF132" t="str">
        <x:v>2pc: While both protection pools remain above zero, gain +2 Agility. | 3pc: First successful Dodge each combat restores 1 to the lower protection pool.</x:v>
      </x:c>
      <x:c r="AG132" t="str">
        <x:v>Ember; Frost; Storm; Venom; Blood; Lunar; Solar</x:v>
      </x:c>
      <x:c r="AH132" t="str">
        <x:v>Restoration repairs only to normal maximum with a 1-turn cooldown. Fortify/Ward heal and overflow with 2-turn cooldowns; dual effects use 3 turns.</x:v>
      </x:c>
    </x:row>
    <x:row r="133">
      <x:c r="A133" t="str">
        <x:v>ARM-021</x:v>
      </x:c>
      <x:c r="B133" t="str">
        <x:v>Tempered Shadowplume Vest</x:v>
      </x:c>
      <x:c r="C133" t="str">
        <x:v>Blue</x:v>
      </x:c>
      <x:c r="D133" t="str">
        <x:v>Armour/Plumage</x:v>
      </x:c>
      <x:c r="E133" t="str">
        <x:v>Shadowplume</x:v>
      </x:c>
      <x:c r="F133" t="str">
        <x:v>Light</x:v>
      </x:c>
      <x:c r="G133" t="str">
        <x:v>Rogue, Dexterity Bard, bow user</x:v>
      </x:c>
      <x:c r="H133"/>
      <x:c r="I133"/>
      <x:c r="J133" t="n">
        <x:v>0</x:v>
      </x:c>
      <x:c r="K133" t="n">
        <x:v>0</x:v>
      </x:c>
      <x:c r="L133" t="n">
        <x:v>3</x:v>
      </x:c>
      <x:c r="M133" t="n">
        <x:v>4</x:v>
      </x:c>
      <x:c r="N133" t="n">
        <x:v>0</x:v>
      </x:c>
      <x:c r="O133" t="n">
        <x:v>0</x:v>
      </x:c>
      <x:c r="P133" t="n">
        <x:v>2</x:v>
      </x:c>
      <x:c r="Q133" t="n">
        <x:v>0</x:v>
      </x:c>
      <x:c r="R133" t="n">
        <x:v>0</x:v>
      </x:c>
      <x:c r="S133" t="n">
        <x:v>0</x:v>
      </x:c>
      <x:c r="T133" t="n">
        <x:v>1</x:v>
      </x:c>
      <x:c r="U133" t="n">
        <x:v>0</x:v>
      </x:c>
      <x:c r="V133" t="n">
        <x:v>0</x:v>
      </x:c>
      <x:c r="W133" t="n">
        <x:v>0</x:v>
      </x:c>
      <x:c r="X133" t="str">
        <x:v>Featherstep</x:v>
      </x:c>
      <x:c r="Y133" t="n">
        <x:v>2</x:v>
      </x:c>
      <x:c r="Z133" t="n">
        <x:v>0</x:v>
      </x:c>
      <x:c r="AA133" t="str">
        <x:v>Vanishing Plumage</x:v>
      </x:c>
      <x:c r="AB133" t="n">
        <x:v>3</x:v>
      </x:c>
      <x:c r="AC133" t="n">
        <x:v>0</x:v>
      </x:c>
      <x:c r="AD133" t="n">
        <x:v>2</x:v>
      </x:c>
      <x:c r="AE133" t="str">
        <x:v>Default: Featherstep. A: Gain Minor Agility Up for 2 turns and restore 2 Magic Armour. B: Gain 5 Ward Magic Armour (add 5 to current Magic Armour and temporary Maximum Magic Armour) and Minor Agility Up for 2 turns.</x:v>
      </x:c>
      <x:c r="AF133" t="str">
        <x:v>2pc: While both protection pools remain above zero, gain +3 Agility. | 3pc: First successful Dodge each combat restores 1 to the lower protection pool.</x:v>
      </x:c>
      <x:c r="AG133" t="str">
        <x:v>Ember; Frost; Storm; Venom; Blood; Lunar; Solar</x:v>
      </x:c>
      <x:c r="AH133" t="str">
        <x:v>Restoration repairs only to normal maximum with a 1-turn cooldown. Fortify/Ward heal and overflow with 2-turn cooldowns; dual effects use 3 turns.</x:v>
      </x:c>
    </x:row>
    <x:row r="134">
      <x:c r="A134" t="str">
        <x:v>ARM-022</x:v>
      </x:c>
      <x:c r="B134" t="str">
        <x:v>Masterwork Shadowplume Vest</x:v>
      </x:c>
      <x:c r="C134" t="str">
        <x:v>Purple</x:v>
      </x:c>
      <x:c r="D134" t="str">
        <x:v>Armour/Plumage</x:v>
      </x:c>
      <x:c r="E134" t="str">
        <x:v>Shadowplume</x:v>
      </x:c>
      <x:c r="F134" t="str">
        <x:v>Light</x:v>
      </x:c>
      <x:c r="G134" t="str">
        <x:v>Rogue, Dexterity Bard, bow user</x:v>
      </x:c>
      <x:c r="H134"/>
      <x:c r="I134"/>
      <x:c r="J134" t="n">
        <x:v>0</x:v>
      </x:c>
      <x:c r="K134" t="n">
        <x:v>0</x:v>
      </x:c>
      <x:c r="L134" t="n">
        <x:v>4</x:v>
      </x:c>
      <x:c r="M134" t="n">
        <x:v>6</x:v>
      </x:c>
      <x:c r="N134" t="n">
        <x:v>0</x:v>
      </x:c>
      <x:c r="O134" t="n">
        <x:v>0</x:v>
      </x:c>
      <x:c r="P134" t="n">
        <x:v>3</x:v>
      </x:c>
      <x:c r="Q134" t="n">
        <x:v>0</x:v>
      </x:c>
      <x:c r="R134" t="n">
        <x:v>0</x:v>
      </x:c>
      <x:c r="S134" t="n">
        <x:v>1</x:v>
      </x:c>
      <x:c r="T134" t="n">
        <x:v>1</x:v>
      </x:c>
      <x:c r="U134" t="n">
        <x:v>0</x:v>
      </x:c>
      <x:c r="V134" t="n">
        <x:v>0</x:v>
      </x:c>
      <x:c r="W134" t="n">
        <x:v>0</x:v>
      </x:c>
      <x:c r="X134" t="str">
        <x:v>Featherstep</x:v>
      </x:c>
      <x:c r="Y134" t="n">
        <x:v>2</x:v>
      </x:c>
      <x:c r="Z134" t="n">
        <x:v>0</x:v>
      </x:c>
      <x:c r="AA134" t="str">
        <x:v>Vanishing Plumage</x:v>
      </x:c>
      <x:c r="AB134" t="n">
        <x:v>3</x:v>
      </x:c>
      <x:c r="AC134" t="n">
        <x:v>0</x:v>
      </x:c>
      <x:c r="AD134" t="n">
        <x:v>2</x:v>
      </x:c>
      <x:c r="AE134" t="str">
        <x:v>Default: Vanishing Plumage. A: Gain Minor Agility Up for 2 turns and restore 2 Magic Armour. B: Gain 5 Ward Magic Armour (add 5 to current Magic Armour and temporary Maximum Magic Armour) and Minor Agility Up for 2 turns.</x:v>
      </x:c>
      <x:c r="AF134" t="str">
        <x:v>2pc: While both protection pools remain above zero, gain +3 Agility. | 3pc: First successful Dodge each combat restores 1 to the lower protection pool.</x:v>
      </x:c>
      <x:c r="AG134" t="str">
        <x:v>Ember; Frost; Storm; Venom; Blood; Lunar; Solar</x:v>
      </x:c>
      <x:c r="AH134" t="str">
        <x:v>Restoration repairs only to normal maximum with a 1-turn cooldown. Fortify/Ward heal and overflow with 2-turn cooldowns; dual effects use 3 turns.</x:v>
      </x:c>
    </x:row>
    <x:row r="135">
      <x:c r="A135" t="str">
        <x:v>ARM-023</x:v>
      </x:c>
      <x:c r="B135" t="str">
        <x:v>Regal Shadowplume Vest</x:v>
      </x:c>
      <x:c r="C135" t="str">
        <x:v>Gold</x:v>
      </x:c>
      <x:c r="D135" t="str">
        <x:v>Armour/Plumage</x:v>
      </x:c>
      <x:c r="E135" t="str">
        <x:v>Shadowplume</x:v>
      </x:c>
      <x:c r="F135" t="str">
        <x:v>Light</x:v>
      </x:c>
      <x:c r="G135" t="str">
        <x:v>Rogue, Dexterity Bard, bow user</x:v>
      </x:c>
      <x:c r="H135"/>
      <x:c r="I135"/>
      <x:c r="J135" t="n">
        <x:v>0</x:v>
      </x:c>
      <x:c r="K135" t="n">
        <x:v>0</x:v>
      </x:c>
      <x:c r="L135" t="n">
        <x:v>5</x:v>
      </x:c>
      <x:c r="M135" t="n">
        <x:v>8</x:v>
      </x:c>
      <x:c r="N135" t="n">
        <x:v>0</x:v>
      </x:c>
      <x:c r="O135" t="n">
        <x:v>0</x:v>
      </x:c>
      <x:c r="P135" t="n">
        <x:v>4</x:v>
      </x:c>
      <x:c r="Q135" t="n">
        <x:v>0</x:v>
      </x:c>
      <x:c r="R135" t="n">
        <x:v>0</x:v>
      </x:c>
      <x:c r="S135" t="n">
        <x:v>1</x:v>
      </x:c>
      <x:c r="T135" t="n">
        <x:v>2</x:v>
      </x:c>
      <x:c r="U135" t="n">
        <x:v>0</x:v>
      </x:c>
      <x:c r="V135" t="n">
        <x:v>0</x:v>
      </x:c>
      <x:c r="W135" t="n">
        <x:v>0</x:v>
      </x:c>
      <x:c r="X135" t="str">
        <x:v>Featherstep</x:v>
      </x:c>
      <x:c r="Y135" t="n">
        <x:v>2</x:v>
      </x:c>
      <x:c r="Z135" t="n">
        <x:v>0</x:v>
      </x:c>
      <x:c r="AA135" t="str">
        <x:v>Vanishing Plumage</x:v>
      </x:c>
      <x:c r="AB135" t="n">
        <x:v>3</x:v>
      </x:c>
      <x:c r="AC135" t="n">
        <x:v>0</x:v>
      </x:c>
      <x:c r="AD135" t="n">
        <x:v>2</x:v>
      </x:c>
      <x:c r="AE135" t="str">
        <x:v>Default: Vanishing Plumage. A: Gain Minor Agility Up for 2 turns and restore 2 Magic Armour. B: Gain 5 Ward Magic Armour (add 5 to current Magic Armour and temporary Maximum Magic Armour) and Minor Agility Up for 2 turns.</x:v>
      </x:c>
      <x:c r="AF135" t="str">
        <x:v>2pc: While both protection pools remain above zero, gain +4 Agility. | 3pc: First successful Dodge each combat restores 2 to the lower protection pool.</x:v>
      </x:c>
      <x:c r="AG135" t="str">
        <x:v>Ember; Frost; Storm; Venom; Blood; Lunar; Solar</x:v>
      </x:c>
      <x:c r="AH135" t="str">
        <x:v>Restoration repairs only to normal maximum with a 1-turn cooldown. Fortify/Ward heal and overflow with 2-turn cooldowns; dual effects use 3 turns.</x:v>
      </x:c>
    </x:row>
    <x:row r="136">
      <x:c r="A136" t="str">
        <x:v>ARM-024</x:v>
      </x:c>
      <x:c r="B136" t="str">
        <x:v>Mythic Shadowplume Vest</x:v>
      </x:c>
      <x:c r="C136" t="str">
        <x:v>Orange</x:v>
      </x:c>
      <x:c r="D136" t="str">
        <x:v>Armour/Plumage</x:v>
      </x:c>
      <x:c r="E136" t="str">
        <x:v>Shadowplume</x:v>
      </x:c>
      <x:c r="F136" t="str">
        <x:v>Light</x:v>
      </x:c>
      <x:c r="G136" t="str">
        <x:v>Rogue, Dexterity Bard, bow user</x:v>
      </x:c>
      <x:c r="H136"/>
      <x:c r="I136"/>
      <x:c r="J136" t="n">
        <x:v>0</x:v>
      </x:c>
      <x:c r="K136" t="n">
        <x:v>0</x:v>
      </x:c>
      <x:c r="L136" t="n">
        <x:v>7</x:v>
      </x:c>
      <x:c r="M136" t="n">
        <x:v>11</x:v>
      </x:c>
      <x:c r="N136" t="n">
        <x:v>0</x:v>
      </x:c>
      <x:c r="O136" t="n">
        <x:v>0</x:v>
      </x:c>
      <x:c r="P136" t="n">
        <x:v>5</x:v>
      </x:c>
      <x:c r="Q136" t="n">
        <x:v>0</x:v>
      </x:c>
      <x:c r="R136" t="n">
        <x:v>0</x:v>
      </x:c>
      <x:c r="S136" t="n">
        <x:v>2</x:v>
      </x:c>
      <x:c r="T136" t="n">
        <x:v>2</x:v>
      </x:c>
      <x:c r="U136" t="n">
        <x:v>0</x:v>
      </x:c>
      <x:c r="V136" t="n">
        <x:v>0</x:v>
      </x:c>
      <x:c r="W136" t="n">
        <x:v>0</x:v>
      </x:c>
      <x:c r="X136" t="str">
        <x:v>Featherstep</x:v>
      </x:c>
      <x:c r="Y136" t="n">
        <x:v>2</x:v>
      </x:c>
      <x:c r="Z136" t="n">
        <x:v>0</x:v>
      </x:c>
      <x:c r="AA136" t="str">
        <x:v>Vanishing Plumage</x:v>
      </x:c>
      <x:c r="AB136" t="n">
        <x:v>3</x:v>
      </x:c>
      <x:c r="AC136" t="n">
        <x:v>0</x:v>
      </x:c>
      <x:c r="AD136" t="n">
        <x:v>2</x:v>
      </x:c>
      <x:c r="AE136" t="str">
        <x:v>Default: Vanishing Plumage. A: Gain Minor Agility Up for 2 turns and restore 2 Magic Armour. B: Gain 5 Ward Magic Armour (add 5 to current Magic Armour and temporary Maximum Magic Armour) and Minor Agility Up for 2 turns.</x:v>
      </x:c>
      <x:c r="AF136" t="str">
        <x:v>2pc: While both protection pools remain above zero, gain +5 Agility. | 3pc: First successful Dodge each combat restores 2 to the lower protection pool.</x:v>
      </x:c>
      <x:c r="AG136" t="str">
        <x:v>Ember; Frost; Storm; Venom; Blood; Lunar; Solar</x:v>
      </x:c>
      <x:c r="AH136" t="str">
        <x:v>Restoration repairs only to normal maximum with a 1-turn cooldown. Fortify/Ward heal and overflow with 2-turn cooldowns; dual effects use 3 turns.</x:v>
      </x:c>
    </x:row>
    <x:row r="137">
      <x:c r="A137" t="str">
        <x:v>ARM-025</x:v>
      </x:c>
      <x:c r="B137" t="str">
        <x:v>Bone-Laced Warplumage</x:v>
      </x:c>
      <x:c r="C137" t="str">
        <x:v>Grey</x:v>
      </x:c>
      <x:c r="D137" t="str">
        <x:v>Armour/Plumage</x:v>
      </x:c>
      <x:c r="E137" t="str">
        <x:v>Bonecrest Warplate</x:v>
      </x:c>
      <x:c r="F137" t="str">
        <x:v>Medium</x:v>
      </x:c>
      <x:c r="G137" t="str">
        <x:v>Brute, offensive Knight, Might Inquisitor</x:v>
      </x:c>
      <x:c r="H137"/>
      <x:c r="I137"/>
      <x:c r="J137" t="n">
        <x:v>0</x:v>
      </x:c>
      <x:c r="K137" t="n">
        <x:v>0</x:v>
      </x:c>
      <x:c r="L137" t="n">
        <x:v>3</x:v>
      </x:c>
      <x:c r="M137" t="n">
        <x:v>1</x:v>
      </x:c>
      <x:c r="N137" t="n">
        <x:v>0</x:v>
      </x:c>
      <x:c r="O137" t="n">
        <x:v>1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str">
        <x:v>Battle Brace</x:v>
      </x:c>
      <x:c r="Y137" t="n">
        <x:v>2</x:v>
      </x:c>
      <x:c r="Z137" t="n">
        <x:v>0</x:v>
      </x:c>
      <x:c r="AA137" t="str">
        <x:v>Warplate Surge</x:v>
      </x:c>
      <x:c r="AB137" t="n">
        <x:v>3</x:v>
      </x:c>
      <x:c r="AC137" t="n">
        <x:v>0</x:v>
      </x:c>
      <x:c r="AD137" t="n">
        <x:v>2</x:v>
      </x:c>
      <x:c r="AE137" t="str">
        <x:v>Default: None. A: Restore 4 Armour and gain Minor Might Up for 1 turn. B: Gain 6 Fortified Armour (add 6 to current Armour and temporary Maximum Armour) and Minor Might Up for 2 turns.</x:v>
      </x:c>
      <x:c r="AF137" t="str">
        <x:v>2pc: While Armour remains, gain +2 Might. | 3pc: First physical attack that breaks enemy Armour each combat gains +10 Skill Power.</x:v>
      </x:c>
      <x:c r="AG137" t="str">
        <x:v>Ember; Frost; Storm; Venom; Blood; Lunar; Solar</x:v>
      </x:c>
      <x:c r="AH137" t="str">
        <x:v>Restoration repairs only to normal maximum with a 1-turn cooldown. Fortify/Ward heal and overflow with 2-turn cooldowns; dual effects use 3 turns.</x:v>
      </x:c>
    </x:row>
    <x:row r="138">
      <x:c r="A138" t="str">
        <x:v>ARM-026</x:v>
      </x:c>
      <x:c r="B138" t="str">
        <x:v>Sturdy Bone-Laced Warplumage</x:v>
      </x:c>
      <x:c r="C138" t="str">
        <x:v>Green</x:v>
      </x:c>
      <x:c r="D138" t="str">
        <x:v>Armour/Plumage</x:v>
      </x:c>
      <x:c r="E138" t="str">
        <x:v>Bonecrest Warplate</x:v>
      </x:c>
      <x:c r="F138" t="str">
        <x:v>Medium</x:v>
      </x:c>
      <x:c r="G138" t="str">
        <x:v>Brute, offensive Knight, Might Inquisitor</x:v>
      </x:c>
      <x:c r="H138"/>
      <x:c r="I138"/>
      <x:c r="J138" t="n">
        <x:v>0</x:v>
      </x:c>
      <x:c r="K138" t="n">
        <x:v>0</x:v>
      </x:c>
      <x:c r="L138" t="n">
        <x:v>5</x:v>
      </x:c>
      <x:c r="M138" t="n">
        <x:v>1</x:v>
      </x:c>
      <x:c r="N138" t="n">
        <x:v>0</x:v>
      </x:c>
      <x:c r="O138" t="n">
        <x:v>1</x:v>
      </x:c>
      <x:c r="P138" t="n">
        <x:v>0</x:v>
      </x:c>
      <x:c r="Q138" t="n">
        <x:v>1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str">
        <x:v>Battle Brace</x:v>
      </x:c>
      <x:c r="Y138" t="n">
        <x:v>2</x:v>
      </x:c>
      <x:c r="Z138" t="n">
        <x:v>0</x:v>
      </x:c>
      <x:c r="AA138" t="str">
        <x:v>Warplate Surge</x:v>
      </x:c>
      <x:c r="AB138" t="n">
        <x:v>3</x:v>
      </x:c>
      <x:c r="AC138" t="n">
        <x:v>0</x:v>
      </x:c>
      <x:c r="AD138" t="n">
        <x:v>2</x:v>
      </x:c>
      <x:c r="AE138" t="str">
        <x:v>Default: Battle Brace. A: Restore 4 Armour, gain Minor Might Up for 1 turn, and remove 1 Fracture stack; does not remove Shattered. B: Gain 6 Fortified Armour and Minor Might Up for 2 turns.</x:v>
      </x:c>
      <x:c r="AF138" t="str">
        <x:v>2pc: While Armour remains, gain +2 Might. | 3pc: First physical attack that breaks enemy Armour each combat gains +10 Skill Power.</x:v>
      </x:c>
      <x:c r="AG138" t="str">
        <x:v>Ember; Frost; Storm; Venom; Blood; Lunar; Solar</x:v>
      </x:c>
      <x:c r="AH138" t="str">
        <x:v>Restoration repairs only to normal maximum with a 1-turn cooldown. Fortify/Ward heal and overflow with 2-turn cooldowns; dual effects use 3 turns.</x:v>
      </x:c>
    </x:row>
    <x:row r="139">
      <x:c r="A139" t="str">
        <x:v>ARM-027</x:v>
      </x:c>
      <x:c r="B139" t="str">
        <x:v>Tempered Bone-Laced Warplumage</x:v>
      </x:c>
      <x:c r="C139" t="str">
        <x:v>Blue</x:v>
      </x:c>
      <x:c r="D139" t="str">
        <x:v>Armour/Plumage</x:v>
      </x:c>
      <x:c r="E139" t="str">
        <x:v>Bonecrest Warplate</x:v>
      </x:c>
      <x:c r="F139" t="str">
        <x:v>Medium</x:v>
      </x:c>
      <x:c r="G139" t="str">
        <x:v>Brute, offensive Knight, Might Inquisitor</x:v>
      </x:c>
      <x:c r="H139"/>
      <x:c r="I139"/>
      <x:c r="J139" t="n">
        <x:v>0</x:v>
      </x:c>
      <x:c r="K139" t="n">
        <x:v>0</x:v>
      </x:c>
      <x:c r="L139" t="n">
        <x:v>7</x:v>
      </x:c>
      <x:c r="M139" t="n">
        <x:v>2</x:v>
      </x:c>
      <x:c r="N139" t="n">
        <x:v>0</x:v>
      </x:c>
      <x:c r="O139" t="n">
        <x:v>2</x:v>
      </x:c>
      <x:c r="P139" t="n">
        <x:v>0</x:v>
      </x:c>
      <x:c r="Q139" t="n">
        <x:v>1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str">
        <x:v>Battle Brace</x:v>
      </x:c>
      <x:c r="Y139" t="n">
        <x:v>2</x:v>
      </x:c>
      <x:c r="Z139" t="n">
        <x:v>0</x:v>
      </x:c>
      <x:c r="AA139" t="str">
        <x:v>Warplate Surge</x:v>
      </x:c>
      <x:c r="AB139" t="n">
        <x:v>3</x:v>
      </x:c>
      <x:c r="AC139" t="n">
        <x:v>0</x:v>
      </x:c>
      <x:c r="AD139" t="n">
        <x:v>2</x:v>
      </x:c>
      <x:c r="AE139" t="str">
        <x:v>Default: Battle Brace. A: Restore 4 Armour, gain Minor Might Up for 1 turn, and remove 1 Fracture stack; does not remove Shattered. B: Gain 6 Fortified Armour and Minor Might Up for 2 turns.</x:v>
      </x:c>
      <x:c r="AF139" t="str">
        <x:v>2pc: While Armour remains, gain +3 Might. | 3pc: First physical attack that breaks enemy Armour each combat gains +10 Skill Power.</x:v>
      </x:c>
      <x:c r="AG139" t="str">
        <x:v>Ember; Frost; Storm; Venom; Blood; Lunar; Solar</x:v>
      </x:c>
      <x:c r="AH139" t="str">
        <x:v>Restoration repairs only to normal maximum with a 1-turn cooldown. Fortify/Ward heal and overflow with 2-turn cooldowns; dual effects use 3 turns.</x:v>
      </x:c>
    </x:row>
    <x:row r="140">
      <x:c r="A140" t="str">
        <x:v>ARM-028</x:v>
      </x:c>
      <x:c r="B140" t="str">
        <x:v>Masterwork Bone-Laced Warplumage</x:v>
      </x:c>
      <x:c r="C140" t="str">
        <x:v>Purple</x:v>
      </x:c>
      <x:c r="D140" t="str">
        <x:v>Armour/Plumage</x:v>
      </x:c>
      <x:c r="E140" t="str">
        <x:v>Bonecrest Warplate</x:v>
      </x:c>
      <x:c r="F140" t="str">
        <x:v>Medium</x:v>
      </x:c>
      <x:c r="G140" t="str">
        <x:v>Brute, offensive Knight, Might Inquisitor</x:v>
      </x:c>
      <x:c r="H140"/>
      <x:c r="I140"/>
      <x:c r="J140" t="n">
        <x:v>0</x:v>
      </x:c>
      <x:c r="K140" t="n">
        <x:v>0</x:v>
      </x:c>
      <x:c r="L140" t="n">
        <x:v>9</x:v>
      </x:c>
      <x:c r="M140" t="n">
        <x:v>3</x:v>
      </x:c>
      <x:c r="N140" t="n">
        <x:v>1</x:v>
      </x:c>
      <x:c r="O140" t="n">
        <x:v>3</x:v>
      </x:c>
      <x:c r="P140" t="n">
        <x:v>0</x:v>
      </x:c>
      <x:c r="Q140" t="n">
        <x:v>1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str">
        <x:v>Battle Brace</x:v>
      </x:c>
      <x:c r="Y140" t="n">
        <x:v>2</x:v>
      </x:c>
      <x:c r="Z140" t="n">
        <x:v>0</x:v>
      </x:c>
      <x:c r="AA140" t="str">
        <x:v>Warplate Surge</x:v>
      </x:c>
      <x:c r="AB140" t="n">
        <x:v>3</x:v>
      </x:c>
      <x:c r="AC140" t="n">
        <x:v>0</x:v>
      </x:c>
      <x:c r="AD140" t="n">
        <x:v>2</x:v>
      </x:c>
      <x:c r="AE140" t="str">
        <x:v>Default: Warplate Surge. A: Restore 4 Armour and gain Minor Might Up for 1 turn. B: Gain 6 Fortified Armour (add 6 to current Armour and temporary Maximum Armour) and Minor Might Up for 2 turns.</x:v>
      </x:c>
      <x:c r="AF140" t="str">
        <x:v>2pc: While Armour remains, gain +3 Might. | 3pc: First physical attack that breaks enemy Armour each combat gains +15 Skill Power.</x:v>
      </x:c>
      <x:c r="AG140" t="str">
        <x:v>Ember; Frost; Storm; Venom; Blood; Lunar; Solar</x:v>
      </x:c>
      <x:c r="AH140" t="str">
        <x:v>Restoration repairs only to normal maximum with a 1-turn cooldown. Fortify/Ward heal and overflow with 2-turn cooldowns; dual effects use 3 turns.</x:v>
      </x:c>
    </x:row>
    <x:row r="141">
      <x:c r="A141" t="str">
        <x:v>ARM-029</x:v>
      </x:c>
      <x:c r="B141" t="str">
        <x:v>Regal Bone-Laced Warplumage</x:v>
      </x:c>
      <x:c r="C141" t="str">
        <x:v>Gold</x:v>
      </x:c>
      <x:c r="D141" t="str">
        <x:v>Armour/Plumage</x:v>
      </x:c>
      <x:c r="E141" t="str">
        <x:v>Bonecrest Warplate</x:v>
      </x:c>
      <x:c r="F141" t="str">
        <x:v>Medium</x:v>
      </x:c>
      <x:c r="G141" t="str">
        <x:v>Brute, offensive Knight, Might Inquisitor</x:v>
      </x:c>
      <x:c r="H141"/>
      <x:c r="I141"/>
      <x:c r="J141" t="n">
        <x:v>0</x:v>
      </x:c>
      <x:c r="K141" t="n">
        <x:v>0</x:v>
      </x:c>
      <x:c r="L141" t="n">
        <x:v>12</x:v>
      </x:c>
      <x:c r="M141" t="n">
        <x:v>4</x:v>
      </x:c>
      <x:c r="N141" t="n">
        <x:v>1</x:v>
      </x:c>
      <x:c r="O141" t="n">
        <x:v>4</x:v>
      </x:c>
      <x:c r="P141" t="n">
        <x:v>0</x:v>
      </x:c>
      <x:c r="Q141" t="n">
        <x:v>2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str">
        <x:v>Battle Brace</x:v>
      </x:c>
      <x:c r="Y141" t="n">
        <x:v>2</x:v>
      </x:c>
      <x:c r="Z141" t="n">
        <x:v>0</x:v>
      </x:c>
      <x:c r="AA141" t="str">
        <x:v>Warplate Surge</x:v>
      </x:c>
      <x:c r="AB141" t="n">
        <x:v>3</x:v>
      </x:c>
      <x:c r="AC141" t="n">
        <x:v>0</x:v>
      </x:c>
      <x:c r="AD141" t="n">
        <x:v>2</x:v>
      </x:c>
      <x:c r="AE141" t="str">
        <x:v>Default: Warplate Surge. A: Restore 4 Armour and gain Minor Might Up for 1 turn. B: Gain 6 Fortified Armour (add 6 to current Armour and temporary Maximum Armour) and Minor Might Up for 2 turns.</x:v>
      </x:c>
      <x:c r="AF141" t="str">
        <x:v>2pc: While Armour remains, gain +4 Might. | 3pc: First physical attack that breaks enemy Armour each combat gains +20 Skill Power.</x:v>
      </x:c>
      <x:c r="AG141" t="str">
        <x:v>Ember; Frost; Storm; Venom; Blood; Lunar; Solar</x:v>
      </x:c>
      <x:c r="AH141" t="str">
        <x:v>Restoration repairs only to normal maximum with a 1-turn cooldown. Fortify/Ward heal and overflow with 2-turn cooldowns; dual effects use 3 turns.</x:v>
      </x:c>
    </x:row>
    <x:row r="142">
      <x:c r="A142" t="str">
        <x:v>ARM-030</x:v>
      </x:c>
      <x:c r="B142" t="str">
        <x:v>Mythic Bone-Laced Warplumage</x:v>
      </x:c>
      <x:c r="C142" t="str">
        <x:v>Orange</x:v>
      </x:c>
      <x:c r="D142" t="str">
        <x:v>Armour/Plumage</x:v>
      </x:c>
      <x:c r="E142" t="str">
        <x:v>Bonecrest Warplate</x:v>
      </x:c>
      <x:c r="F142" t="str">
        <x:v>Medium</x:v>
      </x:c>
      <x:c r="G142" t="str">
        <x:v>Brute, offensive Knight, Might Inquisitor</x:v>
      </x:c>
      <x:c r="H142"/>
      <x:c r="I142"/>
      <x:c r="J142" t="n">
        <x:v>0</x:v>
      </x:c>
      <x:c r="K142" t="n">
        <x:v>0</x:v>
      </x:c>
      <x:c r="L142" t="n">
        <x:v>16</x:v>
      </x:c>
      <x:c r="M142" t="n">
        <x:v>6</x:v>
      </x:c>
      <x:c r="N142" t="n">
        <x:v>2</x:v>
      </x:c>
      <x:c r="O142" t="n">
        <x:v>5</x:v>
      </x:c>
      <x:c r="P142" t="n">
        <x:v>0</x:v>
      </x:c>
      <x:c r="Q142" t="n">
        <x:v>2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str">
        <x:v>Battle Brace</x:v>
      </x:c>
      <x:c r="Y142" t="n">
        <x:v>2</x:v>
      </x:c>
      <x:c r="Z142" t="n">
        <x:v>0</x:v>
      </x:c>
      <x:c r="AA142" t="str">
        <x:v>Warplate Surge</x:v>
      </x:c>
      <x:c r="AB142" t="n">
        <x:v>3</x:v>
      </x:c>
      <x:c r="AC142" t="n">
        <x:v>0</x:v>
      </x:c>
      <x:c r="AD142" t="n">
        <x:v>2</x:v>
      </x:c>
      <x:c r="AE142" t="str">
        <x:v>Default: Warplate Surge. A: Restore 4 Armour and gain Minor Might Up for 1 turn. B: Gain 6 Fortified Armour (add 6 to current Armour and temporary Maximum Armour) and Minor Might Up for 2 turns.</x:v>
      </x:c>
      <x:c r="AF142" t="str">
        <x:v>2pc: While Armour remains, gain +5 Might. | 3pc: First physical attack that breaks enemy Armour each combat gains +20 Skill Power.</x:v>
      </x:c>
      <x:c r="AG142" t="str">
        <x:v>Ember; Frost; Storm; Venom; Blood; Lunar; Solar</x:v>
      </x:c>
      <x:c r="AH142" t="str">
        <x:v>Restoration repairs only to normal maximum with a 1-turn cooldown. Fortify/Ward heal and overflow with 2-turn cooldowns; dual effects use 3 turns.</x:v>
      </x:c>
    </x:row>
    <x:row r="143">
      <x:c r="A143" t="str">
        <x:v>ARM-031</x:v>
      </x:c>
      <x:c r="B143" t="str">
        <x:v>Crystalwind Vestments</x:v>
      </x:c>
      <x:c r="C143" t="str">
        <x:v>Grey</x:v>
      </x:c>
      <x:c r="D143" t="str">
        <x:v>Armour/Plumage</x:v>
      </x:c>
      <x:c r="E143" t="str">
        <x:v>Crystalwind Regalia</x:v>
      </x:c>
      <x:c r="F143" t="str">
        <x:v>Light</x:v>
      </x:c>
      <x:c r="G143" t="str">
        <x:v>Fast Mage, Siren, magical Bard</x:v>
      </x:c>
      <x:c r="H143"/>
      <x:c r="I143"/>
      <x:c r="J143" t="n">
        <x:v>0</x:v>
      </x:c>
      <x:c r="K143" t="n">
        <x:v>0</x:v>
      </x:c>
      <x:c r="L143" t="n">
        <x:v>0</x:v>
      </x:c>
      <x:c r="M143" t="n">
        <x:v>3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1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str">
        <x:v>Crystal Mend</x:v>
      </x:c>
      <x:c r="Y143" t="n">
        <x:v>2</x:v>
      </x:c>
      <x:c r="Z143" t="n">
        <x:v>0</x:v>
      </x:c>
      <x:c r="AA143" t="str">
        <x:v>Gale Ward</x:v>
      </x:c>
      <x:c r="AB143" t="n">
        <x:v>3</x:v>
      </x:c>
      <x:c r="AC143" t="n">
        <x:v>0</x:v>
      </x:c>
      <x:c r="AD143" t="n">
        <x:v>2</x:v>
      </x:c>
      <x:c r="AE143" t="str">
        <x:v>Default: None. A: Restore 4 Magic Armour. B: Gain 7 Ward Magic Armour (add 7 to current Magic Armour and temporary Maximum Magic Armour) and Minor Agility Up for 2 turns.</x:v>
      </x:c>
      <x:c r="AF143" t="str">
        <x:v>2pc: While Magic Armour remains, gain +2 Agility. | 3pc: First magical attack that breaks enemy Magic Armour grants Minor Focus Up until the end of the next turn.</x:v>
      </x:c>
      <x:c r="AG143" t="str">
        <x:v>Ember; Frost; Storm; Venom; Blood; Lunar; Solar</x:v>
      </x:c>
      <x:c r="AH143" t="str">
        <x:v>Restoration repairs only to normal maximum with a 1-turn cooldown. Fortify/Ward heal and overflow with 2-turn cooldowns; dual effects use 3 turns.</x:v>
      </x:c>
    </x:row>
    <x:row r="144">
      <x:c r="A144" t="str">
        <x:v>ARM-032</x:v>
      </x:c>
      <x:c r="B144" t="str">
        <x:v>Sturdy Crystalwind Vestments</x:v>
      </x:c>
      <x:c r="C144" t="str">
        <x:v>Green</x:v>
      </x:c>
      <x:c r="D144" t="str">
        <x:v>Armour/Plumage</x:v>
      </x:c>
      <x:c r="E144" t="str">
        <x:v>Crystalwind Regalia</x:v>
      </x:c>
      <x:c r="F144" t="str">
        <x:v>Light</x:v>
      </x:c>
      <x:c r="G144" t="str">
        <x:v>Fast Mage, Siren, magical Bard</x:v>
      </x:c>
      <x:c r="H144"/>
      <x:c r="I144"/>
      <x:c r="J144" t="n">
        <x:v>0</x:v>
      </x:c>
      <x:c r="K144" t="n">
        <x:v>0</x:v>
      </x:c>
      <x:c r="L144" t="n">
        <x:v>1</x:v>
      </x:c>
      <x:c r="M144" t="n">
        <x:v>4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1</x:v>
      </x:c>
      <x:c r="S144" t="n">
        <x:v>0</x:v>
      </x:c>
      <x:c r="T144" t="n">
        <x:v>1</x:v>
      </x:c>
      <x:c r="U144" t="n">
        <x:v>0</x:v>
      </x:c>
      <x:c r="V144" t="n">
        <x:v>0</x:v>
      </x:c>
      <x:c r="W144" t="n">
        <x:v>0</x:v>
      </x:c>
      <x:c r="X144" t="str">
        <x:v>Crystal Mend</x:v>
      </x:c>
      <x:c r="Y144" t="n">
        <x:v>2</x:v>
      </x:c>
      <x:c r="Z144" t="n">
        <x:v>0</x:v>
      </x:c>
      <x:c r="AA144" t="str">
        <x:v>Gale Ward</x:v>
      </x:c>
      <x:c r="AB144" t="n">
        <x:v>3</x:v>
      </x:c>
      <x:c r="AC144" t="n">
        <x:v>0</x:v>
      </x:c>
      <x:c r="AD144" t="n">
        <x:v>2</x:v>
      </x:c>
      <x:c r="AE144" t="str">
        <x:v>Default: Crystal Mend. A: Restore 4 Magic Armour. B: Gain 7 Ward Magic Armour (add 7 to current Magic Armour and temporary Maximum Magic Armour) and Minor Agility Up for 2 turns.</x:v>
      </x:c>
      <x:c r="AF144" t="str">
        <x:v>2pc: While Magic Armour remains, gain +2 Agility. | 3pc: First magical attack that breaks enemy Magic Armour grants Minor Focus Up until the end of the next turn.</x:v>
      </x:c>
      <x:c r="AG144" t="str">
        <x:v>Ember; Frost; Storm; Venom; Blood; Lunar; Solar</x:v>
      </x:c>
      <x:c r="AH144" t="str">
        <x:v>Restoration repairs only to normal maximum with a 1-turn cooldown. Fortify/Ward heal and overflow with 2-turn cooldowns; dual effects use 3 turns.</x:v>
      </x:c>
    </x:row>
    <x:row r="145">
      <x:c r="A145" t="str">
        <x:v>ARM-033</x:v>
      </x:c>
      <x:c r="B145" t="str">
        <x:v>Tempered Crystalwind Vestments</x:v>
      </x:c>
      <x:c r="C145" t="str">
        <x:v>Blue</x:v>
      </x:c>
      <x:c r="D145" t="str">
        <x:v>Armour/Plumage</x:v>
      </x:c>
      <x:c r="E145" t="str">
        <x:v>Crystalwind Regalia</x:v>
      </x:c>
      <x:c r="F145" t="str">
        <x:v>Light</x:v>
      </x:c>
      <x:c r="G145" t="str">
        <x:v>Fast Mage, Siren, magical Bard</x:v>
      </x:c>
      <x:c r="H145"/>
      <x:c r="I145"/>
      <x:c r="J145" t="n">
        <x:v>0</x:v>
      </x:c>
      <x:c r="K145" t="n">
        <x:v>0</x:v>
      </x:c>
      <x:c r="L145" t="n">
        <x:v>1</x:v>
      </x:c>
      <x:c r="M145" t="n">
        <x:v>6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2</x:v>
      </x:c>
      <x:c r="S145" t="n">
        <x:v>0</x:v>
      </x:c>
      <x:c r="T145" t="n">
        <x:v>1</x:v>
      </x:c>
      <x:c r="U145" t="n">
        <x:v>0</x:v>
      </x:c>
      <x:c r="V145" t="n">
        <x:v>0</x:v>
      </x:c>
      <x:c r="W145" t="n">
        <x:v>0</x:v>
      </x:c>
      <x:c r="X145" t="str">
        <x:v>Crystal Mend</x:v>
      </x:c>
      <x:c r="Y145" t="n">
        <x:v>2</x:v>
      </x:c>
      <x:c r="Z145" t="n">
        <x:v>0</x:v>
      </x:c>
      <x:c r="AA145" t="str">
        <x:v>Gale Ward</x:v>
      </x:c>
      <x:c r="AB145" t="n">
        <x:v>3</x:v>
      </x:c>
      <x:c r="AC145" t="n">
        <x:v>0</x:v>
      </x:c>
      <x:c r="AD145" t="n">
        <x:v>2</x:v>
      </x:c>
      <x:c r="AE145" t="str">
        <x:v>Default: Crystal Mend. A: Restore 4 Magic Armour. B: Gain 7 Ward Magic Armour (add 7 to current Magic Armour and temporary Maximum Magic Armour) and Minor Agility Up for 2 turns.</x:v>
      </x:c>
      <x:c r="AF145" t="str">
        <x:v>2pc: While Magic Armour remains, gain +3 Agility. | 3pc: First magical attack that breaks enemy Magic Armour grants Minor Focus Up until the end of the next turn.</x:v>
      </x:c>
      <x:c r="AG145" t="str">
        <x:v>Ember; Frost; Storm; Venom; Blood; Lunar; Solar</x:v>
      </x:c>
      <x:c r="AH145" t="str">
        <x:v>Restoration repairs only to normal maximum with a 1-turn cooldown. Fortify/Ward heal and overflow with 2-turn cooldowns; dual effects use 3 turns.</x:v>
      </x:c>
    </x:row>
    <x:row r="146">
      <x:c r="A146" t="str">
        <x:v>ARM-034</x:v>
      </x:c>
      <x:c r="B146" t="str">
        <x:v>Masterwork Crystalwind Vestments</x:v>
      </x:c>
      <x:c r="C146" t="str">
        <x:v>Purple</x:v>
      </x:c>
      <x:c r="D146" t="str">
        <x:v>Armour/Plumage</x:v>
      </x:c>
      <x:c r="E146" t="str">
        <x:v>Crystalwind Regalia</x:v>
      </x:c>
      <x:c r="F146" t="str">
        <x:v>Light</x:v>
      </x:c>
      <x:c r="G146" t="str">
        <x:v>Fast Mage, Siren, magical Bard</x:v>
      </x:c>
      <x:c r="H146"/>
      <x:c r="I146"/>
      <x:c r="J146" t="n">
        <x:v>0</x:v>
      </x:c>
      <x:c r="K146" t="n">
        <x:v>0</x:v>
      </x:c>
      <x:c r="L146" t="n">
        <x:v>2</x:v>
      </x:c>
      <x:c r="M146" t="n">
        <x:v>8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3</x:v>
      </x:c>
      <x:c r="S146" t="n">
        <x:v>1</x:v>
      </x:c>
      <x:c r="T146" t="n">
        <x:v>1</x:v>
      </x:c>
      <x:c r="U146" t="n">
        <x:v>0</x:v>
      </x:c>
      <x:c r="V146" t="n">
        <x:v>0</x:v>
      </x:c>
      <x:c r="W146" t="n">
        <x:v>0</x:v>
      </x:c>
      <x:c r="X146" t="str">
        <x:v>Crystal Mend</x:v>
      </x:c>
      <x:c r="Y146" t="n">
        <x:v>2</x:v>
      </x:c>
      <x:c r="Z146" t="n">
        <x:v>0</x:v>
      </x:c>
      <x:c r="AA146" t="str">
        <x:v>Gale Ward</x:v>
      </x:c>
      <x:c r="AB146" t="n">
        <x:v>3</x:v>
      </x:c>
      <x:c r="AC146" t="n">
        <x:v>0</x:v>
      </x:c>
      <x:c r="AD146" t="n">
        <x:v>2</x:v>
      </x:c>
      <x:c r="AE146" t="str">
        <x:v>Default: Gale Ward. A: Restore 4 Magic Armour. B: Gain 7 Ward Magic Armour (add 7 to current Magic Armour and temporary Maximum Magic Armour) and Minor Agility Up for 2 turns.</x:v>
      </x:c>
      <x:c r="AF146" t="str">
        <x:v>2pc: While Magic Armour remains, gain +3 Agility. | 3pc: First magical attack that breaks enemy Magic Armour grants Minor Focus Up until the end of the next turn.</x:v>
      </x:c>
      <x:c r="AG146" t="str">
        <x:v>Ember; Frost; Storm; Venom; Blood; Lunar; Solar</x:v>
      </x:c>
      <x:c r="AH146" t="str">
        <x:v>Restoration repairs only to normal maximum with a 1-turn cooldown. Fortify/Ward heal and overflow with 2-turn cooldowns; dual effects use 3 turns.</x:v>
      </x:c>
    </x:row>
    <x:row r="147">
      <x:c r="A147" t="str">
        <x:v>ARM-035</x:v>
      </x:c>
      <x:c r="B147" t="str">
        <x:v>Regal Crystalwind Vestments</x:v>
      </x:c>
      <x:c r="C147" t="str">
        <x:v>Gold</x:v>
      </x:c>
      <x:c r="D147" t="str">
        <x:v>Armour/Plumage</x:v>
      </x:c>
      <x:c r="E147" t="str">
        <x:v>Crystalwind Regalia</x:v>
      </x:c>
      <x:c r="F147" t="str">
        <x:v>Light</x:v>
      </x:c>
      <x:c r="G147" t="str">
        <x:v>Fast Mage, Siren, magical Bard</x:v>
      </x:c>
      <x:c r="H147"/>
      <x:c r="I147"/>
      <x:c r="J147" t="n">
        <x:v>0</x:v>
      </x:c>
      <x:c r="K147" t="n">
        <x:v>0</x:v>
      </x:c>
      <x:c r="L147" t="n">
        <x:v>3</x:v>
      </x:c>
      <x:c r="M147" t="n">
        <x:v>10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4</x:v>
      </x:c>
      <x:c r="S147" t="n">
        <x:v>1</x:v>
      </x:c>
      <x:c r="T147" t="n">
        <x:v>2</x:v>
      </x:c>
      <x:c r="U147" t="n">
        <x:v>0</x:v>
      </x:c>
      <x:c r="V147" t="n">
        <x:v>0</x:v>
      </x:c>
      <x:c r="W147" t="n">
        <x:v>0</x:v>
      </x:c>
      <x:c r="X147" t="str">
        <x:v>Crystal Mend</x:v>
      </x:c>
      <x:c r="Y147" t="n">
        <x:v>2</x:v>
      </x:c>
      <x:c r="Z147" t="n">
        <x:v>0</x:v>
      </x:c>
      <x:c r="AA147" t="str">
        <x:v>Gale Ward</x:v>
      </x:c>
      <x:c r="AB147" t="n">
        <x:v>3</x:v>
      </x:c>
      <x:c r="AC147" t="n">
        <x:v>0</x:v>
      </x:c>
      <x:c r="AD147" t="n">
        <x:v>2</x:v>
      </x:c>
      <x:c r="AE147" t="str">
        <x:v>Default: Gale Ward. A: Restore 4 Magic Armour. B: Gain 7 Ward Magic Armour (add 7 to current Magic Armour and temporary Maximum Magic Armour) and Minor Agility Up for 2 turns.</x:v>
      </x:c>
      <x:c r="AF147" t="str">
        <x:v>2pc: While Magic Armour remains, gain +4 Agility. | 3pc: First magical attack that breaks enemy Magic Armour grants Minor Focus Up until the end of the next turn.</x:v>
      </x:c>
      <x:c r="AG147" t="str">
        <x:v>Ember; Frost; Storm; Venom; Blood; Lunar; Solar</x:v>
      </x:c>
      <x:c r="AH147" t="str">
        <x:v>Restoration repairs only to normal maximum with a 1-turn cooldown. Fortify/Ward heal and overflow with 2-turn cooldowns; dual effects use 3 turns.</x:v>
      </x:c>
    </x:row>
    <x:row r="148">
      <x:c r="A148" t="str">
        <x:v>ARM-036</x:v>
      </x:c>
      <x:c r="B148" t="str">
        <x:v>Mythic Crystalwind Vestments</x:v>
      </x:c>
      <x:c r="C148" t="str">
        <x:v>Orange</x:v>
      </x:c>
      <x:c r="D148" t="str">
        <x:v>Armour/Plumage</x:v>
      </x:c>
      <x:c r="E148" t="str">
        <x:v>Crystalwind Regalia</x:v>
      </x:c>
      <x:c r="F148" t="str">
        <x:v>Light</x:v>
      </x:c>
      <x:c r="G148" t="str">
        <x:v>Fast Mage, Siren, magical Bard</x:v>
      </x:c>
      <x:c r="H148"/>
      <x:c r="I148"/>
      <x:c r="J148" t="n">
        <x:v>0</x:v>
      </x:c>
      <x:c r="K148" t="n">
        <x:v>0</x:v>
      </x:c>
      <x:c r="L148" t="n">
        <x:v>4</x:v>
      </x:c>
      <x:c r="M148" t="n">
        <x:v>14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5</x:v>
      </x:c>
      <x:c r="S148" t="n">
        <x:v>2</x:v>
      </x:c>
      <x:c r="T148" t="n">
        <x:v>2</x:v>
      </x:c>
      <x:c r="U148" t="n">
        <x:v>0</x:v>
      </x:c>
      <x:c r="V148" t="n">
        <x:v>0</x:v>
      </x:c>
      <x:c r="W148" t="n">
        <x:v>0</x:v>
      </x:c>
      <x:c r="X148" t="str">
        <x:v>Crystal Mend</x:v>
      </x:c>
      <x:c r="Y148" t="n">
        <x:v>2</x:v>
      </x:c>
      <x:c r="Z148" t="n">
        <x:v>0</x:v>
      </x:c>
      <x:c r="AA148" t="str">
        <x:v>Gale Ward</x:v>
      </x:c>
      <x:c r="AB148" t="n">
        <x:v>3</x:v>
      </x:c>
      <x:c r="AC148" t="n">
        <x:v>0</x:v>
      </x:c>
      <x:c r="AD148" t="n">
        <x:v>2</x:v>
      </x:c>
      <x:c r="AE148" t="str">
        <x:v>Default: Gale Ward. A: Restore 4 Magic Armour. B: Gain 7 Ward Magic Armour (add 7 to current Magic Armour and temporary Maximum Magic Armour) and Minor Agility Up for 2 turns.</x:v>
      </x:c>
      <x:c r="AF148" t="str">
        <x:v>2pc: While Magic Armour remains, gain +5 Agility. | 3pc: First magical attack that breaks enemy Magic Armour grants Minor Focus Up until the end of the next turn.</x:v>
      </x:c>
      <x:c r="AG148" t="str">
        <x:v>Ember; Frost; Storm; Venom; Blood; Lunar; Solar</x:v>
      </x:c>
      <x:c r="AH148" t="str">
        <x:v>Restoration repairs only to normal maximum with a 1-turn cooldown. Fortify/Ward heal and overflow with 2-turn cooldowns; dual effects use 3 turns.</x:v>
      </x:c>
    </x:row>
    <x:row r="149">
      <x:c r="A149" t="str">
        <x:v>ARM-037</x:v>
      </x:c>
      <x:c r="B149" t="str">
        <x:v>Dawnfeather Robes</x:v>
      </x:c>
      <x:c r="C149" t="str">
        <x:v>Grey</x:v>
      </x:c>
      <x:c r="D149" t="str">
        <x:v>Armour/Plumage</x:v>
      </x:c>
      <x:c r="E149" t="str">
        <x:v>Dawnfeather Vestments</x:v>
      </x:c>
      <x:c r="F149" t="str">
        <x:v>Medium</x:v>
      </x:c>
      <x:c r="G149" t="str">
        <x:v>Inquisitor, support Bard, defensive Mage</x:v>
      </x:c>
      <x:c r="H149"/>
      <x:c r="I149"/>
      <x:c r="J149" t="n">
        <x:v>0</x:v>
      </x:c>
      <x:c r="K149" t="n">
        <x:v>0</x:v>
      </x:c>
      <x:c r="L149" t="n">
        <x:v>2</x:v>
      </x:c>
      <x:c r="M149" t="n">
        <x:v>2</x:v>
      </x:c>
      <x:c r="N149" t="n">
        <x:v>1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str">
        <x:v>Mend Plumage</x:v>
      </x:c>
      <x:c r="Y149" t="n">
        <x:v>2</x:v>
      </x:c>
      <x:c r="Z149" t="n">
        <x:v>0</x:v>
      </x:c>
      <x:c r="AA149" t="str">
        <x:v>Radiant Bastion</x:v>
      </x:c>
      <x:c r="AB149" t="n">
        <x:v>3</x:v>
      </x:c>
      <x:c r="AC149" t="n">
        <x:v>0</x:v>
      </x:c>
      <x:c r="AD149" t="n">
        <x:v>3</x:v>
      </x:c>
      <x:c r="AE149" t="str">
        <x:v>Default: None. A: Restore 3 Armour and 3 Magic Armour. B: Gain 5 Fortified Armour (add 5 to current Armour and temporary Maximum Armour) and 5 Ward Magic Armour (add 5 to current Magic Armour and temporary Maximum Magic Armour) for 2 turns.</x:v>
      </x:c>
      <x:c r="AF149" t="str">
        <x:v>2pc: First time Health is healed each combat, restore 1 Armour and 1 Magic Armour. | 3pc: Once per combat below 30% Health, restore 1 to the lower protection pool.</x:v>
      </x:c>
      <x:c r="AG149" t="str">
        <x:v>Ember; Frost; Storm; Venom; Blood; Lunar; Solar</x:v>
      </x:c>
      <x:c r="AH149" t="str">
        <x:v>Restoration repairs only to normal maximum with a 1-turn cooldown. Fortify/Ward heal and overflow with 2-turn cooldowns; dual effects use 3 turns.</x:v>
      </x:c>
    </x:row>
    <x:row r="150">
      <x:c r="A150" t="str">
        <x:v>ARM-038</x:v>
      </x:c>
      <x:c r="B150" t="str">
        <x:v>Sturdy Dawnfeather Robes</x:v>
      </x:c>
      <x:c r="C150" t="str">
        <x:v>Green</x:v>
      </x:c>
      <x:c r="D150" t="str">
        <x:v>Armour/Plumage</x:v>
      </x:c>
      <x:c r="E150" t="str">
        <x:v>Dawnfeather Vestments</x:v>
      </x:c>
      <x:c r="F150" t="str">
        <x:v>Medium</x:v>
      </x:c>
      <x:c r="G150" t="str">
        <x:v>Inquisitor, support Bard, defensive Mage</x:v>
      </x:c>
      <x:c r="H150"/>
      <x:c r="I150"/>
      <x:c r="J150" t="n">
        <x:v>0</x:v>
      </x:c>
      <x:c r="K150" t="n">
        <x:v>0</x:v>
      </x:c>
      <x:c r="L150" t="n">
        <x:v>2</x:v>
      </x:c>
      <x:c r="M150" t="n">
        <x:v>4</x:v>
      </x:c>
      <x:c r="N150" t="n">
        <x:v>1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1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str">
        <x:v>Mend Plumage</x:v>
      </x:c>
      <x:c r="Y150" t="n">
        <x:v>2</x:v>
      </x:c>
      <x:c r="Z150" t="n">
        <x:v>0</x:v>
      </x:c>
      <x:c r="AA150" t="str">
        <x:v>Radiant Bastion</x:v>
      </x:c>
      <x:c r="AB150" t="n">
        <x:v>3</x:v>
      </x:c>
      <x:c r="AC150" t="n">
        <x:v>0</x:v>
      </x:c>
      <x:c r="AD150" t="n">
        <x:v>3</x:v>
      </x:c>
      <x:c r="AE150" t="str">
        <x:v>Default: Mend Plumage. A: Restore 3 Armour and 3 Magic Armour. B: Gain 5 Fortified Armour (add 5 to current Armour and temporary Maximum Armour) and 5 Ward Magic Armour (add 5 to current Magic Armour and temporary Maximum Magic Armour) for 2 turns.</x:v>
      </x:c>
      <x:c r="AF150" t="str">
        <x:v>2pc: First time Health is healed each combat, restore 1 Armour and 1 Magic Armour. | 3pc: Once per combat below 30% Health, restore 1 to the lower protection pool.</x:v>
      </x:c>
      <x:c r="AG150" t="str">
        <x:v>Ember; Frost; Storm; Venom; Blood; Lunar; Solar</x:v>
      </x:c>
      <x:c r="AH150" t="str">
        <x:v>Restoration repairs only to normal maximum with a 1-turn cooldown. Fortify/Ward heal and overflow with 2-turn cooldowns; dual effects use 3 turns.</x:v>
      </x:c>
    </x:row>
    <x:row r="151">
      <x:c r="A151" t="str">
        <x:v>ARM-039</x:v>
      </x:c>
      <x:c r="B151" t="str">
        <x:v>Tempered Dawnfeather Robes</x:v>
      </x:c>
      <x:c r="C151" t="str">
        <x:v>Blue</x:v>
      </x:c>
      <x:c r="D151" t="str">
        <x:v>Armour/Plumage</x:v>
      </x:c>
      <x:c r="E151" t="str">
        <x:v>Dawnfeather Vestments</x:v>
      </x:c>
      <x:c r="F151" t="str">
        <x:v>Medium</x:v>
      </x:c>
      <x:c r="G151" t="str">
        <x:v>Inquisitor, support Bard, defensive Mage</x:v>
      </x:c>
      <x:c r="H151"/>
      <x:c r="I151"/>
      <x:c r="J151" t="n">
        <x:v>0</x:v>
      </x:c>
      <x:c r="K151" t="n">
        <x:v>0</x:v>
      </x:c>
      <x:c r="L151" t="n">
        <x:v>4</x:v>
      </x:c>
      <x:c r="M151" t="n">
        <x:v>5</x:v>
      </x:c>
      <x:c r="N151" t="n">
        <x:v>2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1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str">
        <x:v>Mend Plumage</x:v>
      </x:c>
      <x:c r="Y151" t="n">
        <x:v>2</x:v>
      </x:c>
      <x:c r="Z151" t="n">
        <x:v>0</x:v>
      </x:c>
      <x:c r="AA151" t="str">
        <x:v>Radiant Bastion</x:v>
      </x:c>
      <x:c r="AB151" t="n">
        <x:v>3</x:v>
      </x:c>
      <x:c r="AC151" t="n">
        <x:v>0</x:v>
      </x:c>
      <x:c r="AD151" t="n">
        <x:v>3</x:v>
      </x:c>
      <x:c r="AE151" t="str">
        <x:v>Default: Mend Plumage. A: Restore 3 Armour and 3 Magic Armour. B: Gain 5 Fortified Armour (add 5 to current Armour and temporary Maximum Armour) and 5 Ward Magic Armour (add 5 to current Magic Armour and temporary Maximum Magic Armour) for 2 turns.</x:v>
      </x:c>
      <x:c r="AF151" t="str">
        <x:v>2pc: First time Health is healed each combat, restore 2 Armour and 2 Magic Armour. | 3pc: Once per combat below 30% Health, restore 2 to the lower protection pool.</x:v>
      </x:c>
      <x:c r="AG151" t="str">
        <x:v>Ember; Frost; Storm; Venom; Blood; Lunar; Solar</x:v>
      </x:c>
      <x:c r="AH151" t="str">
        <x:v>Restoration repairs only to normal maximum with a 1-turn cooldown. Fortify/Ward heal and overflow with 2-turn cooldowns; dual effects use 3 turns.</x:v>
      </x:c>
    </x:row>
    <x:row r="152">
      <x:c r="A152" t="str">
        <x:v>ARM-040</x:v>
      </x:c>
      <x:c r="B152" t="str">
        <x:v>Masterwork Dawnfeather Robes</x:v>
      </x:c>
      <x:c r="C152" t="str">
        <x:v>Purple</x:v>
      </x:c>
      <x:c r="D152" t="str">
        <x:v>Armour/Plumage</x:v>
      </x:c>
      <x:c r="E152" t="str">
        <x:v>Dawnfeather Vestments</x:v>
      </x:c>
      <x:c r="F152" t="str">
        <x:v>Medium</x:v>
      </x:c>
      <x:c r="G152" t="str">
        <x:v>Inquisitor, support Bard, defensive Mage</x:v>
      </x:c>
      <x:c r="H152"/>
      <x:c r="I152"/>
      <x:c r="J152" t="n">
        <x:v>0</x:v>
      </x:c>
      <x:c r="K152" t="n">
        <x:v>0</x:v>
      </x:c>
      <x:c r="L152" t="n">
        <x:v>5</x:v>
      </x:c>
      <x:c r="M152" t="n">
        <x:v>7</x:v>
      </x:c>
      <x:c r="N152" t="n">
        <x:v>3</x:v>
      </x:c>
      <x:c r="O152" t="n">
        <x:v>0</x:v>
      </x:c>
      <x:c r="P152" t="n">
        <x:v>0</x:v>
      </x:c>
      <x:c r="Q152" t="n">
        <x:v>1</x:v>
      </x:c>
      <x:c r="R152" t="n">
        <x:v>0</x:v>
      </x:c>
      <x:c r="S152" t="n">
        <x:v>1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str">
        <x:v>Mend Plumage</x:v>
      </x:c>
      <x:c r="Y152" t="n">
        <x:v>2</x:v>
      </x:c>
      <x:c r="Z152" t="n">
        <x:v>0</x:v>
      </x:c>
      <x:c r="AA152" t="str">
        <x:v>Radiant Bastion</x:v>
      </x:c>
      <x:c r="AB152" t="n">
        <x:v>3</x:v>
      </x:c>
      <x:c r="AC152" t="n">
        <x:v>0</x:v>
      </x:c>
      <x:c r="AD152" t="n">
        <x:v>3</x:v>
      </x:c>
      <x:c r="AE152" t="str">
        <x:v>Default: Radiant Bastion. A: Restore 3 Armour and 3 Magic Armour. B: Gain 5 Fortified Armour (add 5 to current Armour and temporary Maximum Armour) and 5 Ward Magic Armour (add 5 to current Magic Armour and temporary Maximum Magic Armour) for 2 turns.</x:v>
      </x:c>
      <x:c r="AF152" t="str">
        <x:v>2pc: First time Health is healed each combat, restore 2 Armour and 2 Magic Armour. | 3pc: Once per combat below 30% Health, restore 2 to the lower protection pool.</x:v>
      </x:c>
      <x:c r="AG152" t="str">
        <x:v>Ember; Frost; Storm; Venom; Blood; Lunar; Solar</x:v>
      </x:c>
      <x:c r="AH152" t="str">
        <x:v>Restoration repairs only to normal maximum with a 1-turn cooldown. Fortify/Ward heal and overflow with 2-turn cooldowns; dual effects use 3 turns.</x:v>
      </x:c>
    </x:row>
    <x:row r="153">
      <x:c r="A153" t="str">
        <x:v>ARM-041</x:v>
      </x:c>
      <x:c r="B153" t="str">
        <x:v>Regal Dawnfeather Robes</x:v>
      </x:c>
      <x:c r="C153" t="str">
        <x:v>Gold</x:v>
      </x:c>
      <x:c r="D153" t="str">
        <x:v>Armour/Plumage</x:v>
      </x:c>
      <x:c r="E153" t="str">
        <x:v>Dawnfeather Vestments</x:v>
      </x:c>
      <x:c r="F153" t="str">
        <x:v>Medium</x:v>
      </x:c>
      <x:c r="G153" t="str">
        <x:v>Inquisitor, support Bard, defensive Mage</x:v>
      </x:c>
      <x:c r="H153"/>
      <x:c r="I153"/>
      <x:c r="J153" t="n">
        <x:v>0</x:v>
      </x:c>
      <x:c r="K153" t="n">
        <x:v>0</x:v>
      </x:c>
      <x:c r="L153" t="n">
        <x:v>6</x:v>
      </x:c>
      <x:c r="M153" t="n">
        <x:v>10</x:v>
      </x:c>
      <x:c r="N153" t="n">
        <x:v>4</x:v>
      </x:c>
      <x:c r="O153" t="n">
        <x:v>0</x:v>
      </x:c>
      <x:c r="P153" t="n">
        <x:v>0</x:v>
      </x:c>
      <x:c r="Q153" t="n">
        <x:v>1</x:v>
      </x:c>
      <x:c r="R153" t="n">
        <x:v>0</x:v>
      </x:c>
      <x:c r="S153" t="n">
        <x:v>2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str">
        <x:v>Mend Plumage</x:v>
      </x:c>
      <x:c r="Y153" t="n">
        <x:v>2</x:v>
      </x:c>
      <x:c r="Z153" t="n">
        <x:v>0</x:v>
      </x:c>
      <x:c r="AA153" t="str">
        <x:v>Radiant Bastion</x:v>
      </x:c>
      <x:c r="AB153" t="n">
        <x:v>3</x:v>
      </x:c>
      <x:c r="AC153" t="n">
        <x:v>0</x:v>
      </x:c>
      <x:c r="AD153" t="n">
        <x:v>3</x:v>
      </x:c>
      <x:c r="AE153" t="str">
        <x:v>Default: Radiant Bastion. A: Restore 3 Armour and 3 Magic Armour. B: Gain 5 Fortified Armour (add 5 to current Armour and temporary Maximum Armour) and 5 Ward Magic Armour (add 5 to current Magic Armour and temporary Maximum Magic Armour) for 2 turns.</x:v>
      </x:c>
      <x:c r="AF153" t="str">
        <x:v>2pc: First time Health is healed each combat, restore 2 Armour and 2 Magic Armour. | 3pc: Once per combat below 30% Health, restore 3 to the lower protection pool.</x:v>
      </x:c>
      <x:c r="AG153" t="str">
        <x:v>Ember; Frost; Storm; Venom; Blood; Lunar; Solar</x:v>
      </x:c>
      <x:c r="AH153" t="str">
        <x:v>Restoration repairs only to normal maximum with a 1-turn cooldown. Fortify/Ward heal and overflow with 2-turn cooldowns; dual effects use 3 turns.</x:v>
      </x:c>
    </x:row>
    <x:row r="154">
      <x:c r="A154" t="str">
        <x:v>ARM-042</x:v>
      </x:c>
      <x:c r="B154" t="str">
        <x:v>Mythic Dawnfeather Robes</x:v>
      </x:c>
      <x:c r="C154" t="str">
        <x:v>Orange</x:v>
      </x:c>
      <x:c r="D154" t="str">
        <x:v>Armour/Plumage</x:v>
      </x:c>
      <x:c r="E154" t="str">
        <x:v>Dawnfeather Vestments</x:v>
      </x:c>
      <x:c r="F154" t="str">
        <x:v>Medium</x:v>
      </x:c>
      <x:c r="G154" t="str">
        <x:v>Inquisitor, support Bard, defensive Mage</x:v>
      </x:c>
      <x:c r="H154"/>
      <x:c r="I154"/>
      <x:c r="J154" t="n">
        <x:v>0</x:v>
      </x:c>
      <x:c r="K154" t="n">
        <x:v>0</x:v>
      </x:c>
      <x:c r="L154" t="n">
        <x:v>9</x:v>
      </x:c>
      <x:c r="M154" t="n">
        <x:v>13</x:v>
      </x:c>
      <x:c r="N154" t="n">
        <x:v>5</x:v>
      </x:c>
      <x:c r="O154" t="n">
        <x:v>0</x:v>
      </x:c>
      <x:c r="P154" t="n">
        <x:v>0</x:v>
      </x:c>
      <x:c r="Q154" t="n">
        <x:v>2</x:v>
      </x:c>
      <x:c r="R154" t="n">
        <x:v>0</x:v>
      </x:c>
      <x:c r="S154" t="n">
        <x:v>2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str">
        <x:v>Mend Plumage</x:v>
      </x:c>
      <x:c r="Y154" t="n">
        <x:v>2</x:v>
      </x:c>
      <x:c r="Z154" t="n">
        <x:v>0</x:v>
      </x:c>
      <x:c r="AA154" t="str">
        <x:v>Radiant Bastion</x:v>
      </x:c>
      <x:c r="AB154" t="n">
        <x:v>3</x:v>
      </x:c>
      <x:c r="AC154" t="n">
        <x:v>0</x:v>
      </x:c>
      <x:c r="AD154" t="n">
        <x:v>3</x:v>
      </x:c>
      <x:c r="AE154" t="str">
        <x:v>Default: Radiant Bastion. A: Restore 3 Armour and 3 Magic Armour. B: Gain 5 Fortified Armour (add 5 to current Armour and temporary Maximum Armour) and 5 Ward Magic Armour (add 5 to current Magic Armour and temporary Maximum Magic Armour) for 2 turns.</x:v>
      </x:c>
      <x:c r="AF154" t="str">
        <x:v>2pc: First time Health is healed each combat, restore 2 Armour and 2 Magic Armour. | 3pc: Once per combat below 30% Health, restore 4 to the lower protection pool.</x:v>
      </x:c>
      <x:c r="AG154" t="str">
        <x:v>Ember; Frost; Storm; Venom; Blood; Lunar; Solar</x:v>
      </x:c>
      <x:c r="AH154" t="str">
        <x:v>Restoration repairs only to normal maximum with a 1-turn cooldown. Fortify/Ward heal and overflow with 2-turn cooldowns; dual effects use 3 turns.</x:v>
      </x:c>
    </x:row>
    <x:row r="155">
      <x:c r="A155" t="str">
        <x:v>ARM-043</x:v>
      </x:c>
      <x:c r="B155" t="str">
        <x:v>Nightweave Mantle</x:v>
      </x:c>
      <x:c r="C155" t="str">
        <x:v>Grey</x:v>
      </x:c>
      <x:c r="D155" t="str">
        <x:v>Armour/Plumage</x:v>
      </x:c>
      <x:c r="E155" t="str">
        <x:v>Nightweave Vestments</x:v>
      </x:c>
      <x:c r="F155" t="str">
        <x:v>Medium</x:v>
      </x:c>
      <x:c r="G155" t="str">
        <x:v>Siren, Mage, Bard, anti-ailment build</x:v>
      </x:c>
      <x:c r="H155"/>
      <x:c r="I155"/>
      <x:c r="J155" t="n">
        <x:v>0</x:v>
      </x:c>
      <x:c r="K155" t="n">
        <x:v>0</x:v>
      </x:c>
      <x:c r="L155" t="n">
        <x:v>1</x:v>
      </x:c>
      <x:c r="M155" t="n">
        <x:v>3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1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str">
        <x:v>Veil Stitch</x:v>
      </x:c>
      <x:c r="Y155" t="n">
        <x:v>2</x:v>
      </x:c>
      <x:c r="Z155" t="n">
        <x:v>0</x:v>
      </x:c>
      <x:c r="AA155" t="str">
        <x:v>Night Ward</x:v>
      </x:c>
      <x:c r="AB155" t="n">
        <x:v>3</x:v>
      </x:c>
      <x:c r="AC155" t="n">
        <x:v>0</x:v>
      </x:c>
      <x:c r="AD155" t="n">
        <x:v>2</x:v>
      </x:c>
      <x:c r="AE155" t="str">
        <x:v>Default: None. A: Restore 5 Magic Armour. B: Gain 8 Ward Magic Armour (add 8 to current Magic Armour and temporary Maximum Magic Armour) and reduce hostile magical ailment application chance by 10 percentage points for 2 turns.</x:v>
      </x:c>
      <x:c r="AF155" t="str">
        <x:v>2pc: After Magic Armour is depleted, hostile magical ailment chance is reduced by 5 percentage points. | 3pc: First magical ailment successfully applied each combat has its duration reduced by 1 turn, minimum 1.</x:v>
      </x:c>
      <x:c r="AG155" t="str">
        <x:v>Ember; Frost; Storm; Venom; Blood; Lunar; Solar</x:v>
      </x:c>
      <x:c r="AH155" t="str">
        <x:v>Restoration repairs only to normal maximum with a 1-turn cooldown. Fortify/Ward heal and overflow with 2-turn cooldowns; dual effects use 3 turns.</x:v>
      </x:c>
    </x:row>
    <x:row r="156">
      <x:c r="A156" t="str">
        <x:v>ARM-044</x:v>
      </x:c>
      <x:c r="B156" t="str">
        <x:v>Sturdy Nightweave Mantle</x:v>
      </x:c>
      <x:c r="C156" t="str">
        <x:v>Green</x:v>
      </x:c>
      <x:c r="D156" t="str">
        <x:v>Armour/Plumage</x:v>
      </x:c>
      <x:c r="E156" t="str">
        <x:v>Nightweave Vestments</x:v>
      </x:c>
      <x:c r="F156" t="str">
        <x:v>Medium</x:v>
      </x:c>
      <x:c r="G156" t="str">
        <x:v>Siren, Mage, Bard, anti-ailment build</x:v>
      </x:c>
      <x:c r="H156"/>
      <x:c r="I156"/>
      <x:c r="J156" t="n">
        <x:v>0</x:v>
      </x:c>
      <x:c r="K156" t="n">
        <x:v>0</x:v>
      </x:c>
      <x:c r="L156" t="n">
        <x:v>1</x:v>
      </x:c>
      <x:c r="M156" t="n">
        <x:v>5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1</x:v>
      </x:c>
      <x:c r="S156" t="n">
        <x:v>1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str">
        <x:v>Veil Stitch</x:v>
      </x:c>
      <x:c r="Y156" t="n">
        <x:v>2</x:v>
      </x:c>
      <x:c r="Z156" t="n">
        <x:v>0</x:v>
      </x:c>
      <x:c r="AA156" t="str">
        <x:v>Night Ward</x:v>
      </x:c>
      <x:c r="AB156" t="n">
        <x:v>3</x:v>
      </x:c>
      <x:c r="AC156" t="n">
        <x:v>0</x:v>
      </x:c>
      <x:c r="AD156" t="n">
        <x:v>2</x:v>
      </x:c>
      <x:c r="AE156" t="str">
        <x:v>Default: Veil Stitch. A: Restore 5 Magic Armour. B: Gain 8 Ward Magic Armour (add 8 to current Magic Armour and temporary Maximum Magic Armour) and reduce hostile magical ailment application chance by 10 percentage points for 2 turns.</x:v>
      </x:c>
      <x:c r="AF156" t="str">
        <x:v>2pc: After Magic Armour is depleted, hostile magical ailment chance is reduced by 5 percentage points. | 3pc: First magical ailment successfully applied each combat has its duration reduced by 1 turn, minimum 1.</x:v>
      </x:c>
      <x:c r="AG156" t="str">
        <x:v>Ember; Frost; Storm; Venom; Blood; Lunar; Solar</x:v>
      </x:c>
      <x:c r="AH156" t="str">
        <x:v>Restoration repairs only to normal maximum with a 1-turn cooldown. Fortify/Ward heal and overflow with 2-turn cooldowns; dual effects use 3 turns.</x:v>
      </x:c>
    </x:row>
    <x:row r="157">
      <x:c r="A157" t="str">
        <x:v>ARM-045</x:v>
      </x:c>
      <x:c r="B157" t="str">
        <x:v>Tempered Nightweave Mantle</x:v>
      </x:c>
      <x:c r="C157" t="str">
        <x:v>Blue</x:v>
      </x:c>
      <x:c r="D157" t="str">
        <x:v>Armour/Plumage</x:v>
      </x:c>
      <x:c r="E157" t="str">
        <x:v>Nightweave Vestments</x:v>
      </x:c>
      <x:c r="F157" t="str">
        <x:v>Medium</x:v>
      </x:c>
      <x:c r="G157" t="str">
        <x:v>Siren, Mage, Bard, anti-ailment build</x:v>
      </x:c>
      <x:c r="H157"/>
      <x:c r="I157"/>
      <x:c r="J157" t="n">
        <x:v>0</x:v>
      </x:c>
      <x:c r="K157" t="n">
        <x:v>0</x:v>
      </x:c>
      <x:c r="L157" t="n">
        <x:v>2</x:v>
      </x:c>
      <x:c r="M157" t="n">
        <x:v>7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1</x:v>
      </x:c>
      <x:c r="S157" t="n">
        <x:v>2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str">
        <x:v>Veil Stitch</x:v>
      </x:c>
      <x:c r="Y157" t="n">
        <x:v>2</x:v>
      </x:c>
      <x:c r="Z157" t="n">
        <x:v>0</x:v>
      </x:c>
      <x:c r="AA157" t="str">
        <x:v>Night Ward</x:v>
      </x:c>
      <x:c r="AB157" t="n">
        <x:v>3</x:v>
      </x:c>
      <x:c r="AC157" t="n">
        <x:v>0</x:v>
      </x:c>
      <x:c r="AD157" t="n">
        <x:v>2</x:v>
      </x:c>
      <x:c r="AE157" t="str">
        <x:v>Default: Veil Stitch. A: Restore 5 Magic Armour. B: Gain 8 Ward Magic Armour (add 8 to current Magic Armour and temporary Maximum Magic Armour) and reduce hostile magical ailment application chance by 10 percentage points for 2 turns.</x:v>
      </x:c>
      <x:c r="AF157" t="str">
        <x:v>2pc: After Magic Armour is depleted, hostile magical ailment chance is reduced by 10 percentage points. | 3pc: First magical ailment successfully applied each combat has its duration reduced by 1 turn, minimum 1.</x:v>
      </x:c>
      <x:c r="AG157" t="str">
        <x:v>Ember; Frost; Storm; Venom; Blood; Lunar; Solar</x:v>
      </x:c>
      <x:c r="AH157" t="str">
        <x:v>Restoration repairs only to normal maximum with a 1-turn cooldown. Fortify/Ward heal and overflow with 2-turn cooldowns; dual effects use 3 turns.</x:v>
      </x:c>
    </x:row>
    <x:row r="158">
      <x:c r="A158" t="str">
        <x:v>ARM-046</x:v>
      </x:c>
      <x:c r="B158" t="str">
        <x:v>Masterwork Nightweave Mantle</x:v>
      </x:c>
      <x:c r="C158" t="str">
        <x:v>Purple</x:v>
      </x:c>
      <x:c r="D158" t="str">
        <x:v>Armour/Plumage</x:v>
      </x:c>
      <x:c r="E158" t="str">
        <x:v>Nightweave Vestments</x:v>
      </x:c>
      <x:c r="F158" t="str">
        <x:v>Medium</x:v>
      </x:c>
      <x:c r="G158" t="str">
        <x:v>Siren, Mage, Bard, anti-ailment build</x:v>
      </x:c>
      <x:c r="H158"/>
      <x:c r="I158"/>
      <x:c r="J158" t="n">
        <x:v>0</x:v>
      </x:c>
      <x:c r="K158" t="n">
        <x:v>0</x:v>
      </x:c>
      <x:c r="L158" t="n">
        <x:v>3</x:v>
      </x:c>
      <x:c r="M158" t="n">
        <x:v>9</x:v>
      </x:c>
      <x:c r="N158" t="n">
        <x:v>1</x:v>
      </x:c>
      <x:c r="O158" t="n">
        <x:v>0</x:v>
      </x:c>
      <x:c r="P158" t="n">
        <x:v>0</x:v>
      </x:c>
      <x:c r="Q158" t="n">
        <x:v>0</x:v>
      </x:c>
      <x:c r="R158" t="n">
        <x:v>1</x:v>
      </x:c>
      <x:c r="S158" t="n">
        <x:v>3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str">
        <x:v>Veil Stitch</x:v>
      </x:c>
      <x:c r="Y158" t="n">
        <x:v>2</x:v>
      </x:c>
      <x:c r="Z158" t="n">
        <x:v>0</x:v>
      </x:c>
      <x:c r="AA158" t="str">
        <x:v>Night Ward</x:v>
      </x:c>
      <x:c r="AB158" t="n">
        <x:v>3</x:v>
      </x:c>
      <x:c r="AC158" t="n">
        <x:v>0</x:v>
      </x:c>
      <x:c r="AD158" t="n">
        <x:v>2</x:v>
      </x:c>
      <x:c r="AE158" t="str">
        <x:v>Default: Night Ward. A: Restore 5 Magic Armour. B: Gain 8 Ward Magic Armour (add 8 to current Magic Armour and temporary Maximum Magic Armour) and reduce hostile magical ailment application chance by 10 percentage points for 2 turns.</x:v>
      </x:c>
      <x:c r="AF158" t="str">
        <x:v>2pc: After Magic Armour is depleted, hostile magical ailment chance is reduced by 10 percentage points. | 3pc: First magical ailment successfully applied each combat has its duration reduced by 1 turn, minimum 1.</x:v>
      </x:c>
      <x:c r="AG158" t="str">
        <x:v>Ember; Frost; Storm; Venom; Blood; Lunar; Solar</x:v>
      </x:c>
      <x:c r="AH158" t="str">
        <x:v>Restoration repairs only to normal maximum with a 1-turn cooldown. Fortify/Ward heal and overflow with 2-turn cooldowns; dual effects use 3 turns.</x:v>
      </x:c>
    </x:row>
    <x:row r="159">
      <x:c r="A159" t="str">
        <x:v>ARM-047</x:v>
      </x:c>
      <x:c r="B159" t="str">
        <x:v>Regal Nightweave Mantle</x:v>
      </x:c>
      <x:c r="C159" t="str">
        <x:v>Gold</x:v>
      </x:c>
      <x:c r="D159" t="str">
        <x:v>Armour/Plumage</x:v>
      </x:c>
      <x:c r="E159" t="str">
        <x:v>Nightweave Vestments</x:v>
      </x:c>
      <x:c r="F159" t="str">
        <x:v>Medium</x:v>
      </x:c>
      <x:c r="G159" t="str">
        <x:v>Siren, Mage, Bard, anti-ailment build</x:v>
      </x:c>
      <x:c r="H159"/>
      <x:c r="I159"/>
      <x:c r="J159" t="n">
        <x:v>0</x:v>
      </x:c>
      <x:c r="K159" t="n">
        <x:v>0</x:v>
      </x:c>
      <x:c r="L159" t="n">
        <x:v>4</x:v>
      </x:c>
      <x:c r="M159" t="n">
        <x:v>12</x:v>
      </x:c>
      <x:c r="N159" t="n">
        <x:v>1</x:v>
      </x:c>
      <x:c r="O159" t="n">
        <x:v>0</x:v>
      </x:c>
      <x:c r="P159" t="n">
        <x:v>0</x:v>
      </x:c>
      <x:c r="Q159" t="n">
        <x:v>0</x:v>
      </x:c>
      <x:c r="R159" t="n">
        <x:v>2</x:v>
      </x:c>
      <x:c r="S159" t="n">
        <x:v>4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str">
        <x:v>Veil Stitch</x:v>
      </x:c>
      <x:c r="Y159" t="n">
        <x:v>2</x:v>
      </x:c>
      <x:c r="Z159" t="n">
        <x:v>0</x:v>
      </x:c>
      <x:c r="AA159" t="str">
        <x:v>Night Ward</x:v>
      </x:c>
      <x:c r="AB159" t="n">
        <x:v>3</x:v>
      </x:c>
      <x:c r="AC159" t="n">
        <x:v>0</x:v>
      </x:c>
      <x:c r="AD159" t="n">
        <x:v>2</x:v>
      </x:c>
      <x:c r="AE159" t="str">
        <x:v>Default: Night Ward. A: Restore 5 Magic Armour. B: Gain 8 Ward Magic Armour (add 8 to current Magic Armour and temporary Maximum Magic Armour) and reduce hostile magical ailment application chance by 10 percentage points for 2 turns.</x:v>
      </x:c>
      <x:c r="AF159" t="str">
        <x:v>2pc: After Magic Armour is depleted, hostile magical ailment chance is reduced by 15 percentage points. | 3pc: First magical ailment successfully applied each combat has its duration reduced by 1 turn, minimum 1.</x:v>
      </x:c>
      <x:c r="AG159" t="str">
        <x:v>Ember; Frost; Storm; Venom; Blood; Lunar; Solar</x:v>
      </x:c>
      <x:c r="AH159" t="str">
        <x:v>Restoration repairs only to normal maximum with a 1-turn cooldown. Fortify/Ward heal and overflow with 2-turn cooldowns; dual effects use 3 turns.</x:v>
      </x:c>
    </x:row>
    <x:row r="160">
      <x:c r="A160" t="str">
        <x:v>ARM-048</x:v>
      </x:c>
      <x:c r="B160" t="str">
        <x:v>Mythic Nightweave Mantle</x:v>
      </x:c>
      <x:c r="C160" t="str">
        <x:v>Orange</x:v>
      </x:c>
      <x:c r="D160" t="str">
        <x:v>Armour/Plumage</x:v>
      </x:c>
      <x:c r="E160" t="str">
        <x:v>Nightweave Vestments</x:v>
      </x:c>
      <x:c r="F160" t="str">
        <x:v>Medium</x:v>
      </x:c>
      <x:c r="G160" t="str">
        <x:v>Siren, Mage, Bard, anti-ailment build</x:v>
      </x:c>
      <x:c r="H160"/>
      <x:c r="I160"/>
      <x:c r="J160" t="n">
        <x:v>0</x:v>
      </x:c>
      <x:c r="K160" t="n">
        <x:v>0</x:v>
      </x:c>
      <x:c r="L160" t="n">
        <x:v>6</x:v>
      </x:c>
      <x:c r="M160" t="n">
        <x:v>16</x:v>
      </x:c>
      <x:c r="N160" t="n">
        <x:v>2</x:v>
      </x:c>
      <x:c r="O160" t="n">
        <x:v>0</x:v>
      </x:c>
      <x:c r="P160" t="n">
        <x:v>0</x:v>
      </x:c>
      <x:c r="Q160" t="n">
        <x:v>0</x:v>
      </x:c>
      <x:c r="R160" t="n">
        <x:v>2</x:v>
      </x:c>
      <x:c r="S160" t="n">
        <x:v>5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str">
        <x:v>Veil Stitch</x:v>
      </x:c>
      <x:c r="Y160" t="n">
        <x:v>2</x:v>
      </x:c>
      <x:c r="Z160" t="n">
        <x:v>0</x:v>
      </x:c>
      <x:c r="AA160" t="str">
        <x:v>Night Ward</x:v>
      </x:c>
      <x:c r="AB160" t="n">
        <x:v>3</x:v>
      </x:c>
      <x:c r="AC160" t="n">
        <x:v>0</x:v>
      </x:c>
      <x:c r="AD160" t="n">
        <x:v>2</x:v>
      </x:c>
      <x:c r="AE160" t="str">
        <x:v>Default: Night Ward. A: Restore 5 Magic Armour. B: Gain 8 Ward Magic Armour (add 8 to current Magic Armour and temporary Maximum Magic Armour) and reduce hostile magical ailment application chance by 10 percentage points for 2 turns.</x:v>
      </x:c>
      <x:c r="AF160" t="str">
        <x:v>2pc: After Magic Armour is depleted, hostile magical ailment chance is reduced by 20 percentage points. | 3pc: First magical ailment successfully applied each combat has its duration reduced by 1 turn, minimum 1.</x:v>
      </x:c>
      <x:c r="AG160" t="str">
        <x:v>Ember; Frost; Storm; Venom; Blood; Lunar; Solar</x:v>
      </x:c>
      <x:c r="AH160" t="str">
        <x:v>Restoration repairs only to normal maximum with a 1-turn cooldown. Fortify/Ward heal and overflow with 2-turn cooldowns; dual effects use 3 turns.</x:v>
      </x:c>
    </x:row>
    <x:row r="161">
      <x:c r="A161" t="str">
        <x:v>HLM-001</x:v>
      </x:c>
      <x:c r="B161" t="str">
        <x:v>Ironfeather Beak Helm</x:v>
      </x:c>
      <x:c r="C161" t="str">
        <x:v>Grey</x:v>
      </x:c>
      <x:c r="D161" t="str">
        <x:v>Helmet</x:v>
      </x:c>
      <x:c r="E161" t="str">
        <x:v>Ironfeather Bastion</x:v>
      </x:c>
      <x:c r="F161" t="str">
        <x:v>Heavy</x:v>
      </x:c>
      <x:c r="G161" t="str">
        <x:v>Knight, Brute, physical Inquisitor</x:v>
      </x:c>
      <x:c r="H161"/>
      <x:c r="I161"/>
      <x:c r="J161" t="n">
        <x:v>0</x:v>
      </x:c>
      <x:c r="K161" t="n">
        <x:v>0</x:v>
      </x:c>
      <x:c r="L161" t="n">
        <x:v>2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1</x:v>
      </x:c>
      <x:c r="R161" t="n">
        <x:v>0</x:v>
      </x:c>
      <x:c r="S161" t="n">
        <x:v>0</x:v>
      </x:c>
      <x:c r="T161" t="n">
        <x:v>-1</x:v>
      </x:c>
      <x:c r="U161" t="n">
        <x:v>0</x:v>
      </x:c>
      <x:c r="V161" t="n">
        <x:v>0</x:v>
      </x:c>
      <x:c r="W161" t="n">
        <x:v>0</x:v>
      </x:c>
      <x:c r="X161" t="str">
        <x:v>Braced Brow</x:v>
      </x:c>
      <x:c r="Y161" t="n">
        <x:v>2</x:v>
      </x:c>
      <x:c r="Z161" t="n">
        <x:v>0</x:v>
      </x:c>
      <x:c r="AA161" t="str">
        <x:v>Unyielding Crest</x:v>
      </x:c>
      <x:c r="AB161" t="n">
        <x:v>3</x:v>
      </x:c>
      <x:c r="AC161" t="n">
        <x:v>0</x:v>
      </x:c>
      <x:c r="AD161" t="n">
        <x:v>2</x:v>
      </x:c>
      <x:c r="AE161" t="str">
        <x:v>Default: None. A: Gain Minor Guard Up for 2 turns. B: Gain 5 Fortified Armour (add 5 to current Armour and temporary Maximum Armour) and Minor Guard Up for 2 turns.</x:v>
      </x:c>
      <x:c r="AF161" t="str">
        <x:v>2pc: While Armour remains, gain +2 Guard. | 3pc: First time Armour is depleted each combat, restore 1 Armour.</x:v>
      </x:c>
      <x:c r="AG161" t="str">
        <x:v>Ember; Frost; Storm; Venom; Blood; Lunar; Solar</x:v>
      </x:c>
      <x:c r="AH161" t="str">
        <x:v>Restoration repairs only to normal maximum with a 1-turn cooldown. Fortify/Ward heal and overflow with 2-turn cooldowns; dual effects use 3 turns.</x:v>
      </x:c>
    </x:row>
    <x:row r="162">
      <x:c r="A162" t="str">
        <x:v>HLM-002</x:v>
      </x:c>
      <x:c r="B162" t="str">
        <x:v>Sturdy Ironfeather Beak Helm</x:v>
      </x:c>
      <x:c r="C162" t="str">
        <x:v>Green</x:v>
      </x:c>
      <x:c r="D162" t="str">
        <x:v>Helmet</x:v>
      </x:c>
      <x:c r="E162" t="str">
        <x:v>Ironfeather Bastion</x:v>
      </x:c>
      <x:c r="F162" t="str">
        <x:v>Heavy</x:v>
      </x:c>
      <x:c r="G162" t="str">
        <x:v>Knight, Brute, physical Inquisitor</x:v>
      </x:c>
      <x:c r="H162"/>
      <x:c r="I162"/>
      <x:c r="J162" t="n">
        <x:v>0</x:v>
      </x:c>
      <x:c r="K162" t="n">
        <x:v>0</x:v>
      </x:c>
      <x:c r="L162" t="n">
        <x:v>3</x:v>
      </x:c>
      <x:c r="M162" t="n">
        <x:v>0</x:v>
      </x:c>
      <x:c r="N162" t="n">
        <x:v>1</x:v>
      </x:c>
      <x:c r="O162" t="n">
        <x:v>0</x:v>
      </x:c>
      <x:c r="P162" t="n">
        <x:v>0</x:v>
      </x:c>
      <x:c r="Q162" t="n">
        <x:v>1</x:v>
      </x:c>
      <x:c r="R162" t="n">
        <x:v>0</x:v>
      </x:c>
      <x:c r="S162" t="n">
        <x:v>0</x:v>
      </x:c>
      <x:c r="T162" t="n">
        <x:v>-1</x:v>
      </x:c>
      <x:c r="U162" t="n">
        <x:v>0</x:v>
      </x:c>
      <x:c r="V162" t="n">
        <x:v>0</x:v>
      </x:c>
      <x:c r="W162" t="n">
        <x:v>0</x:v>
      </x:c>
      <x:c r="X162" t="str">
        <x:v>Braced Brow</x:v>
      </x:c>
      <x:c r="Y162" t="n">
        <x:v>2</x:v>
      </x:c>
      <x:c r="Z162" t="n">
        <x:v>0</x:v>
      </x:c>
      <x:c r="AA162" t="str">
        <x:v>Unyielding Crest</x:v>
      </x:c>
      <x:c r="AB162" t="n">
        <x:v>3</x:v>
      </x:c>
      <x:c r="AC162" t="n">
        <x:v>0</x:v>
      </x:c>
      <x:c r="AD162" t="n">
        <x:v>2</x:v>
      </x:c>
      <x:c r="AE162" t="str">
        <x:v>Default: Braced Brow. A: Gain Minor Guard Up for 2 turns and remove 1 Dazed stack; does not remove Concussed. B: Gain 5 Fortified Armour (add 5 to current Armour and temporary Maximum Armour) and Minor Guard Up for 2 turns.</x:v>
      </x:c>
      <x:c r="AF162" t="str">
        <x:v>2pc: While Armour remains, gain +2 Guard. | 3pc: First time Armour is depleted each combat, restore 1 Armour.</x:v>
      </x:c>
      <x:c r="AG162" t="str">
        <x:v>Ember; Frost; Storm; Venom; Blood; Lunar; Solar</x:v>
      </x:c>
      <x:c r="AH162" t="str">
        <x:v>Restoration repairs only to normal maximum with a 1-turn cooldown. Fortify/Ward heal and overflow with 2-turn cooldowns; dual effects use 3 turns.</x:v>
      </x:c>
    </x:row>
    <x:row r="163">
      <x:c r="A163" t="str">
        <x:v>HLM-003</x:v>
      </x:c>
      <x:c r="B163" t="str">
        <x:v>Tempered Ironfeather Beak Helm</x:v>
      </x:c>
      <x:c r="C163" t="str">
        <x:v>Blue</x:v>
      </x:c>
      <x:c r="D163" t="str">
        <x:v>Helmet</x:v>
      </x:c>
      <x:c r="E163" t="str">
        <x:v>Ironfeather Bastion</x:v>
      </x:c>
      <x:c r="F163" t="str">
        <x:v>Heavy</x:v>
      </x:c>
      <x:c r="G163" t="str">
        <x:v>Knight, Brute, physical Inquisitor</x:v>
      </x:c>
      <x:c r="H163"/>
      <x:c r="I163"/>
      <x:c r="J163" t="n">
        <x:v>0</x:v>
      </x:c>
      <x:c r="K163" t="n">
        <x:v>0</x:v>
      </x:c>
      <x:c r="L163" t="n">
        <x:v>4</x:v>
      </x:c>
      <x:c r="M163" t="n">
        <x:v>0</x:v>
      </x:c>
      <x:c r="N163" t="n">
        <x:v>1</x:v>
      </x:c>
      <x:c r="O163" t="n">
        <x:v>0</x:v>
      </x:c>
      <x:c r="P163" t="n">
        <x:v>0</x:v>
      </x:c>
      <x:c r="Q163" t="n">
        <x:v>2</x:v>
      </x:c>
      <x:c r="R163" t="n">
        <x:v>0</x:v>
      </x:c>
      <x:c r="S163" t="n">
        <x:v>0</x:v>
      </x:c>
      <x:c r="T163" t="n">
        <x:v>-1</x:v>
      </x:c>
      <x:c r="U163" t="n">
        <x:v>0</x:v>
      </x:c>
      <x:c r="V163" t="n">
        <x:v>0</x:v>
      </x:c>
      <x:c r="W163" t="n">
        <x:v>0</x:v>
      </x:c>
      <x:c r="X163" t="str">
        <x:v>Braced Brow</x:v>
      </x:c>
      <x:c r="Y163" t="n">
        <x:v>2</x:v>
      </x:c>
      <x:c r="Z163" t="n">
        <x:v>0</x:v>
      </x:c>
      <x:c r="AA163" t="str">
        <x:v>Unyielding Crest</x:v>
      </x:c>
      <x:c r="AB163" t="n">
        <x:v>3</x:v>
      </x:c>
      <x:c r="AC163" t="n">
        <x:v>0</x:v>
      </x:c>
      <x:c r="AD163" t="n">
        <x:v>2</x:v>
      </x:c>
      <x:c r="AE163" t="str">
        <x:v>Default: Braced Brow. A: Gain Minor Guard Up for 2 turns and remove 1 Dazed stack; does not remove Concussed. B: Gain 5 Fortified Armour (add 5 to current Armour and temporary Maximum Armour) and Minor Guard Up for 2 turns.</x:v>
      </x:c>
      <x:c r="AF163" t="str">
        <x:v>2pc: While Armour remains, gain +3 Guard. | 3pc: First time Armour is depleted each combat, restore 2 Armour.</x:v>
      </x:c>
      <x:c r="AG163" t="str">
        <x:v>Ember; Frost; Storm; Venom; Blood; Lunar; Solar</x:v>
      </x:c>
      <x:c r="AH163" t="str">
        <x:v>Restoration repairs only to normal maximum with a 1-turn cooldown. Fortify/Ward heal and overflow with 2-turn cooldowns; dual effects use 3 turns.</x:v>
      </x:c>
    </x:row>
    <x:row r="164">
      <x:c r="A164" t="str">
        <x:v>HLM-004</x:v>
      </x:c>
      <x:c r="B164" t="str">
        <x:v>Masterwork Ironfeather Beak Helm</x:v>
      </x:c>
      <x:c r="C164" t="str">
        <x:v>Purple</x:v>
      </x:c>
      <x:c r="D164" t="str">
        <x:v>Helmet</x:v>
      </x:c>
      <x:c r="E164" t="str">
        <x:v>Ironfeather Bastion</x:v>
      </x:c>
      <x:c r="F164" t="str">
        <x:v>Heavy</x:v>
      </x:c>
      <x:c r="G164" t="str">
        <x:v>Knight, Brute, physical Inquisitor</x:v>
      </x:c>
      <x:c r="H164"/>
      <x:c r="I164"/>
      <x:c r="J164" t="n">
        <x:v>0</x:v>
      </x:c>
      <x:c r="K164" t="n">
        <x:v>0</x:v>
      </x:c>
      <x:c r="L164" t="n">
        <x:v>6</x:v>
      </x:c>
      <x:c r="M164" t="n">
        <x:v>1</x:v>
      </x:c>
      <x:c r="N164" t="n">
        <x:v>1</x:v>
      </x:c>
      <x:c r="O164" t="n">
        <x:v>1</x:v>
      </x:c>
      <x:c r="P164" t="n">
        <x:v>0</x:v>
      </x:c>
      <x:c r="Q164" t="n">
        <x:v>3</x:v>
      </x:c>
      <x:c r="R164" t="n">
        <x:v>0</x:v>
      </x:c>
      <x:c r="S164" t="n">
        <x:v>0</x:v>
      </x:c>
      <x:c r="T164" t="n">
        <x:v>-1</x:v>
      </x:c>
      <x:c r="U164" t="n">
        <x:v>0</x:v>
      </x:c>
      <x:c r="V164" t="n">
        <x:v>0</x:v>
      </x:c>
      <x:c r="W164" t="n">
        <x:v>0</x:v>
      </x:c>
      <x:c r="X164" t="str">
        <x:v>Braced Brow</x:v>
      </x:c>
      <x:c r="Y164" t="n">
        <x:v>2</x:v>
      </x:c>
      <x:c r="Z164" t="n">
        <x:v>0</x:v>
      </x:c>
      <x:c r="AA164" t="str">
        <x:v>Unyielding Crest</x:v>
      </x:c>
      <x:c r="AB164" t="n">
        <x:v>3</x:v>
      </x:c>
      <x:c r="AC164" t="n">
        <x:v>0</x:v>
      </x:c>
      <x:c r="AD164" t="n">
        <x:v>2</x:v>
      </x:c>
      <x:c r="AE164" t="str">
        <x:v>Default: Unyielding Crest. A: Gain Minor Guard Up for 2 turns. B: Gain 5 Fortified Armour (add 5 to current Armour and temporary Maximum Armour) and Minor Guard Up for 2 turns.</x:v>
      </x:c>
      <x:c r="AF164" t="str">
        <x:v>2pc: While Armour remains, gain +3 Guard. | 3pc: First time Armour is depleted each combat, restore 2 Armour.</x:v>
      </x:c>
      <x:c r="AG164" t="str">
        <x:v>Ember; Frost; Storm; Venom; Blood; Lunar; Solar</x:v>
      </x:c>
      <x:c r="AH164" t="str">
        <x:v>Restoration repairs only to normal maximum with a 1-turn cooldown. Fortify/Ward heal and overflow with 2-turn cooldowns; dual effects use 3 turns.</x:v>
      </x:c>
    </x:row>
    <x:row r="165">
      <x:c r="A165" t="str">
        <x:v>HLM-005</x:v>
      </x:c>
      <x:c r="B165" t="str">
        <x:v>Regal Ironfeather Beak Helm</x:v>
      </x:c>
      <x:c r="C165" t="str">
        <x:v>Gold</x:v>
      </x:c>
      <x:c r="D165" t="str">
        <x:v>Helmet</x:v>
      </x:c>
      <x:c r="E165" t="str">
        <x:v>Ironfeather Bastion</x:v>
      </x:c>
      <x:c r="F165" t="str">
        <x:v>Heavy</x:v>
      </x:c>
      <x:c r="G165" t="str">
        <x:v>Knight, Brute, physical Inquisitor</x:v>
      </x:c>
      <x:c r="H165"/>
      <x:c r="I165"/>
      <x:c r="J165" t="n">
        <x:v>0</x:v>
      </x:c>
      <x:c r="K165" t="n">
        <x:v>0</x:v>
      </x:c>
      <x:c r="L165" t="n">
        <x:v>8</x:v>
      </x:c>
      <x:c r="M165" t="n">
        <x:v>1</x:v>
      </x:c>
      <x:c r="N165" t="n">
        <x:v>2</x:v>
      </x:c>
      <x:c r="O165" t="n">
        <x:v>1</x:v>
      </x:c>
      <x:c r="P165" t="n">
        <x:v>0</x:v>
      </x:c>
      <x:c r="Q165" t="n">
        <x:v>4</x:v>
      </x:c>
      <x:c r="R165" t="n">
        <x:v>0</x:v>
      </x:c>
      <x:c r="S165" t="n">
        <x:v>0</x:v>
      </x:c>
      <x:c r="T165" t="n">
        <x:v>-1</x:v>
      </x:c>
      <x:c r="U165" t="n">
        <x:v>0</x:v>
      </x:c>
      <x:c r="V165" t="n">
        <x:v>0</x:v>
      </x:c>
      <x:c r="W165" t="n">
        <x:v>0</x:v>
      </x:c>
      <x:c r="X165" t="str">
        <x:v>Braced Brow</x:v>
      </x:c>
      <x:c r="Y165" t="n">
        <x:v>2</x:v>
      </x:c>
      <x:c r="Z165" t="n">
        <x:v>0</x:v>
      </x:c>
      <x:c r="AA165" t="str">
        <x:v>Unyielding Crest</x:v>
      </x:c>
      <x:c r="AB165" t="n">
        <x:v>3</x:v>
      </x:c>
      <x:c r="AC165" t="n">
        <x:v>0</x:v>
      </x:c>
      <x:c r="AD165" t="n">
        <x:v>2</x:v>
      </x:c>
      <x:c r="AE165" t="str">
        <x:v>Default: Unyielding Crest. A: Gain Minor Guard Up for 2 turns. B: Gain 5 Fortified Armour (add 5 to current Armour and temporary Maximum Armour) and Minor Guard Up for 2 turns.</x:v>
      </x:c>
      <x:c r="AF165" t="str">
        <x:v>2pc: While Armour remains, gain +4 Guard. | 3pc: First time Armour is depleted each combat, restore 3 Armour.</x:v>
      </x:c>
      <x:c r="AG165" t="str">
        <x:v>Ember; Frost; Storm; Venom; Blood; Lunar; Solar</x:v>
      </x:c>
      <x:c r="AH165" t="str">
        <x:v>Restoration repairs only to normal maximum with a 1-turn cooldown. Fortify/Ward heal and overflow with 2-turn cooldowns; dual effects use 3 turns.</x:v>
      </x:c>
    </x:row>
    <x:row r="166">
      <x:c r="A166" t="str">
        <x:v>HLM-006</x:v>
      </x:c>
      <x:c r="B166" t="str">
        <x:v>Mythic Ironfeather Beak Helm</x:v>
      </x:c>
      <x:c r="C166" t="str">
        <x:v>Orange</x:v>
      </x:c>
      <x:c r="D166" t="str">
        <x:v>Helmet</x:v>
      </x:c>
      <x:c r="E166" t="str">
        <x:v>Ironfeather Bastion</x:v>
      </x:c>
      <x:c r="F166" t="str">
        <x:v>Heavy</x:v>
      </x:c>
      <x:c r="G166" t="str">
        <x:v>Knight, Brute, physical Inquisitor</x:v>
      </x:c>
      <x:c r="H166"/>
      <x:c r="I166"/>
      <x:c r="J166" t="n">
        <x:v>0</x:v>
      </x:c>
      <x:c r="K166" t="n">
        <x:v>0</x:v>
      </x:c>
      <x:c r="L166" t="n">
        <x:v>11</x:v>
      </x:c>
      <x:c r="M166" t="n">
        <x:v>1</x:v>
      </x:c>
      <x:c r="N166" t="n">
        <x:v>2</x:v>
      </x:c>
      <x:c r="O166" t="n">
        <x:v>2</x:v>
      </x:c>
      <x:c r="P166" t="n">
        <x:v>0</x:v>
      </x:c>
      <x:c r="Q166" t="n">
        <x:v>5</x:v>
      </x:c>
      <x:c r="R166" t="n">
        <x:v>0</x:v>
      </x:c>
      <x:c r="S166" t="n">
        <x:v>0</x:v>
      </x:c>
      <x:c r="T166" t="n">
        <x:v>-1</x:v>
      </x:c>
      <x:c r="U166" t="n">
        <x:v>0</x:v>
      </x:c>
      <x:c r="V166" t="n">
        <x:v>0</x:v>
      </x:c>
      <x:c r="W166" t="n">
        <x:v>0</x:v>
      </x:c>
      <x:c r="X166" t="str">
        <x:v>Braced Brow</x:v>
      </x:c>
      <x:c r="Y166" t="n">
        <x:v>2</x:v>
      </x:c>
      <x:c r="Z166" t="n">
        <x:v>0</x:v>
      </x:c>
      <x:c r="AA166" t="str">
        <x:v>Unyielding Crest</x:v>
      </x:c>
      <x:c r="AB166" t="n">
        <x:v>3</x:v>
      </x:c>
      <x:c r="AC166" t="n">
        <x:v>0</x:v>
      </x:c>
      <x:c r="AD166" t="n">
        <x:v>2</x:v>
      </x:c>
      <x:c r="AE166" t="str">
        <x:v>Default: Unyielding Crest. A: Gain Minor Guard Up for 2 turns. B: Gain 5 Fortified Armour (add 5 to current Armour and temporary Maximum Armour) and Minor Guard Up for 2 turns.</x:v>
      </x:c>
      <x:c r="AF166" t="str">
        <x:v>2pc: While Armour remains, gain +5 Guard. | 3pc: First time Armour is depleted each combat, restore 4 Armour.</x:v>
      </x:c>
      <x:c r="AG166" t="str">
        <x:v>Ember; Frost; Storm; Venom; Blood; Lunar; Solar</x:v>
      </x:c>
      <x:c r="AH166" t="str">
        <x:v>Restoration repairs only to normal maximum with a 1-turn cooldown. Fortify/Ward heal and overflow with 2-turn cooldowns; dual effects use 3 turns.</x:v>
      </x:c>
    </x:row>
    <x:row r="167">
      <x:c r="A167" t="str">
        <x:v>HLM-007</x:v>
      </x:c>
      <x:c r="B167" t="str">
        <x:v>Runic Feather Circlet</x:v>
      </x:c>
      <x:c r="C167" t="str">
        <x:v>Grey</x:v>
      </x:c>
      <x:c r="D167" t="str">
        <x:v>Helmet</x:v>
      </x:c>
      <x:c r="E167" t="str">
        <x:v>Runewoven Aegis</x:v>
      </x:c>
      <x:c r="F167" t="str">
        <x:v>Medium</x:v>
      </x:c>
      <x:c r="G167" t="str">
        <x:v>Mage, Siren, magical Bard</x:v>
      </x:c>
      <x:c r="H167"/>
      <x:c r="I167"/>
      <x:c r="J167" t="n">
        <x:v>0</x:v>
      </x:c>
      <x:c r="K167" t="n">
        <x:v>0</x:v>
      </x:c>
      <x:c r="L167" t="n">
        <x:v>0</x:v>
      </x:c>
      <x:c r="M167" t="n">
        <x:v>2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1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str">
        <x:v>Clear Mind</x:v>
      </x:c>
      <x:c r="Y167" t="n">
        <x:v>2</x:v>
      </x:c>
      <x:c r="Z167" t="n">
        <x:v>0</x:v>
      </x:c>
      <x:c r="AA167" t="str">
        <x:v>Arcane Focus</x:v>
      </x:c>
      <x:c r="AB167" t="n">
        <x:v>3</x:v>
      </x:c>
      <x:c r="AC167" t="n">
        <x:v>0</x:v>
      </x:c>
      <x:c r="AD167" t="n">
        <x:v>2</x:v>
      </x:c>
      <x:c r="AE167" t="str">
        <x:v>Default: None. A: Restore 3 Magic Armour. If affected by a magical stat debuff, reduce its remaining duration by 1 turn. B: Gain 5 Ward Magic Armour (add 5 to current Magic Armour and temporary Maximum Magic Armour) and Minor Focus Up for 2 turns.</x:v>
      </x:c>
      <x:c r="AF167" t="str">
        <x:v>2pc: While Magic Armour remains, gain +2 Resolve. | 3pc: First time Magic Armour is depleted each combat, restore 1 Magic Armour.</x:v>
      </x:c>
      <x:c r="AG167" t="str">
        <x:v>Ember; Frost; Storm; Venom; Blood; Lunar; Solar</x:v>
      </x:c>
      <x:c r="AH167" t="str">
        <x:v>Restoration repairs only to normal maximum with a 1-turn cooldown. Fortify/Ward heal and overflow with 2-turn cooldowns; dual effects use 3 turns.</x:v>
      </x:c>
    </x:row>
    <x:row r="168">
      <x:c r="A168" t="str">
        <x:v>HLM-008</x:v>
      </x:c>
      <x:c r="B168" t="str">
        <x:v>Sturdy Runic Feather Circlet</x:v>
      </x:c>
      <x:c r="C168" t="str">
        <x:v>Green</x:v>
      </x:c>
      <x:c r="D168" t="str">
        <x:v>Helmet</x:v>
      </x:c>
      <x:c r="E168" t="str">
        <x:v>Runewoven Aegis</x:v>
      </x:c>
      <x:c r="F168" t="str">
        <x:v>Medium</x:v>
      </x:c>
      <x:c r="G168" t="str">
        <x:v>Mage, Siren, magical Bard</x:v>
      </x:c>
      <x:c r="H168"/>
      <x:c r="I168"/>
      <x:c r="J168" t="n">
        <x:v>0</x:v>
      </x:c>
      <x:c r="K168" t="n">
        <x:v>0</x:v>
      </x:c>
      <x:c r="L168" t="n">
        <x:v>0</x:v>
      </x:c>
      <x:c r="M168" t="n">
        <x:v>3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1</x:v>
      </x:c>
      <x:c r="S168" t="n">
        <x:v>1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str">
        <x:v>Clear Mind</x:v>
      </x:c>
      <x:c r="Y168" t="n">
        <x:v>2</x:v>
      </x:c>
      <x:c r="Z168" t="n">
        <x:v>0</x:v>
      </x:c>
      <x:c r="AA168" t="str">
        <x:v>Arcane Focus</x:v>
      </x:c>
      <x:c r="AB168" t="n">
        <x:v>3</x:v>
      </x:c>
      <x:c r="AC168" t="n">
        <x:v>0</x:v>
      </x:c>
      <x:c r="AD168" t="n">
        <x:v>2</x:v>
      </x:c>
      <x:c r="AE168" t="str">
        <x:v>Default: Clear Mind. A: Restore 3 Magic Armour. If affected by a magical stat debuff, reduce its remaining duration by 1 turn. B: Gain 5 Ward Magic Armour (add 5 to current Magic Armour and temporary Maximum Magic Armour) and Minor Focus Up for 2 turns.</x:v>
      </x:c>
      <x:c r="AF168" t="str">
        <x:v>2pc: While Magic Armour remains, gain +2 Resolve. | 3pc: First time Magic Armour is depleted each combat, restore 1 Magic Armour.</x:v>
      </x:c>
      <x:c r="AG168" t="str">
        <x:v>Ember; Frost; Storm; Venom; Blood; Lunar; Solar</x:v>
      </x:c>
      <x:c r="AH168" t="str">
        <x:v>Restoration repairs only to normal maximum with a 1-turn cooldown. Fortify/Ward heal and overflow with 2-turn cooldowns; dual effects use 3 turns.</x:v>
      </x:c>
    </x:row>
    <x:row r="169">
      <x:c r="A169" t="str">
        <x:v>HLM-009</x:v>
      </x:c>
      <x:c r="B169" t="str">
        <x:v>Tempered Runic Feather Circlet</x:v>
      </x:c>
      <x:c r="C169" t="str">
        <x:v>Blue</x:v>
      </x:c>
      <x:c r="D169" t="str">
        <x:v>Helmet</x:v>
      </x:c>
      <x:c r="E169" t="str">
        <x:v>Runewoven Aegis</x:v>
      </x:c>
      <x:c r="F169" t="str">
        <x:v>Medium</x:v>
      </x:c>
      <x:c r="G169" t="str">
        <x:v>Mage, Siren, magical Bard</x:v>
      </x:c>
      <x:c r="H169"/>
      <x:c r="I169"/>
      <x:c r="J169" t="n">
        <x:v>0</x:v>
      </x:c>
      <x:c r="K169" t="n">
        <x:v>0</x:v>
      </x:c>
      <x:c r="L169" t="n">
        <x:v>0</x:v>
      </x:c>
      <x:c r="M169" t="n">
        <x:v>4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1</x:v>
      </x:c>
      <x:c r="S169" t="n">
        <x:v>2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str">
        <x:v>Clear Mind</x:v>
      </x:c>
      <x:c r="Y169" t="n">
        <x:v>2</x:v>
      </x:c>
      <x:c r="Z169" t="n">
        <x:v>0</x:v>
      </x:c>
      <x:c r="AA169" t="str">
        <x:v>Arcane Focus</x:v>
      </x:c>
      <x:c r="AB169" t="n">
        <x:v>3</x:v>
      </x:c>
      <x:c r="AC169" t="n">
        <x:v>0</x:v>
      </x:c>
      <x:c r="AD169" t="n">
        <x:v>2</x:v>
      </x:c>
      <x:c r="AE169" t="str">
        <x:v>Default: Clear Mind. A: Restore 3 Magic Armour. If affected by a magical stat debuff, reduce its remaining duration by 1 turn. B: Gain 5 Ward Magic Armour (add 5 to current Magic Armour and temporary Maximum Magic Armour) and Minor Focus Up for 2 turns.</x:v>
      </x:c>
      <x:c r="AF169" t="str">
        <x:v>2pc: While Magic Armour remains, gain +3 Resolve. | 3pc: First time Magic Armour is depleted each combat, restore 2 Magic Armour.</x:v>
      </x:c>
      <x:c r="AG169" t="str">
        <x:v>Ember; Frost; Storm; Venom; Blood; Lunar; Solar</x:v>
      </x:c>
      <x:c r="AH169" t="str">
        <x:v>Restoration repairs only to normal maximum with a 1-turn cooldown. Fortify/Ward heal and overflow with 2-turn cooldowns; dual effects use 3 turns.</x:v>
      </x:c>
    </x:row>
    <x:row r="170">
      <x:c r="A170" t="str">
        <x:v>HLM-010</x:v>
      </x:c>
      <x:c r="B170" t="str">
        <x:v>Masterwork Runic Feather Circlet</x:v>
      </x:c>
      <x:c r="C170" t="str">
        <x:v>Purple</x:v>
      </x:c>
      <x:c r="D170" t="str">
        <x:v>Helmet</x:v>
      </x:c>
      <x:c r="E170" t="str">
        <x:v>Runewoven Aegis</x:v>
      </x:c>
      <x:c r="F170" t="str">
        <x:v>Medium</x:v>
      </x:c>
      <x:c r="G170" t="str">
        <x:v>Mage, Siren, magical Bard</x:v>
      </x:c>
      <x:c r="H170"/>
      <x:c r="I170"/>
      <x:c r="J170" t="n">
        <x:v>0</x:v>
      </x:c>
      <x:c r="K170" t="n">
        <x:v>0</x:v>
      </x:c>
      <x:c r="L170" t="n">
        <x:v>0</x:v>
      </x:c>
      <x:c r="M170" t="n">
        <x:v>6</x:v>
      </x:c>
      <x:c r="N170" t="n">
        <x:v>1</x:v>
      </x:c>
      <x:c r="O170" t="n">
        <x:v>0</x:v>
      </x:c>
      <x:c r="P170" t="n">
        <x:v>0</x:v>
      </x:c>
      <x:c r="Q170" t="n">
        <x:v>0</x:v>
      </x:c>
      <x:c r="R170" t="n">
        <x:v>1</x:v>
      </x:c>
      <x:c r="S170" t="n">
        <x:v>3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str">
        <x:v>Clear Mind</x:v>
      </x:c>
      <x:c r="Y170" t="n">
        <x:v>2</x:v>
      </x:c>
      <x:c r="Z170" t="n">
        <x:v>0</x:v>
      </x:c>
      <x:c r="AA170" t="str">
        <x:v>Arcane Focus</x:v>
      </x:c>
      <x:c r="AB170" t="n">
        <x:v>3</x:v>
      </x:c>
      <x:c r="AC170" t="n">
        <x:v>0</x:v>
      </x:c>
      <x:c r="AD170" t="n">
        <x:v>2</x:v>
      </x:c>
      <x:c r="AE170" t="str">
        <x:v>Default: Arcane Focus. A: Restore 3 Magic Armour. If affected by a magical stat debuff, reduce its remaining duration by 1 turn. B: Gain 5 Ward Magic Armour (add 5 to current Magic Armour and temporary Maximum Magic Armour) and Minor Focus Up for 2 turns.</x:v>
      </x:c>
      <x:c r="AF170" t="str">
        <x:v>2pc: While Magic Armour remains, gain +3 Resolve. | 3pc: First time Magic Armour is depleted each combat, restore 2 Magic Armour.</x:v>
      </x:c>
      <x:c r="AG170" t="str">
        <x:v>Ember; Frost; Storm; Venom; Blood; Lunar; Solar</x:v>
      </x:c>
      <x:c r="AH170" t="str">
        <x:v>Restoration repairs only to normal maximum with a 1-turn cooldown. Fortify/Ward heal and overflow with 2-turn cooldowns; dual effects use 3 turns.</x:v>
      </x:c>
    </x:row>
    <x:row r="171">
      <x:c r="A171" t="str">
        <x:v>HLM-011</x:v>
      </x:c>
      <x:c r="B171" t="str">
        <x:v>Regal Runic Feather Circlet</x:v>
      </x:c>
      <x:c r="C171" t="str">
        <x:v>Gold</x:v>
      </x:c>
      <x:c r="D171" t="str">
        <x:v>Helmet</x:v>
      </x:c>
      <x:c r="E171" t="str">
        <x:v>Runewoven Aegis</x:v>
      </x:c>
      <x:c r="F171" t="str">
        <x:v>Medium</x:v>
      </x:c>
      <x:c r="G171" t="str">
        <x:v>Mage, Siren, magical Bard</x:v>
      </x:c>
      <x:c r="H171"/>
      <x:c r="I171"/>
      <x:c r="J171" t="n">
        <x:v>0</x:v>
      </x:c>
      <x:c r="K171" t="n">
        <x:v>0</x:v>
      </x:c>
      <x:c r="L171" t="n">
        <x:v>1</x:v>
      </x:c>
      <x:c r="M171" t="n">
        <x:v>7</x:v>
      </x:c>
      <x:c r="N171" t="n">
        <x:v>1</x:v>
      </x:c>
      <x:c r="O171" t="n">
        <x:v>0</x:v>
      </x:c>
      <x:c r="P171" t="n">
        <x:v>0</x:v>
      </x:c>
      <x:c r="Q171" t="n">
        <x:v>0</x:v>
      </x:c>
      <x:c r="R171" t="n">
        <x:v>2</x:v>
      </x:c>
      <x:c r="S171" t="n">
        <x:v>4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str">
        <x:v>Clear Mind</x:v>
      </x:c>
      <x:c r="Y171" t="n">
        <x:v>2</x:v>
      </x:c>
      <x:c r="Z171" t="n">
        <x:v>0</x:v>
      </x:c>
      <x:c r="AA171" t="str">
        <x:v>Arcane Focus</x:v>
      </x:c>
      <x:c r="AB171" t="n">
        <x:v>3</x:v>
      </x:c>
      <x:c r="AC171" t="n">
        <x:v>0</x:v>
      </x:c>
      <x:c r="AD171" t="n">
        <x:v>2</x:v>
      </x:c>
      <x:c r="AE171" t="str">
        <x:v>Default: Arcane Focus. A: Restore 3 Magic Armour. If affected by a magical stat debuff, reduce its remaining duration by 1 turn. B: Gain 5 Ward Magic Armour (add 5 to current Magic Armour and temporary Maximum Magic Armour) and Minor Focus Up for 2 turns.</x:v>
      </x:c>
      <x:c r="AF171" t="str">
        <x:v>2pc: While Magic Armour remains, gain +4 Resolve. | 3pc: First time Magic Armour is depleted each combat, restore 3 Magic Armour.</x:v>
      </x:c>
      <x:c r="AG171" t="str">
        <x:v>Ember; Frost; Storm; Venom; Blood; Lunar; Solar</x:v>
      </x:c>
      <x:c r="AH171" t="str">
        <x:v>Restoration repairs only to normal maximum with a 1-turn cooldown. Fortify/Ward heal and overflow with 2-turn cooldowns; dual effects use 3 turns.</x:v>
      </x:c>
    </x:row>
    <x:row r="172">
      <x:c r="A172" t="str">
        <x:v>HLM-012</x:v>
      </x:c>
      <x:c r="B172" t="str">
        <x:v>Mythic Runic Feather Circlet</x:v>
      </x:c>
      <x:c r="C172" t="str">
        <x:v>Orange</x:v>
      </x:c>
      <x:c r="D172" t="str">
        <x:v>Helmet</x:v>
      </x:c>
      <x:c r="E172" t="str">
        <x:v>Runewoven Aegis</x:v>
      </x:c>
      <x:c r="F172" t="str">
        <x:v>Medium</x:v>
      </x:c>
      <x:c r="G172" t="str">
        <x:v>Mage, Siren, magical Bard</x:v>
      </x:c>
      <x:c r="H172"/>
      <x:c r="I172"/>
      <x:c r="J172" t="n">
        <x:v>0</x:v>
      </x:c>
      <x:c r="K172" t="n">
        <x:v>0</x:v>
      </x:c>
      <x:c r="L172" t="n">
        <x:v>1</x:v>
      </x:c>
      <x:c r="M172" t="n">
        <x:v>10</x:v>
      </x:c>
      <x:c r="N172" t="n">
        <x:v>2</x:v>
      </x:c>
      <x:c r="O172" t="n">
        <x:v>0</x:v>
      </x:c>
      <x:c r="P172" t="n">
        <x:v>0</x:v>
      </x:c>
      <x:c r="Q172" t="n">
        <x:v>0</x:v>
      </x:c>
      <x:c r="R172" t="n">
        <x:v>2</x:v>
      </x:c>
      <x:c r="S172" t="n">
        <x:v>5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str">
        <x:v>Clear Mind</x:v>
      </x:c>
      <x:c r="Y172" t="n">
        <x:v>2</x:v>
      </x:c>
      <x:c r="Z172" t="n">
        <x:v>0</x:v>
      </x:c>
      <x:c r="AA172" t="str">
        <x:v>Arcane Focus</x:v>
      </x:c>
      <x:c r="AB172" t="n">
        <x:v>3</x:v>
      </x:c>
      <x:c r="AC172" t="n">
        <x:v>0</x:v>
      </x:c>
      <x:c r="AD172" t="n">
        <x:v>2</x:v>
      </x:c>
      <x:c r="AE172" t="str">
        <x:v>Default: Arcane Focus. A: Restore 3 Magic Armour. If affected by a magical stat debuff, reduce its remaining duration by 1 turn. B: Gain 5 Ward Magic Armour (add 5 to current Magic Armour and temporary Maximum Magic Armour) and Minor Focus Up for 2 turns.</x:v>
      </x:c>
      <x:c r="AF172" t="str">
        <x:v>2pc: While Magic Armour remains, gain +5 Resolve. | 3pc: First time Magic Armour is depleted each combat, restore 4 Magic Armour.</x:v>
      </x:c>
      <x:c r="AG172" t="str">
        <x:v>Ember; Frost; Storm; Venom; Blood; Lunar; Solar</x:v>
      </x:c>
      <x:c r="AH172" t="str">
        <x:v>Restoration repairs only to normal maximum with a 1-turn cooldown. Fortify/Ward heal and overflow with 2-turn cooldowns; dual effects use 3 turns.</x:v>
      </x:c>
    </x:row>
    <x:row r="173">
      <x:c r="A173" t="str">
        <x:v>HLM-013</x:v>
      </x:c>
      <x:c r="B173" t="str">
        <x:v>Layered Scale Visor</x:v>
      </x:c>
      <x:c r="C173" t="str">
        <x:v>Grey</x:v>
      </x:c>
      <x:c r="D173" t="str">
        <x:v>Helmet</x:v>
      </x:c>
      <x:c r="E173" t="str">
        <x:v>Layered Scale</x:v>
      </x:c>
      <x:c r="F173" t="str">
        <x:v>Medium</x:v>
      </x:c>
      <x:c r="G173" t="str">
        <x:v>Generalist, Inquisitor, Bard</x:v>
      </x:c>
      <x:c r="H173"/>
      <x:c r="I173"/>
      <x:c r="J173" t="n">
        <x:v>0</x:v>
      </x:c>
      <x:c r="K173" t="n">
        <x:v>0</x:v>
      </x:c>
      <x:c r="L173" t="n">
        <x:v>1</x:v>
      </x:c>
      <x:c r="M173" t="n">
        <x:v>1</x:v>
      </x:c>
      <x:c r="N173" t="n">
        <x:v>1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str">
        <x:v>Balanced Guard</x:v>
      </x:c>
      <x:c r="Y173" t="n">
        <x:v>2</x:v>
      </x:c>
      <x:c r="Z173" t="n">
        <x:v>0</x:v>
      </x:c>
      <x:c r="AA173" t="str">
        <x:v>Equalised Defence</x:v>
      </x:c>
      <x:c r="AB173" t="n">
        <x:v>3</x:v>
      </x:c>
      <x:c r="AC173" t="n">
        <x:v>0</x:v>
      </x:c>
      <x:c r="AD173" t="n">
        <x:v>3</x:v>
      </x:c>
      <x:c r="AE173" t="str">
        <x:v>Default: None.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3" t="str">
        <x:v>2pc: Begin combat with +1 Maximum Armour and +1 Maximum Magic Armour. | 3pc: Once per combat when either protection pool is depleted, restore 1 to both pools.</x:v>
      </x:c>
      <x:c r="AG173" t="str">
        <x:v>Ember; Frost; Storm; Venom; Blood; Lunar; Solar</x:v>
      </x:c>
      <x:c r="AH173" t="str">
        <x:v>Restoration repairs only to normal maximum with a 1-turn cooldown. Fortify/Ward heal and overflow with 2-turn cooldowns; dual effects use 3 turns.</x:v>
      </x:c>
    </x:row>
    <x:row r="174">
      <x:c r="A174" t="str">
        <x:v>HLM-014</x:v>
      </x:c>
      <x:c r="B174" t="str">
        <x:v>Sturdy Layered Scale Visor</x:v>
      </x:c>
      <x:c r="C174" t="str">
        <x:v>Green</x:v>
      </x:c>
      <x:c r="D174" t="str">
        <x:v>Helmet</x:v>
      </x:c>
      <x:c r="E174" t="str">
        <x:v>Layered Scale</x:v>
      </x:c>
      <x:c r="F174" t="str">
        <x:v>Medium</x:v>
      </x:c>
      <x:c r="G174" t="str">
        <x:v>Generalist, Inquisitor, Bard</x:v>
      </x:c>
      <x:c r="H174"/>
      <x:c r="I174"/>
      <x:c r="J174" t="n">
        <x:v>0</x:v>
      </x:c>
      <x:c r="K174" t="n">
        <x:v>0</x:v>
      </x:c>
      <x:c r="L174" t="n">
        <x:v>2</x:v>
      </x:c>
      <x:c r="M174" t="n">
        <x:v>1</x:v>
      </x:c>
      <x:c r="N174" t="n">
        <x:v>1</x:v>
      </x:c>
      <x:c r="O174" t="n">
        <x:v>0</x:v>
      </x:c>
      <x:c r="P174" t="n">
        <x:v>0</x:v>
      </x:c>
      <x:c r="Q174" t="n">
        <x:v>1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str">
        <x:v>Balanced Guard</x:v>
      </x:c>
      <x:c r="Y174" t="n">
        <x:v>2</x:v>
      </x:c>
      <x:c r="Z174" t="n">
        <x:v>0</x:v>
      </x:c>
      <x:c r="AA174" t="str">
        <x:v>Equalised Defence</x:v>
      </x:c>
      <x:c r="AB174" t="n">
        <x:v>3</x:v>
      </x:c>
      <x:c r="AC174" t="n">
        <x:v>0</x:v>
      </x:c>
      <x:c r="AD174" t="n">
        <x:v>3</x:v>
      </x:c>
      <x:c r="AE174" t="str">
        <x:v>Default: Balanced Guard.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4" t="str">
        <x:v>2pc: Begin combat with +1 Maximum Armour and +1 Maximum Magic Armour. | 3pc: Once per combat when either protection pool is depleted, restore 1 to both pools.</x:v>
      </x:c>
      <x:c r="AG174" t="str">
        <x:v>Ember; Frost; Storm; Venom; Blood; Lunar; Solar</x:v>
      </x:c>
      <x:c r="AH174" t="str">
        <x:v>Restoration repairs only to normal maximum with a 1-turn cooldown. Fortify/Ward heal and overflow with 2-turn cooldowns; dual effects use 3 turns.</x:v>
      </x:c>
    </x:row>
    <x:row r="175">
      <x:c r="A175" t="str">
        <x:v>HLM-015</x:v>
      </x:c>
      <x:c r="B175" t="str">
        <x:v>Tempered Layered Scale Visor</x:v>
      </x:c>
      <x:c r="C175" t="str">
        <x:v>Blue</x:v>
      </x:c>
      <x:c r="D175" t="str">
        <x:v>Helmet</x:v>
      </x:c>
      <x:c r="E175" t="str">
        <x:v>Layered Scale</x:v>
      </x:c>
      <x:c r="F175" t="str">
        <x:v>Medium</x:v>
      </x:c>
      <x:c r="G175" t="str">
        <x:v>Generalist, Inquisitor, Bard</x:v>
      </x:c>
      <x:c r="H175"/>
      <x:c r="I175"/>
      <x:c r="J175" t="n">
        <x:v>0</x:v>
      </x:c>
      <x:c r="K175" t="n">
        <x:v>0</x:v>
      </x:c>
      <x:c r="L175" t="n">
        <x:v>2</x:v>
      </x:c>
      <x:c r="M175" t="n">
        <x:v>2</x:v>
      </x:c>
      <x:c r="N175" t="n">
        <x:v>2</x:v>
      </x:c>
      <x:c r="O175" t="n">
        <x:v>0</x:v>
      </x:c>
      <x:c r="P175" t="n">
        <x:v>0</x:v>
      </x:c>
      <x:c r="Q175" t="n">
        <x:v>1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str">
        <x:v>Balanced Guard</x:v>
      </x:c>
      <x:c r="Y175" t="n">
        <x:v>2</x:v>
      </x:c>
      <x:c r="Z175" t="n">
        <x:v>0</x:v>
      </x:c>
      <x:c r="AA175" t="str">
        <x:v>Equalised Defence</x:v>
      </x:c>
      <x:c r="AB175" t="n">
        <x:v>3</x:v>
      </x:c>
      <x:c r="AC175" t="n">
        <x:v>0</x:v>
      </x:c>
      <x:c r="AD175" t="n">
        <x:v>3</x:v>
      </x:c>
      <x:c r="AE175" t="str">
        <x:v>Default: Balanced Guard.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5" t="str">
        <x:v>2pc: Begin combat with +2 Maximum Armour and +2 Maximum Magic Armour. | 3pc: Once per combat when either protection pool is depleted, restore 1 to both pools.</x:v>
      </x:c>
      <x:c r="AG175" t="str">
        <x:v>Ember; Frost; Storm; Venom; Blood; Lunar; Solar</x:v>
      </x:c>
      <x:c r="AH175" t="str">
        <x:v>Restoration repairs only to normal maximum with a 1-turn cooldown. Fortify/Ward heal and overflow with 2-turn cooldowns; dual effects use 3 turns.</x:v>
      </x:c>
    </x:row>
    <x:row r="176">
      <x:c r="A176" t="str">
        <x:v>HLM-016</x:v>
      </x:c>
      <x:c r="B176" t="str">
        <x:v>Masterwork Layered Scale Visor</x:v>
      </x:c>
      <x:c r="C176" t="str">
        <x:v>Purple</x:v>
      </x:c>
      <x:c r="D176" t="str">
        <x:v>Helmet</x:v>
      </x:c>
      <x:c r="E176" t="str">
        <x:v>Layered Scale</x:v>
      </x:c>
      <x:c r="F176" t="str">
        <x:v>Medium</x:v>
      </x:c>
      <x:c r="G176" t="str">
        <x:v>Generalist, Inquisitor, Bard</x:v>
      </x:c>
      <x:c r="H176"/>
      <x:c r="I176"/>
      <x:c r="J176" t="n">
        <x:v>0</x:v>
      </x:c>
      <x:c r="K176" t="n">
        <x:v>0</x:v>
      </x:c>
      <x:c r="L176" t="n">
        <x:v>3</x:v>
      </x:c>
      <x:c r="M176" t="n">
        <x:v>3</x:v>
      </x:c>
      <x:c r="N176" t="n">
        <x:v>3</x:v>
      </x:c>
      <x:c r="O176" t="n">
        <x:v>0</x:v>
      </x:c>
      <x:c r="P176" t="n">
        <x:v>0</x:v>
      </x:c>
      <x:c r="Q176" t="n">
        <x:v>1</x:v>
      </x:c>
      <x:c r="R176" t="n">
        <x:v>0</x:v>
      </x:c>
      <x:c r="S176" t="n">
        <x:v>1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str">
        <x:v>Balanced Guard</x:v>
      </x:c>
      <x:c r="Y176" t="n">
        <x:v>2</x:v>
      </x:c>
      <x:c r="Z176" t="n">
        <x:v>0</x:v>
      </x:c>
      <x:c r="AA176" t="str">
        <x:v>Equalised Defence</x:v>
      </x:c>
      <x:c r="AB176" t="n">
        <x:v>3</x:v>
      </x:c>
      <x:c r="AC176" t="n">
        <x:v>0</x:v>
      </x:c>
      <x:c r="AD176" t="n">
        <x:v>3</x:v>
      </x:c>
      <x:c r="AE176" t="str">
        <x:v>Default: Equalised Defence.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6" t="str">
        <x:v>2pc: Begin combat with +2 Maximum Armour and +2 Maximum Magic Armour. | 3pc: Once per combat when either protection pool is depleted, restore 1 to both pools.</x:v>
      </x:c>
      <x:c r="AG176" t="str">
        <x:v>Ember; Frost; Storm; Venom; Blood; Lunar; Solar</x:v>
      </x:c>
      <x:c r="AH176" t="str">
        <x:v>Restoration repairs only to normal maximum with a 1-turn cooldown. Fortify/Ward heal and overflow with 2-turn cooldowns; dual effects use 3 turns.</x:v>
      </x:c>
    </x:row>
    <x:row r="177">
      <x:c r="A177" t="str">
        <x:v>HLM-017</x:v>
      </x:c>
      <x:c r="B177" t="str">
        <x:v>Regal Layered Scale Visor</x:v>
      </x:c>
      <x:c r="C177" t="str">
        <x:v>Gold</x:v>
      </x:c>
      <x:c r="D177" t="str">
        <x:v>Helmet</x:v>
      </x:c>
      <x:c r="E177" t="str">
        <x:v>Layered Scale</x:v>
      </x:c>
      <x:c r="F177" t="str">
        <x:v>Medium</x:v>
      </x:c>
      <x:c r="G177" t="str">
        <x:v>Generalist, Inquisitor, Bard</x:v>
      </x:c>
      <x:c r="H177"/>
      <x:c r="I177"/>
      <x:c r="J177" t="n">
        <x:v>0</x:v>
      </x:c>
      <x:c r="K177" t="n">
        <x:v>0</x:v>
      </x:c>
      <x:c r="L177" t="n">
        <x:v>4</x:v>
      </x:c>
      <x:c r="M177" t="n">
        <x:v>4</x:v>
      </x:c>
      <x:c r="N177" t="n">
        <x:v>4</x:v>
      </x:c>
      <x:c r="O177" t="n">
        <x:v>0</x:v>
      </x:c>
      <x:c r="P177" t="n">
        <x:v>0</x:v>
      </x:c>
      <x:c r="Q177" t="n">
        <x:v>2</x:v>
      </x:c>
      <x:c r="R177" t="n">
        <x:v>0</x:v>
      </x:c>
      <x:c r="S177" t="n">
        <x:v>1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str">
        <x:v>Balanced Guard</x:v>
      </x:c>
      <x:c r="Y177" t="n">
        <x:v>2</x:v>
      </x:c>
      <x:c r="Z177" t="n">
        <x:v>0</x:v>
      </x:c>
      <x:c r="AA177" t="str">
        <x:v>Equalised Defence</x:v>
      </x:c>
      <x:c r="AB177" t="n">
        <x:v>3</x:v>
      </x:c>
      <x:c r="AC177" t="n">
        <x:v>0</x:v>
      </x:c>
      <x:c r="AD177" t="n">
        <x:v>3</x:v>
      </x:c>
      <x:c r="AE177" t="str">
        <x:v>Default: Equalised Defence.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7" t="str">
        <x:v>2pc: Begin combat with +3 Maximum Armour and +3 Maximum Magic Armour. | 3pc: Once per combat when either protection pool is depleted, restore 2 to both pools.</x:v>
      </x:c>
      <x:c r="AG177" t="str">
        <x:v>Ember; Frost; Storm; Venom; Blood; Lunar; Solar</x:v>
      </x:c>
      <x:c r="AH177" t="str">
        <x:v>Restoration repairs only to normal maximum with a 1-turn cooldown. Fortify/Ward heal and overflow with 2-turn cooldowns; dual effects use 3 turns.</x:v>
      </x:c>
    </x:row>
    <x:row r="178">
      <x:c r="A178" t="str">
        <x:v>HLM-018</x:v>
      </x:c>
      <x:c r="B178" t="str">
        <x:v>Mythic Layered Scale Visor</x:v>
      </x:c>
      <x:c r="C178" t="str">
        <x:v>Orange</x:v>
      </x:c>
      <x:c r="D178" t="str">
        <x:v>Helmet</x:v>
      </x:c>
      <x:c r="E178" t="str">
        <x:v>Layered Scale</x:v>
      </x:c>
      <x:c r="F178" t="str">
        <x:v>Medium</x:v>
      </x:c>
      <x:c r="G178" t="str">
        <x:v>Generalist, Inquisitor, Bard</x:v>
      </x:c>
      <x:c r="H178"/>
      <x:c r="I178"/>
      <x:c r="J178" t="n">
        <x:v>0</x:v>
      </x:c>
      <x:c r="K178" t="n">
        <x:v>0</x:v>
      </x:c>
      <x:c r="L178" t="n">
        <x:v>6</x:v>
      </x:c>
      <x:c r="M178" t="n">
        <x:v>5</x:v>
      </x:c>
      <x:c r="N178" t="n">
        <x:v>5</x:v>
      </x:c>
      <x:c r="O178" t="n">
        <x:v>0</x:v>
      </x:c>
      <x:c r="P178" t="n">
        <x:v>0</x:v>
      </x:c>
      <x:c r="Q178" t="n">
        <x:v>2</x:v>
      </x:c>
      <x:c r="R178" t="n">
        <x:v>0</x:v>
      </x:c>
      <x:c r="S178" t="n">
        <x:v>2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str">
        <x:v>Balanced Guard</x:v>
      </x:c>
      <x:c r="Y178" t="n">
        <x:v>2</x:v>
      </x:c>
      <x:c r="Z178" t="n">
        <x:v>0</x:v>
      </x:c>
      <x:c r="AA178" t="str">
        <x:v>Equalised Defence</x:v>
      </x:c>
      <x:c r="AB178" t="n">
        <x:v>3</x:v>
      </x:c>
      <x:c r="AC178" t="n">
        <x:v>0</x:v>
      </x:c>
      <x:c r="AD178" t="n">
        <x:v>3</x:v>
      </x:c>
      <x:c r="AE178" t="str">
        <x:v>Default: Equalised Defence.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8" t="str">
        <x:v>2pc: Begin combat with +4 Maximum Armour and +4 Maximum Magic Armour. | 3pc: Once per combat when either protection pool is depleted, restore 2 to both pools.</x:v>
      </x:c>
      <x:c r="AG178" t="str">
        <x:v>Ember; Frost; Storm; Venom; Blood; Lunar; Solar</x:v>
      </x:c>
      <x:c r="AH178" t="str">
        <x:v>Restoration repairs only to normal maximum with a 1-turn cooldown. Fortify/Ward heal and overflow with 2-turn cooldowns; dual effects use 3 turns.</x:v>
      </x:c>
    </x:row>
    <x:row r="179">
      <x:c r="A179" t="str">
        <x:v>HLM-019</x:v>
      </x:c>
      <x:c r="B179" t="str">
        <x:v>Shadowplume Hood</x:v>
      </x:c>
      <x:c r="C179" t="str">
        <x:v>Grey</x:v>
      </x:c>
      <x:c r="D179" t="str">
        <x:v>Helmet</x:v>
      </x:c>
      <x:c r="E179" t="str">
        <x:v>Shadowplume</x:v>
      </x:c>
      <x:c r="F179" t="str">
        <x:v>Light</x:v>
      </x:c>
      <x:c r="G179" t="str">
        <x:v>Rogue, Dexterity Bard, bow user</x:v>
      </x:c>
      <x:c r="H179"/>
      <x:c r="I179"/>
      <x:c r="J179" t="n">
        <x:v>0</x:v>
      </x:c>
      <x:c r="K179" t="n">
        <x:v>0</x:v>
      </x:c>
      <x:c r="L179" t="n">
        <x:v>1</x:v>
      </x:c>
      <x:c r="M179" t="n">
        <x:v>1</x:v>
      </x:c>
      <x:c r="N179" t="n">
        <x:v>0</x:v>
      </x:c>
      <x:c r="O179" t="n">
        <x:v>0</x:v>
      </x:c>
      <x:c r="P179" t="n">
        <x:v>1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str">
        <x:v>Keen Sight</x:v>
      </x:c>
      <x:c r="Y179" t="n">
        <x:v>2</x:v>
      </x:c>
      <x:c r="Z179" t="n">
        <x:v>0</x:v>
      </x:c>
      <x:c r="AA179" t="str">
        <x:v>Evasive Read</x:v>
      </x:c>
      <x:c r="AB179" t="n">
        <x:v>3</x:v>
      </x:c>
      <x:c r="AC179" t="n">
        <x:v>0</x:v>
      </x:c>
      <x:c r="AD179" t="n">
        <x:v>3</x:v>
      </x:c>
      <x:c r="AE179" t="str">
        <x:v>Default: None.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79" t="str">
        <x:v>2pc: While both protection pools remain above zero, gain +2 Agility. | 3pc: First successful Dodge each combat restores 1 to the lower protection pool.</x:v>
      </x:c>
      <x:c r="AG179" t="str">
        <x:v>Ember; Frost; Storm; Venom; Blood; Lunar; Solar</x:v>
      </x:c>
      <x:c r="AH179" t="str">
        <x:v>Restoration repairs only to normal maximum with a 1-turn cooldown. Fortify/Ward heal and overflow with 2-turn cooldowns; dual effects use 3 turns.</x:v>
      </x:c>
    </x:row>
    <x:row r="180">
      <x:c r="A180" t="str">
        <x:v>HLM-020</x:v>
      </x:c>
      <x:c r="B180" t="str">
        <x:v>Sturdy Shadowplume Hood</x:v>
      </x:c>
      <x:c r="C180" t="str">
        <x:v>Green</x:v>
      </x:c>
      <x:c r="D180" t="str">
        <x:v>Helmet</x:v>
      </x:c>
      <x:c r="E180" t="str">
        <x:v>Shadowplume</x:v>
      </x:c>
      <x:c r="F180" t="str">
        <x:v>Light</x:v>
      </x:c>
      <x:c r="G180" t="str">
        <x:v>Rogue, Dexterity Bard, bow user</x:v>
      </x:c>
      <x:c r="H180"/>
      <x:c r="I180"/>
      <x:c r="J180" t="n">
        <x:v>0</x:v>
      </x:c>
      <x:c r="K180" t="n">
        <x:v>0</x:v>
      </x:c>
      <x:c r="L180" t="n">
        <x:v>1</x:v>
      </x:c>
      <x:c r="M180" t="n">
        <x:v>1</x:v>
      </x:c>
      <x:c r="N180" t="n">
        <x:v>0</x:v>
      </x:c>
      <x:c r="O180" t="n">
        <x:v>0</x:v>
      </x:c>
      <x:c r="P180" t="n">
        <x:v>1</x:v>
      </x:c>
      <x:c r="Q180" t="n">
        <x:v>0</x:v>
      </x:c>
      <x:c r="R180" t="n">
        <x:v>0</x:v>
      </x:c>
      <x:c r="S180" t="n">
        <x:v>0</x:v>
      </x:c>
      <x:c r="T180" t="n">
        <x:v>1</x:v>
      </x:c>
      <x:c r="U180" t="n">
        <x:v>0</x:v>
      </x:c>
      <x:c r="V180" t="n">
        <x:v>0</x:v>
      </x:c>
      <x:c r="W180" t="n">
        <x:v>0</x:v>
      </x:c>
      <x:c r="X180" t="str">
        <x:v>Keen Sight</x:v>
      </x:c>
      <x:c r="Y180" t="n">
        <x:v>2</x:v>
      </x:c>
      <x:c r="Z180" t="n">
        <x:v>0</x:v>
      </x:c>
      <x:c r="AA180" t="str">
        <x:v>Evasive Read</x:v>
      </x:c>
      <x:c r="AB180" t="n">
        <x:v>3</x:v>
      </x:c>
      <x:c r="AC180" t="n">
        <x:v>0</x:v>
      </x:c>
      <x:c r="AD180" t="n">
        <x:v>3</x:v>
      </x:c>
      <x:c r="AE180" t="str">
        <x:v>Default: Keen Sight.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80" t="str">
        <x:v>2pc: While both protection pools remain above zero, gain +2 Agility. | 3pc: First successful Dodge each combat restores 1 to the lower protection pool.</x:v>
      </x:c>
      <x:c r="AG180" t="str">
        <x:v>Ember; Frost; Storm; Venom; Blood; Lunar; Solar</x:v>
      </x:c>
      <x:c r="AH180" t="str">
        <x:v>Restoration repairs only to normal maximum with a 1-turn cooldown. Fortify/Ward heal and overflow with 2-turn cooldowns; dual effects use 3 turns.</x:v>
      </x:c>
    </x:row>
    <x:row r="181">
      <x:c r="A181" t="str">
        <x:v>HLM-021</x:v>
      </x:c>
      <x:c r="B181" t="str">
        <x:v>Tempered Shadowplume Hood</x:v>
      </x:c>
      <x:c r="C181" t="str">
        <x:v>Blue</x:v>
      </x:c>
      <x:c r="D181" t="str">
        <x:v>Helmet</x:v>
      </x:c>
      <x:c r="E181" t="str">
        <x:v>Shadowplume</x:v>
      </x:c>
      <x:c r="F181" t="str">
        <x:v>Light</x:v>
      </x:c>
      <x:c r="G181" t="str">
        <x:v>Rogue, Dexterity Bard, bow user</x:v>
      </x:c>
      <x:c r="H181"/>
      <x:c r="I181"/>
      <x:c r="J181" t="n">
        <x:v>0</x:v>
      </x:c>
      <x:c r="K181" t="n">
        <x:v>0</x:v>
      </x:c>
      <x:c r="L181" t="n">
        <x:v>1</x:v>
      </x:c>
      <x:c r="M181" t="n">
        <x:v>2</x:v>
      </x:c>
      <x:c r="N181" t="n">
        <x:v>0</x:v>
      </x:c>
      <x:c r="O181" t="n">
        <x:v>0</x:v>
      </x:c>
      <x:c r="P181" t="n">
        <x:v>2</x:v>
      </x:c>
      <x:c r="Q181" t="n">
        <x:v>0</x:v>
      </x:c>
      <x:c r="R181" t="n">
        <x:v>0</x:v>
      </x:c>
      <x:c r="S181" t="n">
        <x:v>0</x:v>
      </x:c>
      <x:c r="T181" t="n">
        <x:v>1</x:v>
      </x:c>
      <x:c r="U181" t="n">
        <x:v>0</x:v>
      </x:c>
      <x:c r="V181" t="n">
        <x:v>0</x:v>
      </x:c>
      <x:c r="W181" t="n">
        <x:v>0</x:v>
      </x:c>
      <x:c r="X181" t="str">
        <x:v>Keen Sight</x:v>
      </x:c>
      <x:c r="Y181" t="n">
        <x:v>2</x:v>
      </x:c>
      <x:c r="Z181" t="n">
        <x:v>0</x:v>
      </x:c>
      <x:c r="AA181" t="str">
        <x:v>Evasive Read</x:v>
      </x:c>
      <x:c r="AB181" t="n">
        <x:v>3</x:v>
      </x:c>
      <x:c r="AC181" t="n">
        <x:v>0</x:v>
      </x:c>
      <x:c r="AD181" t="n">
        <x:v>3</x:v>
      </x:c>
      <x:c r="AE181" t="str">
        <x:v>Default: Keen Sight.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81" t="str">
        <x:v>2pc: While both protection pools remain above zero, gain +3 Agility. | 3pc: First successful Dodge each combat restores 1 to the lower protection pool.</x:v>
      </x:c>
      <x:c r="AG181" t="str">
        <x:v>Ember; Frost; Storm; Venom; Blood; Lunar; Solar</x:v>
      </x:c>
      <x:c r="AH181" t="str">
        <x:v>Restoration repairs only to normal maximum with a 1-turn cooldown. Fortify/Ward heal and overflow with 2-turn cooldowns; dual effects use 3 turns.</x:v>
      </x:c>
    </x:row>
    <x:row r="182">
      <x:c r="A182" t="str">
        <x:v>HLM-022</x:v>
      </x:c>
      <x:c r="B182" t="str">
        <x:v>Masterwork Shadowplume Hood</x:v>
      </x:c>
      <x:c r="C182" t="str">
        <x:v>Purple</x:v>
      </x:c>
      <x:c r="D182" t="str">
        <x:v>Helmet</x:v>
      </x:c>
      <x:c r="E182" t="str">
        <x:v>Shadowplume</x:v>
      </x:c>
      <x:c r="F182" t="str">
        <x:v>Light</x:v>
      </x:c>
      <x:c r="G182" t="str">
        <x:v>Rogue, Dexterity Bard, bow user</x:v>
      </x:c>
      <x:c r="H182"/>
      <x:c r="I182"/>
      <x:c r="J182" t="n">
        <x:v>0</x:v>
      </x:c>
      <x:c r="K182" t="n">
        <x:v>0</x:v>
      </x:c>
      <x:c r="L182" t="n">
        <x:v>2</x:v>
      </x:c>
      <x:c r="M182" t="n">
        <x:v>3</x:v>
      </x:c>
      <x:c r="N182" t="n">
        <x:v>0</x:v>
      </x:c>
      <x:c r="O182" t="n">
        <x:v>0</x:v>
      </x:c>
      <x:c r="P182" t="n">
        <x:v>3</x:v>
      </x:c>
      <x:c r="Q182" t="n">
        <x:v>0</x:v>
      </x:c>
      <x:c r="R182" t="n">
        <x:v>0</x:v>
      </x:c>
      <x:c r="S182" t="n">
        <x:v>1</x:v>
      </x:c>
      <x:c r="T182" t="n">
        <x:v>1</x:v>
      </x:c>
      <x:c r="U182" t="n">
        <x:v>0</x:v>
      </x:c>
      <x:c r="V182" t="n">
        <x:v>0</x:v>
      </x:c>
      <x:c r="W182" t="n">
        <x:v>0</x:v>
      </x:c>
      <x:c r="X182" t="str">
        <x:v>Keen Sight</x:v>
      </x:c>
      <x:c r="Y182" t="n">
        <x:v>2</x:v>
      </x:c>
      <x:c r="Z182" t="n">
        <x:v>0</x:v>
      </x:c>
      <x:c r="AA182" t="str">
        <x:v>Evasive Read</x:v>
      </x:c>
      <x:c r="AB182" t="n">
        <x:v>3</x:v>
      </x:c>
      <x:c r="AC182" t="n">
        <x:v>0</x:v>
      </x:c>
      <x:c r="AD182" t="n">
        <x:v>3</x:v>
      </x:c>
      <x:c r="AE182" t="str">
        <x:v>Default: Evasive Read.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82" t="str">
        <x:v>2pc: While both protection pools remain above zero, gain +3 Agility. | 3pc: First successful Dodge each combat restores 1 to the lower protection pool.</x:v>
      </x:c>
      <x:c r="AG182" t="str">
        <x:v>Ember; Frost; Storm; Venom; Blood; Lunar; Solar</x:v>
      </x:c>
      <x:c r="AH182" t="str">
        <x:v>Restoration repairs only to normal maximum with a 1-turn cooldown. Fortify/Ward heal and overflow with 2-turn cooldowns; dual effects use 3 turns.</x:v>
      </x:c>
    </x:row>
    <x:row r="183">
      <x:c r="A183" t="str">
        <x:v>HLM-023</x:v>
      </x:c>
      <x:c r="B183" t="str">
        <x:v>Regal Shadowplume Hood</x:v>
      </x:c>
      <x:c r="C183" t="str">
        <x:v>Gold</x:v>
      </x:c>
      <x:c r="D183" t="str">
        <x:v>Helmet</x:v>
      </x:c>
      <x:c r="E183" t="str">
        <x:v>Shadowplume</x:v>
      </x:c>
      <x:c r="F183" t="str">
        <x:v>Light</x:v>
      </x:c>
      <x:c r="G183" t="str">
        <x:v>Rogue, Dexterity Bard, bow user</x:v>
      </x:c>
      <x:c r="H183"/>
      <x:c r="I183"/>
      <x:c r="J183" t="n">
        <x:v>0</x:v>
      </x:c>
      <x:c r="K183" t="n">
        <x:v>0</x:v>
      </x:c>
      <x:c r="L183" t="n">
        <x:v>2</x:v>
      </x:c>
      <x:c r="M183" t="n">
        <x:v>4</x:v>
      </x:c>
      <x:c r="N183" t="n">
        <x:v>0</x:v>
      </x:c>
      <x:c r="O183" t="n">
        <x:v>0</x:v>
      </x:c>
      <x:c r="P183" t="n">
        <x:v>4</x:v>
      </x:c>
      <x:c r="Q183" t="n">
        <x:v>0</x:v>
      </x:c>
      <x:c r="R183" t="n">
        <x:v>0</x:v>
      </x:c>
      <x:c r="S183" t="n">
        <x:v>1</x:v>
      </x:c>
      <x:c r="T183" t="n">
        <x:v>2</x:v>
      </x:c>
      <x:c r="U183" t="n">
        <x:v>0</x:v>
      </x:c>
      <x:c r="V183" t="n">
        <x:v>0</x:v>
      </x:c>
      <x:c r="W183" t="n">
        <x:v>0</x:v>
      </x:c>
      <x:c r="X183" t="str">
        <x:v>Keen Sight</x:v>
      </x:c>
      <x:c r="Y183" t="n">
        <x:v>2</x:v>
      </x:c>
      <x:c r="Z183" t="n">
        <x:v>0</x:v>
      </x:c>
      <x:c r="AA183" t="str">
        <x:v>Evasive Read</x:v>
      </x:c>
      <x:c r="AB183" t="n">
        <x:v>3</x:v>
      </x:c>
      <x:c r="AC183" t="n">
        <x:v>0</x:v>
      </x:c>
      <x:c r="AD183" t="n">
        <x:v>3</x:v>
      </x:c>
      <x:c r="AE183" t="str">
        <x:v>Default: Evasive Read.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83" t="str">
        <x:v>2pc: While both protection pools remain above zero, gain +4 Agility. | 3pc: First successful Dodge each combat restores 2 to the lower protection pool.</x:v>
      </x:c>
      <x:c r="AG183" t="str">
        <x:v>Ember; Frost; Storm; Venom; Blood; Lunar; Solar</x:v>
      </x:c>
      <x:c r="AH183" t="str">
        <x:v>Restoration repairs only to normal maximum with a 1-turn cooldown. Fortify/Ward heal and overflow with 2-turn cooldowns; dual effects use 3 turns.</x:v>
      </x:c>
    </x:row>
    <x:row r="184">
      <x:c r="A184" t="str">
        <x:v>HLM-024</x:v>
      </x:c>
      <x:c r="B184" t="str">
        <x:v>Mythic Shadowplume Hood</x:v>
      </x:c>
      <x:c r="C184" t="str">
        <x:v>Orange</x:v>
      </x:c>
      <x:c r="D184" t="str">
        <x:v>Helmet</x:v>
      </x:c>
      <x:c r="E184" t="str">
        <x:v>Shadowplume</x:v>
      </x:c>
      <x:c r="F184" t="str">
        <x:v>Light</x:v>
      </x:c>
      <x:c r="G184" t="str">
        <x:v>Rogue, Dexterity Bard, bow user</x:v>
      </x:c>
      <x:c r="H184"/>
      <x:c r="I184"/>
      <x:c r="J184" t="n">
        <x:v>0</x:v>
      </x:c>
      <x:c r="K184" t="n">
        <x:v>0</x:v>
      </x:c>
      <x:c r="L184" t="n">
        <x:v>4</x:v>
      </x:c>
      <x:c r="M184" t="n">
        <x:v>5</x:v>
      </x:c>
      <x:c r="N184" t="n">
        <x:v>0</x:v>
      </x:c>
      <x:c r="O184" t="n">
        <x:v>0</x:v>
      </x:c>
      <x:c r="P184" t="n">
        <x:v>5</x:v>
      </x:c>
      <x:c r="Q184" t="n">
        <x:v>0</x:v>
      </x:c>
      <x:c r="R184" t="n">
        <x:v>0</x:v>
      </x:c>
      <x:c r="S184" t="n">
        <x:v>2</x:v>
      </x:c>
      <x:c r="T184" t="n">
        <x:v>2</x:v>
      </x:c>
      <x:c r="U184" t="n">
        <x:v>0</x:v>
      </x:c>
      <x:c r="V184" t="n">
        <x:v>0</x:v>
      </x:c>
      <x:c r="W184" t="n">
        <x:v>0</x:v>
      </x:c>
      <x:c r="X184" t="str">
        <x:v>Keen Sight</x:v>
      </x:c>
      <x:c r="Y184" t="n">
        <x:v>2</x:v>
      </x:c>
      <x:c r="Z184" t="n">
        <x:v>0</x:v>
      </x:c>
      <x:c r="AA184" t="str">
        <x:v>Evasive Read</x:v>
      </x:c>
      <x:c r="AB184" t="n">
        <x:v>3</x:v>
      </x:c>
      <x:c r="AC184" t="n">
        <x:v>0</x:v>
      </x:c>
      <x:c r="AD184" t="n">
        <x:v>3</x:v>
      </x:c>
      <x:c r="AE184" t="str">
        <x:v>Default: Evasive Read.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84" t="str">
        <x:v>2pc: While both protection pools remain above zero, gain +5 Agility. | 3pc: First successful Dodge each combat restores 2 to the lower protection pool.</x:v>
      </x:c>
      <x:c r="AG184" t="str">
        <x:v>Ember; Frost; Storm; Venom; Blood; Lunar; Solar</x:v>
      </x:c>
      <x:c r="AH184" t="str">
        <x:v>Restoration repairs only to normal maximum with a 1-turn cooldown. Fortify/Ward heal and overflow with 2-turn cooldowns; dual effects use 3 turns.</x:v>
      </x:c>
    </x:row>
    <x:row r="185">
      <x:c r="A185" t="str">
        <x:v>HLM-025</x:v>
      </x:c>
      <x:c r="B185" t="str">
        <x:v>Bonecrest Mask</x:v>
      </x:c>
      <x:c r="C185" t="str">
        <x:v>Grey</x:v>
      </x:c>
      <x:c r="D185" t="str">
        <x:v>Helmet</x:v>
      </x:c>
      <x:c r="E185" t="str">
        <x:v>Bonecrest Warplate</x:v>
      </x:c>
      <x:c r="F185" t="str">
        <x:v>Medium</x:v>
      </x:c>
      <x:c r="G185" t="str">
        <x:v>Brute, offensive Knight, Might Inquisitor</x:v>
      </x:c>
      <x:c r="H185"/>
      <x:c r="I185"/>
      <x:c r="J185" t="n">
        <x:v>0</x:v>
      </x:c>
      <x:c r="K185" t="n">
        <x:v>0</x:v>
      </x:c>
      <x:c r="L185" t="n">
        <x:v>2</x:v>
      </x:c>
      <x:c r="M185" t="n">
        <x:v>0</x:v>
      </x:c>
      <x:c r="N185" t="n">
        <x:v>0</x:v>
      </x:c>
      <x:c r="O185" t="n">
        <x:v>1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str">
        <x:v>Predator’s Gaze</x:v>
      </x:c>
      <x:c r="Y185" t="n">
        <x:v>2</x:v>
      </x:c>
      <x:c r="Z185" t="n">
        <x:v>0</x:v>
      </x:c>
      <x:c r="AA185" t="str">
        <x:v>Breaker’s Focus</x:v>
      </x:c>
      <x:c r="AB185" t="n">
        <x:v>3</x:v>
      </x:c>
      <x:c r="AC185" t="n">
        <x:v>0</x:v>
      </x:c>
      <x:c r="AD185" t="n">
        <x:v>1</x:v>
      </x:c>
      <x:c r="AE185" t="str">
        <x:v>Default: None. A: Gain Minor Might Up for 2 turns. B: The next Strength skill before the end of the next turn gains +15 Skill Power and ignores 4 Guard.</x:v>
      </x:c>
      <x:c r="AF185" t="str">
        <x:v>2pc: While Armour remains, gain +2 Might. | 3pc: First physical attack that breaks enemy Armour each combat gains +10 Skill Power.</x:v>
      </x:c>
      <x:c r="AG185" t="str">
        <x:v>Ember; Frost; Storm; Venom; Blood; Lunar; Solar</x:v>
      </x:c>
      <x:c r="AH185" t="str">
        <x:v>Restoration repairs only to normal maximum with a 1-turn cooldown. Fortify/Ward heal and overflow with 2-turn cooldowns; dual effects use 3 turns.</x:v>
      </x:c>
    </x:row>
    <x:row r="186">
      <x:c r="A186" t="str">
        <x:v>HLM-026</x:v>
      </x:c>
      <x:c r="B186" t="str">
        <x:v>Sturdy Bonecrest Mask</x:v>
      </x:c>
      <x:c r="C186" t="str">
        <x:v>Green</x:v>
      </x:c>
      <x:c r="D186" t="str">
        <x:v>Helmet</x:v>
      </x:c>
      <x:c r="E186" t="str">
        <x:v>Bonecrest Warplate</x:v>
      </x:c>
      <x:c r="F186" t="str">
        <x:v>Medium</x:v>
      </x:c>
      <x:c r="G186" t="str">
        <x:v>Brute, offensive Knight, Might Inquisitor</x:v>
      </x:c>
      <x:c r="H186"/>
      <x:c r="I186"/>
      <x:c r="J186" t="n">
        <x:v>0</x:v>
      </x:c>
      <x:c r="K186" t="n">
        <x:v>0</x:v>
      </x:c>
      <x:c r="L186" t="n">
        <x:v>3</x:v>
      </x:c>
      <x:c r="M186" t="n">
        <x:v>0</x:v>
      </x:c>
      <x:c r="N186" t="n">
        <x:v>0</x:v>
      </x:c>
      <x:c r="O186" t="n">
        <x:v>1</x:v>
      </x:c>
      <x:c r="P186" t="n">
        <x:v>0</x:v>
      </x:c>
      <x:c r="Q186" t="n">
        <x:v>1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str">
        <x:v>Predator’s Gaze</x:v>
      </x:c>
      <x:c r="Y186" t="n">
        <x:v>2</x:v>
      </x:c>
      <x:c r="Z186" t="n">
        <x:v>0</x:v>
      </x:c>
      <x:c r="AA186" t="str">
        <x:v>Breaker’s Focus</x:v>
      </x:c>
      <x:c r="AB186" t="n">
        <x:v>3</x:v>
      </x:c>
      <x:c r="AC186" t="n">
        <x:v>0</x:v>
      </x:c>
      <x:c r="AD186" t="n">
        <x:v>1</x:v>
      </x:c>
      <x:c r="AE186" t="str">
        <x:v>Default: Predator’s Gaze. A: Gain Minor Might Up for 2 turns. B: The next Strength skill before the end of the next turn gains +15 Skill Power and ignores 4 Guard.</x:v>
      </x:c>
      <x:c r="AF186" t="str">
        <x:v>2pc: While Armour remains, gain +2 Might. | 3pc: First physical attack that breaks enemy Armour each combat gains +10 Skill Power.</x:v>
      </x:c>
      <x:c r="AG186" t="str">
        <x:v>Ember; Frost; Storm; Venom; Blood; Lunar; Solar</x:v>
      </x:c>
      <x:c r="AH186" t="str">
        <x:v>Restoration repairs only to normal maximum with a 1-turn cooldown. Fortify/Ward heal and overflow with 2-turn cooldowns; dual effects use 3 turns.</x:v>
      </x:c>
    </x:row>
    <x:row r="187">
      <x:c r="A187" t="str">
        <x:v>HLM-027</x:v>
      </x:c>
      <x:c r="B187" t="str">
        <x:v>Tempered Bonecrest Mask</x:v>
      </x:c>
      <x:c r="C187" t="str">
        <x:v>Blue</x:v>
      </x:c>
      <x:c r="D187" t="str">
        <x:v>Helmet</x:v>
      </x:c>
      <x:c r="E187" t="str">
        <x:v>Bonecrest Warplate</x:v>
      </x:c>
      <x:c r="F187" t="str">
        <x:v>Medium</x:v>
      </x:c>
      <x:c r="G187" t="str">
        <x:v>Brute, offensive Knight, Might Inquisitor</x:v>
      </x:c>
      <x:c r="H187"/>
      <x:c r="I187"/>
      <x:c r="J187" t="n">
        <x:v>0</x:v>
      </x:c>
      <x:c r="K187" t="n">
        <x:v>0</x:v>
      </x:c>
      <x:c r="L187" t="n">
        <x:v>3</x:v>
      </x:c>
      <x:c r="M187" t="n">
        <x:v>1</x:v>
      </x:c>
      <x:c r="N187" t="n">
        <x:v>0</x:v>
      </x:c>
      <x:c r="O187" t="n">
        <x:v>2</x:v>
      </x:c>
      <x:c r="P187" t="n">
        <x:v>0</x:v>
      </x:c>
      <x:c r="Q187" t="n">
        <x:v>1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str">
        <x:v>Predator’s Gaze</x:v>
      </x:c>
      <x:c r="Y187" t="n">
        <x:v>2</x:v>
      </x:c>
      <x:c r="Z187" t="n">
        <x:v>0</x:v>
      </x:c>
      <x:c r="AA187" t="str">
        <x:v>Breaker’s Focus</x:v>
      </x:c>
      <x:c r="AB187" t="n">
        <x:v>3</x:v>
      </x:c>
      <x:c r="AC187" t="n">
        <x:v>0</x:v>
      </x:c>
      <x:c r="AD187" t="n">
        <x:v>1</x:v>
      </x:c>
      <x:c r="AE187" t="str">
        <x:v>Default: Predator’s Gaze. A: Gain Minor Might Up for 2 turns. B: The next Strength skill before the end of the next turn gains +15 Skill Power and ignores 4 Guard.</x:v>
      </x:c>
      <x:c r="AF187" t="str">
        <x:v>2pc: While Armour remains, gain +3 Might. | 3pc: First physical attack that breaks enemy Armour each combat gains +10 Skill Power.</x:v>
      </x:c>
      <x:c r="AG187" t="str">
        <x:v>Ember; Frost; Storm; Venom; Blood; Lunar; Solar</x:v>
      </x:c>
      <x:c r="AH187" t="str">
        <x:v>Restoration repairs only to normal maximum with a 1-turn cooldown. Fortify/Ward heal and overflow with 2-turn cooldowns; dual effects use 3 turns.</x:v>
      </x:c>
    </x:row>
    <x:row r="188">
      <x:c r="A188" t="str">
        <x:v>HLM-028</x:v>
      </x:c>
      <x:c r="B188" t="str">
        <x:v>Masterwork Bonecrest Mask</x:v>
      </x:c>
      <x:c r="C188" t="str">
        <x:v>Purple</x:v>
      </x:c>
      <x:c r="D188" t="str">
        <x:v>Helmet</x:v>
      </x:c>
      <x:c r="E188" t="str">
        <x:v>Bonecrest Warplate</x:v>
      </x:c>
      <x:c r="F188" t="str">
        <x:v>Medium</x:v>
      </x:c>
      <x:c r="G188" t="str">
        <x:v>Brute, offensive Knight, Might Inquisitor</x:v>
      </x:c>
      <x:c r="H188"/>
      <x:c r="I188"/>
      <x:c r="J188" t="n">
        <x:v>0</x:v>
      </x:c>
      <x:c r="K188" t="n">
        <x:v>0</x:v>
      </x:c>
      <x:c r="L188" t="n">
        <x:v>5</x:v>
      </x:c>
      <x:c r="M188" t="n">
        <x:v>1</x:v>
      </x:c>
      <x:c r="N188" t="n">
        <x:v>1</x:v>
      </x:c>
      <x:c r="O188" t="n">
        <x:v>3</x:v>
      </x:c>
      <x:c r="P188" t="n">
        <x:v>0</x:v>
      </x:c>
      <x:c r="Q188" t="n">
        <x:v>1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str">
        <x:v>Predator’s Gaze</x:v>
      </x:c>
      <x:c r="Y188" t="n">
        <x:v>2</x:v>
      </x:c>
      <x:c r="Z188" t="n">
        <x:v>0</x:v>
      </x:c>
      <x:c r="AA188" t="str">
        <x:v>Breaker’s Focus</x:v>
      </x:c>
      <x:c r="AB188" t="n">
        <x:v>3</x:v>
      </x:c>
      <x:c r="AC188" t="n">
        <x:v>0</x:v>
      </x:c>
      <x:c r="AD188" t="n">
        <x:v>1</x:v>
      </x:c>
      <x:c r="AE188" t="str">
        <x:v>Default: Breaker’s Focus. A: Gain Minor Might Up for 2 turns. B: The next Strength skill before the end of the next turn gains +15 Skill Power and ignores 4 Guard.</x:v>
      </x:c>
      <x:c r="AF188" t="str">
        <x:v>2pc: While Armour remains, gain +3 Might. | 3pc: First physical attack that breaks enemy Armour each combat gains +15 Skill Power.</x:v>
      </x:c>
      <x:c r="AG188" t="str">
        <x:v>Ember; Frost; Storm; Venom; Blood; Lunar; Solar</x:v>
      </x:c>
      <x:c r="AH188" t="str">
        <x:v>Restoration repairs only to normal maximum with a 1-turn cooldown. Fortify/Ward heal and overflow with 2-turn cooldowns; dual effects use 3 turns.</x:v>
      </x:c>
    </x:row>
    <x:row r="189">
      <x:c r="A189" t="str">
        <x:v>HLM-029</x:v>
      </x:c>
      <x:c r="B189" t="str">
        <x:v>Regal Bonecrest Mask</x:v>
      </x:c>
      <x:c r="C189" t="str">
        <x:v>Gold</x:v>
      </x:c>
      <x:c r="D189" t="str">
        <x:v>Helmet</x:v>
      </x:c>
      <x:c r="E189" t="str">
        <x:v>Bonecrest Warplate</x:v>
      </x:c>
      <x:c r="F189" t="str">
        <x:v>Medium</x:v>
      </x:c>
      <x:c r="G189" t="str">
        <x:v>Brute, offensive Knight, Might Inquisitor</x:v>
      </x:c>
      <x:c r="H189"/>
      <x:c r="I189"/>
      <x:c r="J189" t="n">
        <x:v>0</x:v>
      </x:c>
      <x:c r="K189" t="n">
        <x:v>0</x:v>
      </x:c>
      <x:c r="L189" t="n">
        <x:v>6</x:v>
      </x:c>
      <x:c r="M189" t="n">
        <x:v>2</x:v>
      </x:c>
      <x:c r="N189" t="n">
        <x:v>1</x:v>
      </x:c>
      <x:c r="O189" t="n">
        <x:v>4</x:v>
      </x:c>
      <x:c r="P189" t="n">
        <x:v>0</x:v>
      </x:c>
      <x:c r="Q189" t="n">
        <x:v>2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str">
        <x:v>Predator’s Gaze</x:v>
      </x:c>
      <x:c r="Y189" t="n">
        <x:v>2</x:v>
      </x:c>
      <x:c r="Z189" t="n">
        <x:v>0</x:v>
      </x:c>
      <x:c r="AA189" t="str">
        <x:v>Breaker’s Focus</x:v>
      </x:c>
      <x:c r="AB189" t="n">
        <x:v>3</x:v>
      </x:c>
      <x:c r="AC189" t="n">
        <x:v>0</x:v>
      </x:c>
      <x:c r="AD189" t="n">
        <x:v>1</x:v>
      </x:c>
      <x:c r="AE189" t="str">
        <x:v>Default: Breaker’s Focus. A: Gain Minor Might Up for 2 turns. B: The next Strength skill before the end of the next turn gains +15 Skill Power and ignores 4 Guard.</x:v>
      </x:c>
      <x:c r="AF189" t="str">
        <x:v>2pc: While Armour remains, gain +4 Might. | 3pc: First physical attack that breaks enemy Armour each combat gains +20 Skill Power.</x:v>
      </x:c>
      <x:c r="AG189" t="str">
        <x:v>Ember; Frost; Storm; Venom; Blood; Lunar; Solar</x:v>
      </x:c>
      <x:c r="AH189" t="str">
        <x:v>Restoration repairs only to normal maximum with a 1-turn cooldown. Fortify/Ward heal and overflow with 2-turn cooldowns; dual effects use 3 turns.</x:v>
      </x:c>
    </x:row>
    <x:row r="190">
      <x:c r="A190" t="str">
        <x:v>HLM-030</x:v>
      </x:c>
      <x:c r="B190" t="str">
        <x:v>Mythic Bonecrest Mask</x:v>
      </x:c>
      <x:c r="C190" t="str">
        <x:v>Orange</x:v>
      </x:c>
      <x:c r="D190" t="str">
        <x:v>Helmet</x:v>
      </x:c>
      <x:c r="E190" t="str">
        <x:v>Bonecrest Warplate</x:v>
      </x:c>
      <x:c r="F190" t="str">
        <x:v>Medium</x:v>
      </x:c>
      <x:c r="G190" t="str">
        <x:v>Brute, offensive Knight, Might Inquisitor</x:v>
      </x:c>
      <x:c r="H190"/>
      <x:c r="I190"/>
      <x:c r="J190" t="n">
        <x:v>0</x:v>
      </x:c>
      <x:c r="K190" t="n">
        <x:v>0</x:v>
      </x:c>
      <x:c r="L190" t="n">
        <x:v>8</x:v>
      </x:c>
      <x:c r="M190" t="n">
        <x:v>3</x:v>
      </x:c>
      <x:c r="N190" t="n">
        <x:v>2</x:v>
      </x:c>
      <x:c r="O190" t="n">
        <x:v>5</x:v>
      </x:c>
      <x:c r="P190" t="n">
        <x:v>0</x:v>
      </x:c>
      <x:c r="Q190" t="n">
        <x:v>2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str">
        <x:v>Predator’s Gaze</x:v>
      </x:c>
      <x:c r="Y190" t="n">
        <x:v>2</x:v>
      </x:c>
      <x:c r="Z190" t="n">
        <x:v>0</x:v>
      </x:c>
      <x:c r="AA190" t="str">
        <x:v>Breaker’s Focus</x:v>
      </x:c>
      <x:c r="AB190" t="n">
        <x:v>3</x:v>
      </x:c>
      <x:c r="AC190" t="n">
        <x:v>0</x:v>
      </x:c>
      <x:c r="AD190" t="n">
        <x:v>1</x:v>
      </x:c>
      <x:c r="AE190" t="str">
        <x:v>Default: Breaker’s Focus. A: Gain Minor Might Up for 2 turns. B: The next Strength skill before the end of the next turn gains +15 Skill Power and ignores 4 Guard.</x:v>
      </x:c>
      <x:c r="AF190" t="str">
        <x:v>2pc: While Armour remains, gain +5 Might. | 3pc: First physical attack that breaks enemy Armour each combat gains +20 Skill Power.</x:v>
      </x:c>
      <x:c r="AG190" t="str">
        <x:v>Ember; Frost; Storm; Venom; Blood; Lunar; Solar</x:v>
      </x:c>
      <x:c r="AH190" t="str">
        <x:v>Restoration repairs only to normal maximum with a 1-turn cooldown. Fortify/Ward heal and overflow with 2-turn cooldowns; dual effects use 3 turns.</x:v>
      </x:c>
    </x:row>
    <x:row r="191">
      <x:c r="A191" t="str">
        <x:v>HLM-031</x:v>
      </x:c>
      <x:c r="B191" t="str">
        <x:v>Crystalwind Circlet</x:v>
      </x:c>
      <x:c r="C191" t="str">
        <x:v>Grey</x:v>
      </x:c>
      <x:c r="D191" t="str">
        <x:v>Helmet</x:v>
      </x:c>
      <x:c r="E191" t="str">
        <x:v>Crystalwind Regalia</x:v>
      </x:c>
      <x:c r="F191" t="str">
        <x:v>Light</x:v>
      </x:c>
      <x:c r="G191" t="str">
        <x:v>Fast Mage, Siren, magical Bard</x:v>
      </x:c>
      <x:c r="H191"/>
      <x:c r="I191"/>
      <x:c r="J191" t="n">
        <x:v>0</x:v>
      </x:c>
      <x:c r="K191" t="n">
        <x:v>0</x:v>
      </x:c>
      <x:c r="L191" t="n">
        <x:v>0</x:v>
      </x:c>
      <x:c r="M191" t="n">
        <x:v>2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1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str">
        <x:v>Storm Sight</x:v>
      </x:c>
      <x:c r="Y191" t="n">
        <x:v>2</x:v>
      </x:c>
      <x:c r="Z191" t="n">
        <x:v>0</x:v>
      </x:c>
      <x:c r="AA191" t="str">
        <x:v>Arcane Wind</x:v>
      </x:c>
      <x:c r="AB191" t="n">
        <x:v>3</x:v>
      </x:c>
      <x:c r="AC191" t="n">
        <x:v>0</x:v>
      </x:c>
      <x:c r="AD191" t="n">
        <x:v>2</x:v>
      </x:c>
      <x:c r="AE191" t="str">
        <x:v>Default: None. A: Gain Minor Focus Up for 2 turns. B: Gain 5 Ward Magic Armour (add 5 to current Magic Armour and temporary Maximum Magic Armour) and Minor Focus Up for 2 turns.</x:v>
      </x:c>
      <x:c r="AF191" t="str">
        <x:v>2pc: While Magic Armour remains, gain +2 Agility. | 3pc: First magical attack that breaks enemy Magic Armour grants Minor Focus Up until the end of the next turn.</x:v>
      </x:c>
      <x:c r="AG191" t="str">
        <x:v>Ember; Frost; Storm; Venom; Blood; Lunar; Solar</x:v>
      </x:c>
      <x:c r="AH191" t="str">
        <x:v>Restoration repairs only to normal maximum with a 1-turn cooldown. Fortify/Ward heal and overflow with 2-turn cooldowns; dual effects use 3 turns.</x:v>
      </x:c>
    </x:row>
    <x:row r="192">
      <x:c r="A192" t="str">
        <x:v>HLM-032</x:v>
      </x:c>
      <x:c r="B192" t="str">
        <x:v>Sturdy Crystalwind Circlet</x:v>
      </x:c>
      <x:c r="C192" t="str">
        <x:v>Green</x:v>
      </x:c>
      <x:c r="D192" t="str">
        <x:v>Helmet</x:v>
      </x:c>
      <x:c r="E192" t="str">
        <x:v>Crystalwind Regalia</x:v>
      </x:c>
      <x:c r="F192" t="str">
        <x:v>Light</x:v>
      </x:c>
      <x:c r="G192" t="str">
        <x:v>Fast Mage, Siren, magical Bard</x:v>
      </x:c>
      <x:c r="H192"/>
      <x:c r="I192"/>
      <x:c r="J192" t="n">
        <x:v>0</x:v>
      </x:c>
      <x:c r="K192" t="n">
        <x:v>0</x:v>
      </x:c>
      <x:c r="L192" t="n">
        <x:v>0</x:v>
      </x:c>
      <x:c r="M192" t="n">
        <x:v>2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1</x:v>
      </x:c>
      <x:c r="S192" t="n">
        <x:v>0</x:v>
      </x:c>
      <x:c r="T192" t="n">
        <x:v>1</x:v>
      </x:c>
      <x:c r="U192" t="n">
        <x:v>0</x:v>
      </x:c>
      <x:c r="V192" t="n">
        <x:v>0</x:v>
      </x:c>
      <x:c r="W192" t="n">
        <x:v>0</x:v>
      </x:c>
      <x:c r="X192" t="str">
        <x:v>Storm Sight</x:v>
      </x:c>
      <x:c r="Y192" t="n">
        <x:v>2</x:v>
      </x:c>
      <x:c r="Z192" t="n">
        <x:v>0</x:v>
      </x:c>
      <x:c r="AA192" t="str">
        <x:v>Arcane Wind</x:v>
      </x:c>
      <x:c r="AB192" t="n">
        <x:v>3</x:v>
      </x:c>
      <x:c r="AC192" t="n">
        <x:v>0</x:v>
      </x:c>
      <x:c r="AD192" t="n">
        <x:v>2</x:v>
      </x:c>
      <x:c r="AE192" t="str">
        <x:v>Default: Storm Sight. A: Gain Minor Focus Up for 2 turns. B: Gain 5 Ward Magic Armour (add 5 to current Magic Armour and temporary Maximum Magic Armour) and Minor Focus Up for 2 turns.</x:v>
      </x:c>
      <x:c r="AF192" t="str">
        <x:v>2pc: While Magic Armour remains, gain +2 Agility. | 3pc: First magical attack that breaks enemy Magic Armour grants Minor Focus Up until the end of the next turn.</x:v>
      </x:c>
      <x:c r="AG192" t="str">
        <x:v>Ember; Frost; Storm; Venom; Blood; Lunar; Solar</x:v>
      </x:c>
      <x:c r="AH192" t="str">
        <x:v>Restoration repairs only to normal maximum with a 1-turn cooldown. Fortify/Ward heal and overflow with 2-turn cooldowns; dual effects use 3 turns.</x:v>
      </x:c>
    </x:row>
    <x:row r="193">
      <x:c r="A193" t="str">
        <x:v>HLM-033</x:v>
      </x:c>
      <x:c r="B193" t="str">
        <x:v>Tempered Crystalwind Circlet</x:v>
      </x:c>
      <x:c r="C193" t="str">
        <x:v>Blue</x:v>
      </x:c>
      <x:c r="D193" t="str">
        <x:v>Helmet</x:v>
      </x:c>
      <x:c r="E193" t="str">
        <x:v>Crystalwind Regalia</x:v>
      </x:c>
      <x:c r="F193" t="str">
        <x:v>Light</x:v>
      </x:c>
      <x:c r="G193" t="str">
        <x:v>Fast Mage, Siren, magical Bard</x:v>
      </x:c>
      <x:c r="H193"/>
      <x:c r="I193"/>
      <x:c r="J193" t="n">
        <x:v>0</x:v>
      </x:c>
      <x:c r="K193" t="n">
        <x:v>0</x:v>
      </x:c>
      <x:c r="L193" t="n">
        <x:v>0</x:v>
      </x:c>
      <x:c r="M193" t="n">
        <x:v>3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2</x:v>
      </x:c>
      <x:c r="S193" t="n">
        <x:v>0</x:v>
      </x:c>
      <x:c r="T193" t="n">
        <x:v>1</x:v>
      </x:c>
      <x:c r="U193" t="n">
        <x:v>0</x:v>
      </x:c>
      <x:c r="V193" t="n">
        <x:v>0</x:v>
      </x:c>
      <x:c r="W193" t="n">
        <x:v>0</x:v>
      </x:c>
      <x:c r="X193" t="str">
        <x:v>Storm Sight</x:v>
      </x:c>
      <x:c r="Y193" t="n">
        <x:v>2</x:v>
      </x:c>
      <x:c r="Z193" t="n">
        <x:v>0</x:v>
      </x:c>
      <x:c r="AA193" t="str">
        <x:v>Arcane Wind</x:v>
      </x:c>
      <x:c r="AB193" t="n">
        <x:v>3</x:v>
      </x:c>
      <x:c r="AC193" t="n">
        <x:v>0</x:v>
      </x:c>
      <x:c r="AD193" t="n">
        <x:v>2</x:v>
      </x:c>
      <x:c r="AE193" t="str">
        <x:v>Default: Storm Sight. A: Gain Minor Focus Up for 2 turns. B: Gain 5 Ward Magic Armour (add 5 to current Magic Armour and temporary Maximum Magic Armour) and Minor Focus Up for 2 turns.</x:v>
      </x:c>
      <x:c r="AF193" t="str">
        <x:v>2pc: While Magic Armour remains, gain +3 Agility. | 3pc: First magical attack that breaks enemy Magic Armour grants Minor Focus Up until the end of the next turn.</x:v>
      </x:c>
      <x:c r="AG193" t="str">
        <x:v>Ember; Frost; Storm; Venom; Blood; Lunar; Solar</x:v>
      </x:c>
      <x:c r="AH193" t="str">
        <x:v>Restoration repairs only to normal maximum with a 1-turn cooldown. Fortify/Ward heal and overflow with 2-turn cooldowns; dual effects use 3 turns.</x:v>
      </x:c>
    </x:row>
    <x:row r="194">
      <x:c r="A194" t="str">
        <x:v>HLM-034</x:v>
      </x:c>
      <x:c r="B194" t="str">
        <x:v>Masterwork Crystalwind Circlet</x:v>
      </x:c>
      <x:c r="C194" t="str">
        <x:v>Purple</x:v>
      </x:c>
      <x:c r="D194" t="str">
        <x:v>Helmet</x:v>
      </x:c>
      <x:c r="E194" t="str">
        <x:v>Crystalwind Regalia</x:v>
      </x:c>
      <x:c r="F194" t="str">
        <x:v>Light</x:v>
      </x:c>
      <x:c r="G194" t="str">
        <x:v>Fast Mage, Siren, magical Bard</x:v>
      </x:c>
      <x:c r="H194"/>
      <x:c r="I194"/>
      <x:c r="J194" t="n">
        <x:v>0</x:v>
      </x:c>
      <x:c r="K194" t="n">
        <x:v>0</x:v>
      </x:c>
      <x:c r="L194" t="n">
        <x:v>1</x:v>
      </x:c>
      <x:c r="M194" t="n">
        <x:v>4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3</x:v>
      </x:c>
      <x:c r="S194" t="n">
        <x:v>1</x:v>
      </x:c>
      <x:c r="T194" t="n">
        <x:v>1</x:v>
      </x:c>
      <x:c r="U194" t="n">
        <x:v>0</x:v>
      </x:c>
      <x:c r="V194" t="n">
        <x:v>0</x:v>
      </x:c>
      <x:c r="W194" t="n">
        <x:v>0</x:v>
      </x:c>
      <x:c r="X194" t="str">
        <x:v>Storm Sight</x:v>
      </x:c>
      <x:c r="Y194" t="n">
        <x:v>2</x:v>
      </x:c>
      <x:c r="Z194" t="n">
        <x:v>0</x:v>
      </x:c>
      <x:c r="AA194" t="str">
        <x:v>Arcane Wind</x:v>
      </x:c>
      <x:c r="AB194" t="n">
        <x:v>3</x:v>
      </x:c>
      <x:c r="AC194" t="n">
        <x:v>0</x:v>
      </x:c>
      <x:c r="AD194" t="n">
        <x:v>2</x:v>
      </x:c>
      <x:c r="AE194" t="str">
        <x:v>Default: Arcane Wind. A: Gain Minor Focus Up for 2 turns. B: Gain 5 Ward Magic Armour (add 5 to current Magic Armour and temporary Maximum Magic Armour) and Minor Focus Up for 2 turns.</x:v>
      </x:c>
      <x:c r="AF194" t="str">
        <x:v>2pc: While Magic Armour remains, gain +3 Agility. | 3pc: First magical attack that breaks enemy Magic Armour grants Minor Focus Up until the end of the next turn.</x:v>
      </x:c>
      <x:c r="AG194" t="str">
        <x:v>Ember; Frost; Storm; Venom; Blood; Lunar; Solar</x:v>
      </x:c>
      <x:c r="AH194" t="str">
        <x:v>Restoration repairs only to normal maximum with a 1-turn cooldown. Fortify/Ward heal and overflow with 2-turn cooldowns; dual effects use 3 turns.</x:v>
      </x:c>
    </x:row>
    <x:row r="195">
      <x:c r="A195" t="str">
        <x:v>HLM-035</x:v>
      </x:c>
      <x:c r="B195" t="str">
        <x:v>Regal Crystalwind Circlet</x:v>
      </x:c>
      <x:c r="C195" t="str">
        <x:v>Gold</x:v>
      </x:c>
      <x:c r="D195" t="str">
        <x:v>Helmet</x:v>
      </x:c>
      <x:c r="E195" t="str">
        <x:v>Crystalwind Regalia</x:v>
      </x:c>
      <x:c r="F195" t="str">
        <x:v>Light</x:v>
      </x:c>
      <x:c r="G195" t="str">
        <x:v>Fast Mage, Siren, magical Bard</x:v>
      </x:c>
      <x:c r="H195"/>
      <x:c r="I195"/>
      <x:c r="J195" t="n">
        <x:v>0</x:v>
      </x:c>
      <x:c r="K195" t="n">
        <x:v>0</x:v>
      </x:c>
      <x:c r="L195" t="n">
        <x:v>1</x:v>
      </x:c>
      <x:c r="M195" t="n">
        <x:v>5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4</x:v>
      </x:c>
      <x:c r="S195" t="n">
        <x:v>1</x:v>
      </x:c>
      <x:c r="T195" t="n">
        <x:v>2</x:v>
      </x:c>
      <x:c r="U195" t="n">
        <x:v>0</x:v>
      </x:c>
      <x:c r="V195" t="n">
        <x:v>0</x:v>
      </x:c>
      <x:c r="W195" t="n">
        <x:v>0</x:v>
      </x:c>
      <x:c r="X195" t="str">
        <x:v>Storm Sight</x:v>
      </x:c>
      <x:c r="Y195" t="n">
        <x:v>2</x:v>
      </x:c>
      <x:c r="Z195" t="n">
        <x:v>0</x:v>
      </x:c>
      <x:c r="AA195" t="str">
        <x:v>Arcane Wind</x:v>
      </x:c>
      <x:c r="AB195" t="n">
        <x:v>3</x:v>
      </x:c>
      <x:c r="AC195" t="n">
        <x:v>0</x:v>
      </x:c>
      <x:c r="AD195" t="n">
        <x:v>2</x:v>
      </x:c>
      <x:c r="AE195" t="str">
        <x:v>Default: Arcane Wind. A: Gain Minor Focus Up for 2 turns. B: Gain 5 Ward Magic Armour (add 5 to current Magic Armour and temporary Maximum Magic Armour) and Minor Focus Up for 2 turns.</x:v>
      </x:c>
      <x:c r="AF195" t="str">
        <x:v>2pc: While Magic Armour remains, gain +4 Agility. | 3pc: First magical attack that breaks enemy Magic Armour grants Minor Focus Up until the end of the next turn.</x:v>
      </x:c>
      <x:c r="AG195" t="str">
        <x:v>Ember; Frost; Storm; Venom; Blood; Lunar; Solar</x:v>
      </x:c>
      <x:c r="AH195" t="str">
        <x:v>Restoration repairs only to normal maximum with a 1-turn cooldown. Fortify/Ward heal and overflow with 2-turn cooldowns; dual effects use 3 turns.</x:v>
      </x:c>
    </x:row>
    <x:row r="196">
      <x:c r="A196" t="str">
        <x:v>HLM-036</x:v>
      </x:c>
      <x:c r="B196" t="str">
        <x:v>Mythic Crystalwind Circlet</x:v>
      </x:c>
      <x:c r="C196" t="str">
        <x:v>Orange</x:v>
      </x:c>
      <x:c r="D196" t="str">
        <x:v>Helmet</x:v>
      </x:c>
      <x:c r="E196" t="str">
        <x:v>Crystalwind Regalia</x:v>
      </x:c>
      <x:c r="F196" t="str">
        <x:v>Light</x:v>
      </x:c>
      <x:c r="G196" t="str">
        <x:v>Fast Mage, Siren, magical Bard</x:v>
      </x:c>
      <x:c r="H196"/>
      <x:c r="I196"/>
      <x:c r="J196" t="n">
        <x:v>0</x:v>
      </x:c>
      <x:c r="K196" t="n">
        <x:v>0</x:v>
      </x:c>
      <x:c r="L196" t="n">
        <x:v>2</x:v>
      </x:c>
      <x:c r="M196" t="n">
        <x:v>7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5</x:v>
      </x:c>
      <x:c r="S196" t="n">
        <x:v>2</x:v>
      </x:c>
      <x:c r="T196" t="n">
        <x:v>2</x:v>
      </x:c>
      <x:c r="U196" t="n">
        <x:v>0</x:v>
      </x:c>
      <x:c r="V196" t="n">
        <x:v>0</x:v>
      </x:c>
      <x:c r="W196" t="n">
        <x:v>0</x:v>
      </x:c>
      <x:c r="X196" t="str">
        <x:v>Storm Sight</x:v>
      </x:c>
      <x:c r="Y196" t="n">
        <x:v>2</x:v>
      </x:c>
      <x:c r="Z196" t="n">
        <x:v>0</x:v>
      </x:c>
      <x:c r="AA196" t="str">
        <x:v>Arcane Wind</x:v>
      </x:c>
      <x:c r="AB196" t="n">
        <x:v>3</x:v>
      </x:c>
      <x:c r="AC196" t="n">
        <x:v>0</x:v>
      </x:c>
      <x:c r="AD196" t="n">
        <x:v>2</x:v>
      </x:c>
      <x:c r="AE196" t="str">
        <x:v>Default: Arcane Wind. A: Gain Minor Focus Up for 2 turns. B: Gain 5 Ward Magic Armour (add 5 to current Magic Armour and temporary Maximum Magic Armour) and Minor Focus Up for 2 turns.</x:v>
      </x:c>
      <x:c r="AF196" t="str">
        <x:v>2pc: While Magic Armour remains, gain +5 Agility. | 3pc: First magical attack that breaks enemy Magic Armour grants Minor Focus Up until the end of the next turn.</x:v>
      </x:c>
      <x:c r="AG196" t="str">
        <x:v>Ember; Frost; Storm; Venom; Blood; Lunar; Solar</x:v>
      </x:c>
      <x:c r="AH196" t="str">
        <x:v>Restoration repairs only to normal maximum with a 1-turn cooldown. Fortify/Ward heal and overflow with 2-turn cooldowns; dual effects use 3 turns.</x:v>
      </x:c>
    </x:row>
    <x:row r="197">
      <x:c r="A197" t="str">
        <x:v>HLM-037</x:v>
      </x:c>
      <x:c r="B197" t="str">
        <x:v>Suncrest Circlet</x:v>
      </x:c>
      <x:c r="C197" t="str">
        <x:v>Grey</x:v>
      </x:c>
      <x:c r="D197" t="str">
        <x:v>Helmet</x:v>
      </x:c>
      <x:c r="E197" t="str">
        <x:v>Dawnfeather Vestments</x:v>
      </x:c>
      <x:c r="F197" t="str">
        <x:v>Medium</x:v>
      </x:c>
      <x:c r="G197" t="str">
        <x:v>Inquisitor, support Bard, defensive Mage</x:v>
      </x:c>
      <x:c r="H197"/>
      <x:c r="I197"/>
      <x:c r="J197" t="n">
        <x:v>0</x:v>
      </x:c>
      <x:c r="K197" t="n">
        <x:v>0</x:v>
      </x:c>
      <x:c r="L197" t="n">
        <x:v>1</x:v>
      </x:c>
      <x:c r="M197" t="n">
        <x:v>1</x:v>
      </x:c>
      <x:c r="N197" t="n">
        <x:v>1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str">
        <x:v>Renewing Light</x:v>
      </x:c>
      <x:c r="Y197" t="n">
        <x:v>2</x:v>
      </x:c>
      <x:c r="Z197" t="n">
        <x:v>0</x:v>
      </x:c>
      <x:c r="AA197" t="str">
        <x:v>Protective Prayer</x:v>
      </x:c>
      <x:c r="AB197" t="n">
        <x:v>3</x:v>
      </x:c>
      <x:c r="AC197" t="n">
        <x:v>0</x:v>
      </x:c>
      <x:c r="AD197" t="n">
        <x:v>1</x:v>
      </x:c>
      <x:c r="AE197" t="str">
        <x:v>Default: None. A: Restore 4 to whichever protection pool is currently lower. B: Gain Minor Guard Up and Minor Resolve Up for 2 turns.</x:v>
      </x:c>
      <x:c r="AF197" t="str">
        <x:v>2pc: First time Health is healed each combat, restore 1 Armour and 1 Magic Armour. | 3pc: Once per combat below 30% Health, restore 1 to the lower protection pool.</x:v>
      </x:c>
      <x:c r="AG197" t="str">
        <x:v>Ember; Frost; Storm; Venom; Blood; Lunar; Solar</x:v>
      </x:c>
      <x:c r="AH197" t="str">
        <x:v>Restoration repairs only to normal maximum with a 1-turn cooldown. Fortify/Ward heal and overflow with 2-turn cooldowns; dual effects use 3 turns.</x:v>
      </x:c>
    </x:row>
    <x:row r="198">
      <x:c r="A198" t="str">
        <x:v>HLM-038</x:v>
      </x:c>
      <x:c r="B198" t="str">
        <x:v>Sturdy Suncrest Circlet</x:v>
      </x:c>
      <x:c r="C198" t="str">
        <x:v>Green</x:v>
      </x:c>
      <x:c r="D198" t="str">
        <x:v>Helmet</x:v>
      </x:c>
      <x:c r="E198" t="str">
        <x:v>Dawnfeather Vestments</x:v>
      </x:c>
      <x:c r="F198" t="str">
        <x:v>Medium</x:v>
      </x:c>
      <x:c r="G198" t="str">
        <x:v>Inquisitor, support Bard, defensive Mage</x:v>
      </x:c>
      <x:c r="H198"/>
      <x:c r="I198"/>
      <x:c r="J198" t="n">
        <x:v>0</x:v>
      </x:c>
      <x:c r="K198" t="n">
        <x:v>0</x:v>
      </x:c>
      <x:c r="L198" t="n">
        <x:v>1</x:v>
      </x:c>
      <x:c r="M198" t="n">
        <x:v>2</x:v>
      </x:c>
      <x:c r="N198" t="n">
        <x:v>1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1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str">
        <x:v>Renewing Light</x:v>
      </x:c>
      <x:c r="Y198" t="n">
        <x:v>2</x:v>
      </x:c>
      <x:c r="Z198" t="n">
        <x:v>0</x:v>
      </x:c>
      <x:c r="AA198" t="str">
        <x:v>Protective Prayer</x:v>
      </x:c>
      <x:c r="AB198" t="n">
        <x:v>3</x:v>
      </x:c>
      <x:c r="AC198" t="n">
        <x:v>0</x:v>
      </x:c>
      <x:c r="AD198" t="n">
        <x:v>1</x:v>
      </x:c>
      <x:c r="AE198" t="str">
        <x:v>Default: Renewing Light. A: Restore 4 to whichever protection pool is currently lower. B: Gain Minor Guard Up and Minor Resolve Up for 2 turns.</x:v>
      </x:c>
      <x:c r="AF198" t="str">
        <x:v>2pc: First time Health is healed each combat, restore 1 Armour and 1 Magic Armour. | 3pc: Once per combat below 30% Health, restore 1 to the lower protection pool.</x:v>
      </x:c>
      <x:c r="AG198" t="str">
        <x:v>Ember; Frost; Storm; Venom; Blood; Lunar; Solar</x:v>
      </x:c>
      <x:c r="AH198" t="str">
        <x:v>Restoration repairs only to normal maximum with a 1-turn cooldown. Fortify/Ward heal and overflow with 2-turn cooldowns; dual effects use 3 turns.</x:v>
      </x:c>
    </x:row>
    <x:row r="199">
      <x:c r="A199" t="str">
        <x:v>HLM-039</x:v>
      </x:c>
      <x:c r="B199" t="str">
        <x:v>Tempered Suncrest Circlet</x:v>
      </x:c>
      <x:c r="C199" t="str">
        <x:v>Blue</x:v>
      </x:c>
      <x:c r="D199" t="str">
        <x:v>Helmet</x:v>
      </x:c>
      <x:c r="E199" t="str">
        <x:v>Dawnfeather Vestments</x:v>
      </x:c>
      <x:c r="F199" t="str">
        <x:v>Medium</x:v>
      </x:c>
      <x:c r="G199" t="str">
        <x:v>Inquisitor, support Bard, defensive Mage</x:v>
      </x:c>
      <x:c r="H199"/>
      <x:c r="I199"/>
      <x:c r="J199" t="n">
        <x:v>0</x:v>
      </x:c>
      <x:c r="K199" t="n">
        <x:v>0</x:v>
      </x:c>
      <x:c r="L199" t="n">
        <x:v>2</x:v>
      </x:c>
      <x:c r="M199" t="n">
        <x:v>2</x:v>
      </x:c>
      <x:c r="N199" t="n">
        <x:v>2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1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str">
        <x:v>Renewing Light</x:v>
      </x:c>
      <x:c r="Y199" t="n">
        <x:v>2</x:v>
      </x:c>
      <x:c r="Z199" t="n">
        <x:v>0</x:v>
      </x:c>
      <x:c r="AA199" t="str">
        <x:v>Protective Prayer</x:v>
      </x:c>
      <x:c r="AB199" t="n">
        <x:v>3</x:v>
      </x:c>
      <x:c r="AC199" t="n">
        <x:v>0</x:v>
      </x:c>
      <x:c r="AD199" t="n">
        <x:v>1</x:v>
      </x:c>
      <x:c r="AE199" t="str">
        <x:v>Default: Renewing Light. A: Restore 4 to whichever protection pool is currently lower. B: Gain Minor Guard Up and Minor Resolve Up for 2 turns.</x:v>
      </x:c>
      <x:c r="AF199" t="str">
        <x:v>2pc: First time Health is healed each combat, restore 2 Armour and 2 Magic Armour. | 3pc: Once per combat below 30% Health, restore 2 to the lower protection pool.</x:v>
      </x:c>
      <x:c r="AG199" t="str">
        <x:v>Ember; Frost; Storm; Venom; Blood; Lunar; Solar</x:v>
      </x:c>
      <x:c r="AH199" t="str">
        <x:v>Restoration repairs only to normal maximum with a 1-turn cooldown. Fortify/Ward heal and overflow with 2-turn cooldowns; dual effects use 3 turns.</x:v>
      </x:c>
    </x:row>
    <x:row r="200">
      <x:c r="A200" t="str">
        <x:v>HLM-040</x:v>
      </x:c>
      <x:c r="B200" t="str">
        <x:v>Masterwork Suncrest Circlet</x:v>
      </x:c>
      <x:c r="C200" t="str">
        <x:v>Purple</x:v>
      </x:c>
      <x:c r="D200" t="str">
        <x:v>Helmet</x:v>
      </x:c>
      <x:c r="E200" t="str">
        <x:v>Dawnfeather Vestments</x:v>
      </x:c>
      <x:c r="F200" t="str">
        <x:v>Medium</x:v>
      </x:c>
      <x:c r="G200" t="str">
        <x:v>Inquisitor, support Bard, defensive Mage</x:v>
      </x:c>
      <x:c r="H200"/>
      <x:c r="I200"/>
      <x:c r="J200" t="n">
        <x:v>0</x:v>
      </x:c>
      <x:c r="K200" t="n">
        <x:v>0</x:v>
      </x:c>
      <x:c r="L200" t="n">
        <x:v>2</x:v>
      </x:c>
      <x:c r="M200" t="n">
        <x:v>4</x:v>
      </x:c>
      <x:c r="N200" t="n">
        <x:v>3</x:v>
      </x:c>
      <x:c r="O200" t="n">
        <x:v>0</x:v>
      </x:c>
      <x:c r="P200" t="n">
        <x:v>0</x:v>
      </x:c>
      <x:c r="Q200" t="n">
        <x:v>1</x:v>
      </x:c>
      <x:c r="R200" t="n">
        <x:v>0</x:v>
      </x:c>
      <x:c r="S200" t="n">
        <x:v>1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str">
        <x:v>Renewing Light</x:v>
      </x:c>
      <x:c r="Y200" t="n">
        <x:v>2</x:v>
      </x:c>
      <x:c r="Z200" t="n">
        <x:v>0</x:v>
      </x:c>
      <x:c r="AA200" t="str">
        <x:v>Protective Prayer</x:v>
      </x:c>
      <x:c r="AB200" t="n">
        <x:v>3</x:v>
      </x:c>
      <x:c r="AC200" t="n">
        <x:v>0</x:v>
      </x:c>
      <x:c r="AD200" t="n">
        <x:v>1</x:v>
      </x:c>
      <x:c r="AE200" t="str">
        <x:v>Default: Protective Prayer. A: Restore 4 to whichever protection pool is currently lower. B: Gain Minor Guard Up and Minor Resolve Up for 2 turns.</x:v>
      </x:c>
      <x:c r="AF200" t="str">
        <x:v>2pc: First time Health is healed each combat, restore 2 Armour and 2 Magic Armour. | 3pc: Once per combat below 30% Health, restore 2 to the lower protection pool.</x:v>
      </x:c>
      <x:c r="AG200" t="str">
        <x:v>Ember; Frost; Storm; Venom; Blood; Lunar; Solar</x:v>
      </x:c>
      <x:c r="AH200" t="str">
        <x:v>Restoration repairs only to normal maximum with a 1-turn cooldown. Fortify/Ward heal and overflow with 2-turn cooldowns; dual effects use 3 turns.</x:v>
      </x:c>
    </x:row>
    <x:row r="201">
      <x:c r="A201" t="str">
        <x:v>HLM-041</x:v>
      </x:c>
      <x:c r="B201" t="str">
        <x:v>Regal Suncrest Circlet</x:v>
      </x:c>
      <x:c r="C201" t="str">
        <x:v>Gold</x:v>
      </x:c>
      <x:c r="D201" t="str">
        <x:v>Helmet</x:v>
      </x:c>
      <x:c r="E201" t="str">
        <x:v>Dawnfeather Vestments</x:v>
      </x:c>
      <x:c r="F201" t="str">
        <x:v>Medium</x:v>
      </x:c>
      <x:c r="G201" t="str">
        <x:v>Inquisitor, support Bard, defensive Mage</x:v>
      </x:c>
      <x:c r="H201"/>
      <x:c r="I201"/>
      <x:c r="J201" t="n">
        <x:v>0</x:v>
      </x:c>
      <x:c r="K201" t="n">
        <x:v>0</x:v>
      </x:c>
      <x:c r="L201" t="n">
        <x:v>3</x:v>
      </x:c>
      <x:c r="M201" t="n">
        <x:v>5</x:v>
      </x:c>
      <x:c r="N201" t="n">
        <x:v>4</x:v>
      </x:c>
      <x:c r="O201" t="n">
        <x:v>0</x:v>
      </x:c>
      <x:c r="P201" t="n">
        <x:v>0</x:v>
      </x:c>
      <x:c r="Q201" t="n">
        <x:v>1</x:v>
      </x:c>
      <x:c r="R201" t="n">
        <x:v>0</x:v>
      </x:c>
      <x:c r="S201" t="n">
        <x:v>2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str">
        <x:v>Renewing Light</x:v>
      </x:c>
      <x:c r="Y201" t="n">
        <x:v>2</x:v>
      </x:c>
      <x:c r="Z201" t="n">
        <x:v>0</x:v>
      </x:c>
      <x:c r="AA201" t="str">
        <x:v>Protective Prayer</x:v>
      </x:c>
      <x:c r="AB201" t="n">
        <x:v>3</x:v>
      </x:c>
      <x:c r="AC201" t="n">
        <x:v>0</x:v>
      </x:c>
      <x:c r="AD201" t="n">
        <x:v>1</x:v>
      </x:c>
      <x:c r="AE201" t="str">
        <x:v>Default: Protective Prayer. A: Restore 4 to whichever protection pool is currently lower. B: Gain Minor Guard Up and Minor Resolve Up for 2 turns.</x:v>
      </x:c>
      <x:c r="AF201" t="str">
        <x:v>2pc: First time Health is healed each combat, restore 2 Armour and 2 Magic Armour. | 3pc: Once per combat below 30% Health, restore 3 to the lower protection pool.</x:v>
      </x:c>
      <x:c r="AG201" t="str">
        <x:v>Ember; Frost; Storm; Venom; Blood; Lunar; Solar</x:v>
      </x:c>
      <x:c r="AH201" t="str">
        <x:v>Restoration repairs only to normal maximum with a 1-turn cooldown. Fortify/Ward heal and overflow with 2-turn cooldowns; dual effects use 3 turns.</x:v>
      </x:c>
    </x:row>
    <x:row r="202">
      <x:c r="A202" t="str">
        <x:v>HLM-042</x:v>
      </x:c>
      <x:c r="B202" t="str">
        <x:v>Mythic Suncrest Circlet</x:v>
      </x:c>
      <x:c r="C202" t="str">
        <x:v>Orange</x:v>
      </x:c>
      <x:c r="D202" t="str">
        <x:v>Helmet</x:v>
      </x:c>
      <x:c r="E202" t="str">
        <x:v>Dawnfeather Vestments</x:v>
      </x:c>
      <x:c r="F202" t="str">
        <x:v>Medium</x:v>
      </x:c>
      <x:c r="G202" t="str">
        <x:v>Inquisitor, support Bard, defensive Mage</x:v>
      </x:c>
      <x:c r="H202"/>
      <x:c r="I202"/>
      <x:c r="J202" t="n">
        <x:v>0</x:v>
      </x:c>
      <x:c r="K202" t="n">
        <x:v>0</x:v>
      </x:c>
      <x:c r="L202" t="n">
        <x:v>4</x:v>
      </x:c>
      <x:c r="M202" t="n">
        <x:v>7</x:v>
      </x:c>
      <x:c r="N202" t="n">
        <x:v>5</x:v>
      </x:c>
      <x:c r="O202" t="n">
        <x:v>0</x:v>
      </x:c>
      <x:c r="P202" t="n">
        <x:v>0</x:v>
      </x:c>
      <x:c r="Q202" t="n">
        <x:v>2</x:v>
      </x:c>
      <x:c r="R202" t="n">
        <x:v>0</x:v>
      </x:c>
      <x:c r="S202" t="n">
        <x:v>2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str">
        <x:v>Renewing Light</x:v>
      </x:c>
      <x:c r="Y202" t="n">
        <x:v>2</x:v>
      </x:c>
      <x:c r="Z202" t="n">
        <x:v>0</x:v>
      </x:c>
      <x:c r="AA202" t="str">
        <x:v>Protective Prayer</x:v>
      </x:c>
      <x:c r="AB202" t="n">
        <x:v>3</x:v>
      </x:c>
      <x:c r="AC202" t="n">
        <x:v>0</x:v>
      </x:c>
      <x:c r="AD202" t="n">
        <x:v>1</x:v>
      </x:c>
      <x:c r="AE202" t="str">
        <x:v>Default: Protective Prayer. A: Restore 4 to whichever protection pool is currently lower. B: Gain Minor Guard Up and Minor Resolve Up for 2 turns.</x:v>
      </x:c>
      <x:c r="AF202" t="str">
        <x:v>2pc: First time Health is healed each combat, restore 2 Armour and 2 Magic Armour. | 3pc: Once per combat below 30% Health, restore 4 to the lower protection pool.</x:v>
      </x:c>
      <x:c r="AG202" t="str">
        <x:v>Ember; Frost; Storm; Venom; Blood; Lunar; Solar</x:v>
      </x:c>
      <x:c r="AH202" t="str">
        <x:v>Restoration repairs only to normal maximum with a 1-turn cooldown. Fortify/Ward heal and overflow with 2-turn cooldowns; dual effects use 3 turns.</x:v>
      </x:c>
    </x:row>
    <x:row r="203">
      <x:c r="A203" t="str">
        <x:v>HLM-043</x:v>
      </x:c>
      <x:c r="B203" t="str">
        <x:v>Moonveil Hood</x:v>
      </x:c>
      <x:c r="C203" t="str">
        <x:v>Grey</x:v>
      </x:c>
      <x:c r="D203" t="str">
        <x:v>Helmet</x:v>
      </x:c>
      <x:c r="E203" t="str">
        <x:v>Nightweave Vestments</x:v>
      </x:c>
      <x:c r="F203" t="str">
        <x:v>Medium</x:v>
      </x:c>
      <x:c r="G203" t="str">
        <x:v>Siren, Mage, Bard, anti-ailment build</x:v>
      </x:c>
      <x:c r="H203"/>
      <x:c r="I203"/>
      <x:c r="J203" t="n">
        <x:v>0</x:v>
      </x:c>
      <x:c r="K203" t="n">
        <x:v>0</x:v>
      </x:c>
      <x:c r="L203" t="n">
        <x:v>0</x:v>
      </x:c>
      <x:c r="M203" t="n">
        <x:v>2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1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str">
        <x:v>Veiled Mind</x:v>
      </x:c>
      <x:c r="Y203" t="n">
        <x:v>2</x:v>
      </x:c>
      <x:c r="Z203" t="n">
        <x:v>0</x:v>
      </x:c>
      <x:c r="AA203" t="str">
        <x:v>Hex Guard</x:v>
      </x:c>
      <x:c r="AB203" t="n">
        <x:v>3</x:v>
      </x:c>
      <x:c r="AC203" t="n">
        <x:v>0</x:v>
      </x:c>
      <x:c r="AD203" t="n">
        <x:v>2</x:v>
      </x:c>
      <x:c r="AE203" t="str">
        <x:v>Default: None. A: Gain Minor Resolve Up for 2 turns. B: Gain 5 Ward Magic Armour (add 5 to current Magic Armour and temporary Maximum Magic Armour). The next magical debuff applied has its duration reduced by 1 turn, minimum 1.</x:v>
      </x:c>
      <x:c r="AF203" t="str">
        <x:v>2pc: After Magic Armour is depleted, hostile magical ailment chance is reduced by 5 percentage points. | 3pc: First magical ailment successfully applied each combat has its duration reduced by 1 turn, minimum 1.</x:v>
      </x:c>
      <x:c r="AG203" t="str">
        <x:v>Ember; Frost; Storm; Venom; Blood; Lunar; Solar</x:v>
      </x:c>
      <x:c r="AH203" t="str">
        <x:v>Restoration repairs only to normal maximum with a 1-turn cooldown. Fortify/Ward heal and overflow with 2-turn cooldowns; dual effects use 3 turns.</x:v>
      </x:c>
    </x:row>
    <x:row r="204">
      <x:c r="A204" t="str">
        <x:v>HLM-044</x:v>
      </x:c>
      <x:c r="B204" t="str">
        <x:v>Sturdy Moonveil Hood</x:v>
      </x:c>
      <x:c r="C204" t="str">
        <x:v>Green</x:v>
      </x:c>
      <x:c r="D204" t="str">
        <x:v>Helmet</x:v>
      </x:c>
      <x:c r="E204" t="str">
        <x:v>Nightweave Vestments</x:v>
      </x:c>
      <x:c r="F204" t="str">
        <x:v>Medium</x:v>
      </x:c>
      <x:c r="G204" t="str">
        <x:v>Siren, Mage, Bard, anti-ailment build</x:v>
      </x:c>
      <x:c r="H204"/>
      <x:c r="I204"/>
      <x:c r="J204" t="n">
        <x:v>0</x:v>
      </x:c>
      <x:c r="K204" t="n">
        <x:v>0</x:v>
      </x:c>
      <x:c r="L204" t="n">
        <x:v>0</x:v>
      </x:c>
      <x:c r="M204" t="n">
        <x:v>3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1</x:v>
      </x:c>
      <x:c r="S204" t="n">
        <x:v>1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str">
        <x:v>Veiled Mind</x:v>
      </x:c>
      <x:c r="Y204" t="n">
        <x:v>2</x:v>
      </x:c>
      <x:c r="Z204" t="n">
        <x:v>0</x:v>
      </x:c>
      <x:c r="AA204" t="str">
        <x:v>Hex Guard</x:v>
      </x:c>
      <x:c r="AB204" t="n">
        <x:v>3</x:v>
      </x:c>
      <x:c r="AC204" t="n">
        <x:v>0</x:v>
      </x:c>
      <x:c r="AD204" t="n">
        <x:v>2</x:v>
      </x:c>
      <x:c r="AE204" t="str">
        <x:v>Default: Veiled Mind. A: Gain Minor Resolve Up for 2 turns. B: Gain 5 Ward Magic Armour (add 5 to current Magic Armour and temporary Maximum Magic Armour). The next magical debuff applied has its duration reduced by 1 turn, minimum 1.</x:v>
      </x:c>
      <x:c r="AF204" t="str">
        <x:v>2pc: After Magic Armour is depleted, hostile magical ailment chance is reduced by 5 percentage points. | 3pc: First magical ailment successfully applied each combat has its duration reduced by 1 turn, minimum 1.</x:v>
      </x:c>
      <x:c r="AG204" t="str">
        <x:v>Ember; Frost; Storm; Venom; Blood; Lunar; Solar</x:v>
      </x:c>
      <x:c r="AH204" t="str">
        <x:v>Restoration repairs only to normal maximum with a 1-turn cooldown. Fortify/Ward heal and overflow with 2-turn cooldowns; dual effects use 3 turns.</x:v>
      </x:c>
    </x:row>
    <x:row r="205">
      <x:c r="A205" t="str">
        <x:v>HLM-045</x:v>
      </x:c>
      <x:c r="B205" t="str">
        <x:v>Tempered Moonveil Hood</x:v>
      </x:c>
      <x:c r="C205" t="str">
        <x:v>Blue</x:v>
      </x:c>
      <x:c r="D205" t="str">
        <x:v>Helmet</x:v>
      </x:c>
      <x:c r="E205" t="str">
        <x:v>Nightweave Vestments</x:v>
      </x:c>
      <x:c r="F205" t="str">
        <x:v>Medium</x:v>
      </x:c>
      <x:c r="G205" t="str">
        <x:v>Siren, Mage, Bard, anti-ailment build</x:v>
      </x:c>
      <x:c r="H205"/>
      <x:c r="I205"/>
      <x:c r="J205" t="n">
        <x:v>0</x:v>
      </x:c>
      <x:c r="K205" t="n">
        <x:v>0</x:v>
      </x:c>
      <x:c r="L205" t="n">
        <x:v>1</x:v>
      </x:c>
      <x:c r="M205" t="n">
        <x:v>3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1</x:v>
      </x:c>
      <x:c r="S205" t="n">
        <x:v>2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str">
        <x:v>Veiled Mind</x:v>
      </x:c>
      <x:c r="Y205" t="n">
        <x:v>2</x:v>
      </x:c>
      <x:c r="Z205" t="n">
        <x:v>0</x:v>
      </x:c>
      <x:c r="AA205" t="str">
        <x:v>Hex Guard</x:v>
      </x:c>
      <x:c r="AB205" t="n">
        <x:v>3</x:v>
      </x:c>
      <x:c r="AC205" t="n">
        <x:v>0</x:v>
      </x:c>
      <x:c r="AD205" t="n">
        <x:v>2</x:v>
      </x:c>
      <x:c r="AE205" t="str">
        <x:v>Default: Veiled Mind. A: Gain Minor Resolve Up for 2 turns. B: Gain 5 Ward Magic Armour (add 5 to current Magic Armour and temporary Maximum Magic Armour). The next magical debuff applied has its duration reduced by 1 turn, minimum 1.</x:v>
      </x:c>
      <x:c r="AF205" t="str">
        <x:v>2pc: After Magic Armour is depleted, hostile magical ailment chance is reduced by 10 percentage points. | 3pc: First magical ailment successfully applied each combat has its duration reduced by 1 turn, minimum 1.</x:v>
      </x:c>
      <x:c r="AG205" t="str">
        <x:v>Ember; Frost; Storm; Venom; Blood; Lunar; Solar</x:v>
      </x:c>
      <x:c r="AH205" t="str">
        <x:v>Restoration repairs only to normal maximum with a 1-turn cooldown. Fortify/Ward heal and overflow with 2-turn cooldowns; dual effects use 3 turns.</x:v>
      </x:c>
    </x:row>
    <x:row r="206">
      <x:c r="A206" t="str">
        <x:v>HLM-046</x:v>
      </x:c>
      <x:c r="B206" t="str">
        <x:v>Masterwork Moonveil Hood</x:v>
      </x:c>
      <x:c r="C206" t="str">
        <x:v>Purple</x:v>
      </x:c>
      <x:c r="D206" t="str">
        <x:v>Helmet</x:v>
      </x:c>
      <x:c r="E206" t="str">
        <x:v>Nightweave Vestments</x:v>
      </x:c>
      <x:c r="F206" t="str">
        <x:v>Medium</x:v>
      </x:c>
      <x:c r="G206" t="str">
        <x:v>Siren, Mage, Bard, anti-ailment build</x:v>
      </x:c>
      <x:c r="H206"/>
      <x:c r="I206"/>
      <x:c r="J206" t="n">
        <x:v>0</x:v>
      </x:c>
      <x:c r="K206" t="n">
        <x:v>0</x:v>
      </x:c>
      <x:c r="L206" t="n">
        <x:v>1</x:v>
      </x:c>
      <x:c r="M206" t="n">
        <x:v>5</x:v>
      </x:c>
      <x:c r="N206" t="n">
        <x:v>1</x:v>
      </x:c>
      <x:c r="O206" t="n">
        <x:v>0</x:v>
      </x:c>
      <x:c r="P206" t="n">
        <x:v>0</x:v>
      </x:c>
      <x:c r="Q206" t="n">
        <x:v>0</x:v>
      </x:c>
      <x:c r="R206" t="n">
        <x:v>1</x:v>
      </x:c>
      <x:c r="S206" t="n">
        <x:v>3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str">
        <x:v>Veiled Mind</x:v>
      </x:c>
      <x:c r="Y206" t="n">
        <x:v>2</x:v>
      </x:c>
      <x:c r="Z206" t="n">
        <x:v>0</x:v>
      </x:c>
      <x:c r="AA206" t="str">
        <x:v>Hex Guard</x:v>
      </x:c>
      <x:c r="AB206" t="n">
        <x:v>3</x:v>
      </x:c>
      <x:c r="AC206" t="n">
        <x:v>0</x:v>
      </x:c>
      <x:c r="AD206" t="n">
        <x:v>2</x:v>
      </x:c>
      <x:c r="AE206" t="str">
        <x:v>Default: Hex Guard. A: Gain Minor Resolve Up for 2 turns. B: Gain 5 Ward Magic Armour (add 5 to current Magic Armour and temporary Maximum Magic Armour). The next magical debuff applied has its duration reduced by 1 turn, minimum 1.</x:v>
      </x:c>
      <x:c r="AF206" t="str">
        <x:v>2pc: After Magic Armour is depleted, hostile magical ailment chance is reduced by 10 percentage points. | 3pc: First magical ailment successfully applied each combat has its duration reduced by 1 turn, minimum 1.</x:v>
      </x:c>
      <x:c r="AG206" t="str">
        <x:v>Ember; Frost; Storm; Venom; Blood; Lunar; Solar</x:v>
      </x:c>
      <x:c r="AH206" t="str">
        <x:v>Restoration repairs only to normal maximum with a 1-turn cooldown. Fortify/Ward heal and overflow with 2-turn cooldowns; dual effects use 3 turns.</x:v>
      </x:c>
    </x:row>
    <x:row r="207">
      <x:c r="A207" t="str">
        <x:v>HLM-047</x:v>
      </x:c>
      <x:c r="B207" t="str">
        <x:v>Regal Moonveil Hood</x:v>
      </x:c>
      <x:c r="C207" t="str">
        <x:v>Gold</x:v>
      </x:c>
      <x:c r="D207" t="str">
        <x:v>Helmet</x:v>
      </x:c>
      <x:c r="E207" t="str">
        <x:v>Nightweave Vestments</x:v>
      </x:c>
      <x:c r="F207" t="str">
        <x:v>Medium</x:v>
      </x:c>
      <x:c r="G207" t="str">
        <x:v>Siren, Mage, Bard, anti-ailment build</x:v>
      </x:c>
      <x:c r="H207"/>
      <x:c r="I207"/>
      <x:c r="J207" t="n">
        <x:v>0</x:v>
      </x:c>
      <x:c r="K207" t="n">
        <x:v>0</x:v>
      </x:c>
      <x:c r="L207" t="n">
        <x:v>2</x:v>
      </x:c>
      <x:c r="M207" t="n">
        <x:v>6</x:v>
      </x:c>
      <x:c r="N207" t="n">
        <x:v>1</x:v>
      </x:c>
      <x:c r="O207" t="n">
        <x:v>0</x:v>
      </x:c>
      <x:c r="P207" t="n">
        <x:v>0</x:v>
      </x:c>
      <x:c r="Q207" t="n">
        <x:v>0</x:v>
      </x:c>
      <x:c r="R207" t="n">
        <x:v>2</x:v>
      </x:c>
      <x:c r="S207" t="n">
        <x:v>4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str">
        <x:v>Veiled Mind</x:v>
      </x:c>
      <x:c r="Y207" t="n">
        <x:v>2</x:v>
      </x:c>
      <x:c r="Z207" t="n">
        <x:v>0</x:v>
      </x:c>
      <x:c r="AA207" t="str">
        <x:v>Hex Guard</x:v>
      </x:c>
      <x:c r="AB207" t="n">
        <x:v>3</x:v>
      </x:c>
      <x:c r="AC207" t="n">
        <x:v>0</x:v>
      </x:c>
      <x:c r="AD207" t="n">
        <x:v>2</x:v>
      </x:c>
      <x:c r="AE207" t="str">
        <x:v>Default: Hex Guard. A: Gain Minor Resolve Up for 2 turns. B: Gain 5 Ward Magic Armour (add 5 to current Magic Armour and temporary Maximum Magic Armour). The next magical debuff applied has its duration reduced by 1 turn, minimum 1.</x:v>
      </x:c>
      <x:c r="AF207" t="str">
        <x:v>2pc: After Magic Armour is depleted, hostile magical ailment chance is reduced by 15 percentage points. | 3pc: First magical ailment successfully applied each combat has its duration reduced by 1 turn, minimum 1.</x:v>
      </x:c>
      <x:c r="AG207" t="str">
        <x:v>Ember; Frost; Storm; Venom; Blood; Lunar; Solar</x:v>
      </x:c>
      <x:c r="AH207" t="str">
        <x:v>Restoration repairs only to normal maximum with a 1-turn cooldown. Fortify/Ward heal and overflow with 2-turn cooldowns; dual effects use 3 turns.</x:v>
      </x:c>
    </x:row>
    <x:row r="208">
      <x:c r="A208" t="str">
        <x:v>HLM-048</x:v>
      </x:c>
      <x:c r="B208" t="str">
        <x:v>Mythic Moonveil Hood</x:v>
      </x:c>
      <x:c r="C208" t="str">
        <x:v>Orange</x:v>
      </x:c>
      <x:c r="D208" t="str">
        <x:v>Helmet</x:v>
      </x:c>
      <x:c r="E208" t="str">
        <x:v>Nightweave Vestments</x:v>
      </x:c>
      <x:c r="F208" t="str">
        <x:v>Medium</x:v>
      </x:c>
      <x:c r="G208" t="str">
        <x:v>Siren, Mage, Bard, anti-ailment build</x:v>
      </x:c>
      <x:c r="H208"/>
      <x:c r="I208"/>
      <x:c r="J208" t="n">
        <x:v>0</x:v>
      </x:c>
      <x:c r="K208" t="n">
        <x:v>0</x:v>
      </x:c>
      <x:c r="L208" t="n">
        <x:v>3</x:v>
      </x:c>
      <x:c r="M208" t="n">
        <x:v>8</x:v>
      </x:c>
      <x:c r="N208" t="n">
        <x:v>2</x:v>
      </x:c>
      <x:c r="O208" t="n">
        <x:v>0</x:v>
      </x:c>
      <x:c r="P208" t="n">
        <x:v>0</x:v>
      </x:c>
      <x:c r="Q208" t="n">
        <x:v>0</x:v>
      </x:c>
      <x:c r="R208" t="n">
        <x:v>2</x:v>
      </x:c>
      <x:c r="S208" t="n">
        <x:v>5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str">
        <x:v>Veiled Mind</x:v>
      </x:c>
      <x:c r="Y208" t="n">
        <x:v>2</x:v>
      </x:c>
      <x:c r="Z208" t="n">
        <x:v>0</x:v>
      </x:c>
      <x:c r="AA208" t="str">
        <x:v>Hex Guard</x:v>
      </x:c>
      <x:c r="AB208" t="n">
        <x:v>3</x:v>
      </x:c>
      <x:c r="AC208" t="n">
        <x:v>0</x:v>
      </x:c>
      <x:c r="AD208" t="n">
        <x:v>2</x:v>
      </x:c>
      <x:c r="AE208" t="str">
        <x:v>Default: Hex Guard. A: Gain Minor Resolve Up for 2 turns. B: Gain 5 Ward Magic Armour (add 5 to current Magic Armour and temporary Maximum Magic Armour). The next magical debuff applied has its duration reduced by 1 turn, minimum 1.</x:v>
      </x:c>
      <x:c r="AF208" t="str">
        <x:v>2pc: After Magic Armour is depleted, hostile magical ailment chance is reduced by 20 percentage points. | 3pc: First magical ailment successfully applied each combat has its duration reduced by 1 turn, minimum 1.</x:v>
      </x:c>
      <x:c r="AG208" t="str">
        <x:v>Ember; Frost; Storm; Venom; Blood; Lunar; Solar</x:v>
      </x:c>
      <x:c r="AH208" t="str">
        <x:v>Restoration repairs only to normal maximum with a 1-turn cooldown. Fortify/Ward heal and overflow with 2-turn cooldowns; dual effects use 3 turns.</x:v>
      </x:c>
    </x:row>
    <x:row r="209">
      <x:c r="A209" t="str">
        <x:v>SHD-001</x:v>
      </x:c>
      <x:c r="B209" t="str">
        <x:v>Ironwing Bastion Shield</x:v>
      </x:c>
      <x:c r="C209" t="str">
        <x:v>Grey</x:v>
      </x:c>
      <x:c r="D209" t="str">
        <x:v>Shield</x:v>
      </x:c>
      <x:c r="E209" t="str">
        <x:v>Ironfeather Bastion</x:v>
      </x:c>
      <x:c r="F209" t="str">
        <x:v>Heavy</x:v>
      </x:c>
      <x:c r="G209" t="str">
        <x:v>Knight, Brute, physical Inquisitor</x:v>
      </x:c>
      <x:c r="H209"/>
      <x:c r="I209"/>
      <x:c r="J209" t="n">
        <x:v>0</x:v>
      </x:c>
      <x:c r="K209" t="n">
        <x:v>0</x:v>
      </x:c>
      <x:c r="L209" t="n">
        <x:v>3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1</x:v>
      </x:c>
      <x:c r="R209" t="n">
        <x:v>0</x:v>
      </x:c>
      <x:c r="S209" t="n">
        <x:v>0</x:v>
      </x:c>
      <x:c r="T209" t="n">
        <x:v>-2</x:v>
      </x:c>
      <x:c r="U209" t="n">
        <x:v>0</x:v>
      </x:c>
      <x:c r="V209" t="n">
        <x:v>0</x:v>
      </x:c>
      <x:c r="W209" t="n">
        <x:v>0</x:v>
      </x:c>
      <x:c r="X209" t="str">
        <x:v>Guarded Wing</x:v>
      </x:c>
      <x:c r="Y209" t="n">
        <x:v>2</x:v>
      </x:c>
      <x:c r="Z209" t="n">
        <x:v>0</x:v>
      </x:c>
      <x:c r="AA209" t="str">
        <x:v>Bastion Stance</x:v>
      </x:c>
      <x:c r="AB209" t="n">
        <x:v>3</x:v>
      </x:c>
      <x:c r="AC209" t="n">
        <x:v>0</x:v>
      </x:c>
      <x:c r="AD209" t="n">
        <x:v>2</x:v>
      </x:c>
      <x:c r="AE209" t="str">
        <x:v>Default: None. A: Restore 5 Armour, capped at normal Maximum Armour. B: Gain 10 Fortified Armour (add 10 to current Armour and temporary Maximum Armour) for 2 turns.</x:v>
      </x:c>
      <x:c r="AF209" t="str">
        <x:v>2pc: While Armour remains, gain +2 Guard. | 3pc: First time Armour is depleted each combat, restore 1 Armour.</x:v>
      </x:c>
      <x:c r="AG209" t="str">
        <x:v>Ember; Frost; Storm; Venom; Blood; Lunar; Solar</x:v>
      </x:c>
      <x:c r="AH209" t="str">
        <x:v>Restoration repairs only to normal maximum with a 1-turn cooldown. Fortify/Ward heal and overflow with 2-turn cooldowns; dual effects use 3 turns.</x:v>
      </x:c>
    </x:row>
    <x:row r="210">
      <x:c r="A210" t="str">
        <x:v>SHD-002</x:v>
      </x:c>
      <x:c r="B210" t="str">
        <x:v>Sturdy Ironwing Bastion Shield</x:v>
      </x:c>
      <x:c r="C210" t="str">
        <x:v>Green</x:v>
      </x:c>
      <x:c r="D210" t="str">
        <x:v>Shield</x:v>
      </x:c>
      <x:c r="E210" t="str">
        <x:v>Ironfeather Bastion</x:v>
      </x:c>
      <x:c r="F210" t="str">
        <x:v>Heavy</x:v>
      </x:c>
      <x:c r="G210" t="str">
        <x:v>Knight, Brute, physical Inquisitor</x:v>
      </x:c>
      <x:c r="H210"/>
      <x:c r="I210"/>
      <x:c r="J210" t="n">
        <x:v>0</x:v>
      </x:c>
      <x:c r="K210" t="n">
        <x:v>0</x:v>
      </x:c>
      <x:c r="L210" t="n">
        <x:v>4</x:v>
      </x:c>
      <x:c r="M210" t="n">
        <x:v>0</x:v>
      </x:c>
      <x:c r="N210" t="n">
        <x:v>1</x:v>
      </x:c>
      <x:c r="O210" t="n">
        <x:v>0</x:v>
      </x:c>
      <x:c r="P210" t="n">
        <x:v>0</x:v>
      </x:c>
      <x:c r="Q210" t="n">
        <x:v>1</x:v>
      </x:c>
      <x:c r="R210" t="n">
        <x:v>0</x:v>
      </x:c>
      <x:c r="S210" t="n">
        <x:v>0</x:v>
      </x:c>
      <x:c r="T210" t="n">
        <x:v>-2</x:v>
      </x:c>
      <x:c r="U210" t="n">
        <x:v>0</x:v>
      </x:c>
      <x:c r="V210" t="n">
        <x:v>0</x:v>
      </x:c>
      <x:c r="W210" t="n">
        <x:v>0</x:v>
      </x:c>
      <x:c r="X210" t="str">
        <x:v>Guarded Wing</x:v>
      </x:c>
      <x:c r="Y210" t="n">
        <x:v>2</x:v>
      </x:c>
      <x:c r="Z210" t="n">
        <x:v>0</x:v>
      </x:c>
      <x:c r="AA210" t="str">
        <x:v>Bastion Stance</x:v>
      </x:c>
      <x:c r="AB210" t="n">
        <x:v>3</x:v>
      </x:c>
      <x:c r="AC210" t="n">
        <x:v>0</x:v>
      </x:c>
      <x:c r="AD210" t="n">
        <x:v>2</x:v>
      </x:c>
      <x:c r="AE210" t="str">
        <x:v>Default: Guarded Wing. A: Restore 5 Armour, capped at normal Maximum Armour. B: Gain 10 Fortified Armour (add 10 to current Armour and temporary Maximum Armour) for 2 turns.</x:v>
      </x:c>
      <x:c r="AF210" t="str">
        <x:v>2pc: While Armour remains, gain +2 Guard. | 3pc: First time Armour is depleted each combat, restore 1 Armour.</x:v>
      </x:c>
      <x:c r="AG210" t="str">
        <x:v>Ember; Frost; Storm; Venom; Blood; Lunar; Solar</x:v>
      </x:c>
      <x:c r="AH210" t="str">
        <x:v>Restoration repairs only to normal maximum with a 1-turn cooldown. Fortify/Ward heal and overflow with 2-turn cooldowns; dual effects use 3 turns.</x:v>
      </x:c>
    </x:row>
    <x:row r="211">
      <x:c r="A211" t="str">
        <x:v>SHD-003</x:v>
      </x:c>
      <x:c r="B211" t="str">
        <x:v>Tempered Ironwing Bastion Shield</x:v>
      </x:c>
      <x:c r="C211" t="str">
        <x:v>Blue</x:v>
      </x:c>
      <x:c r="D211" t="str">
        <x:v>Shield</x:v>
      </x:c>
      <x:c r="E211" t="str">
        <x:v>Ironfeather Bastion</x:v>
      </x:c>
      <x:c r="F211" t="str">
        <x:v>Heavy</x:v>
      </x:c>
      <x:c r="G211" t="str">
        <x:v>Knight, Brute, physical Inquisitor</x:v>
      </x:c>
      <x:c r="H211"/>
      <x:c r="I211"/>
      <x:c r="J211" t="n">
        <x:v>0</x:v>
      </x:c>
      <x:c r="K211" t="n">
        <x:v>0</x:v>
      </x:c>
      <x:c r="L211" t="n">
        <x:v>6</x:v>
      </x:c>
      <x:c r="M211" t="n">
        <x:v>1</x:v>
      </x:c>
      <x:c r="N211" t="n">
        <x:v>1</x:v>
      </x:c>
      <x:c r="O211" t="n">
        <x:v>0</x:v>
      </x:c>
      <x:c r="P211" t="n">
        <x:v>0</x:v>
      </x:c>
      <x:c r="Q211" t="n">
        <x:v>2</x:v>
      </x:c>
      <x:c r="R211" t="n">
        <x:v>0</x:v>
      </x:c>
      <x:c r="S211" t="n">
        <x:v>0</x:v>
      </x:c>
      <x:c r="T211" t="n">
        <x:v>-2</x:v>
      </x:c>
      <x:c r="U211" t="n">
        <x:v>0</x:v>
      </x:c>
      <x:c r="V211" t="n">
        <x:v>0</x:v>
      </x:c>
      <x:c r="W211" t="n">
        <x:v>0</x:v>
      </x:c>
      <x:c r="X211" t="str">
        <x:v>Guarded Wing</x:v>
      </x:c>
      <x:c r="Y211" t="n">
        <x:v>2</x:v>
      </x:c>
      <x:c r="Z211" t="n">
        <x:v>0</x:v>
      </x:c>
      <x:c r="AA211" t="str">
        <x:v>Bastion Stance</x:v>
      </x:c>
      <x:c r="AB211" t="n">
        <x:v>3</x:v>
      </x:c>
      <x:c r="AC211" t="n">
        <x:v>0</x:v>
      </x:c>
      <x:c r="AD211" t="n">
        <x:v>2</x:v>
      </x:c>
      <x:c r="AE211" t="str">
        <x:v>Default: Guarded Wing. A: Restore 5 Armour, capped at normal Maximum Armour. B: Gain 10 Fortified Armour (add 10 to current Armour and temporary Maximum Armour) for 2 turns.</x:v>
      </x:c>
      <x:c r="AF211" t="str">
        <x:v>2pc: While Armour remains, gain +3 Guard. | 3pc: First time Armour is depleted each combat, restore 2 Armour.</x:v>
      </x:c>
      <x:c r="AG211" t="str">
        <x:v>Ember; Frost; Storm; Venom; Blood; Lunar; Solar</x:v>
      </x:c>
      <x:c r="AH211" t="str">
        <x:v>Restoration repairs only to normal maximum with a 1-turn cooldown. Fortify/Ward heal and overflow with 2-turn cooldowns; dual effects use 3 turns.</x:v>
      </x:c>
    </x:row>
    <x:row r="212">
      <x:c r="A212" t="str">
        <x:v>SHD-004</x:v>
      </x:c>
      <x:c r="B212" t="str">
        <x:v>Masterwork Ironwing Bastion Shield</x:v>
      </x:c>
      <x:c r="C212" t="str">
        <x:v>Purple</x:v>
      </x:c>
      <x:c r="D212" t="str">
        <x:v>Shield</x:v>
      </x:c>
      <x:c r="E212" t="str">
        <x:v>Ironfeather Bastion</x:v>
      </x:c>
      <x:c r="F212" t="str">
        <x:v>Heavy</x:v>
      </x:c>
      <x:c r="G212" t="str">
        <x:v>Knight, Brute, physical Inquisitor</x:v>
      </x:c>
      <x:c r="H212"/>
      <x:c r="I212"/>
      <x:c r="J212" t="n">
        <x:v>0</x:v>
      </x:c>
      <x:c r="K212" t="n">
        <x:v>0</x:v>
      </x:c>
      <x:c r="L212" t="n">
        <x:v>8</x:v>
      </x:c>
      <x:c r="M212" t="n">
        <x:v>1</x:v>
      </x:c>
      <x:c r="N212" t="n">
        <x:v>1</x:v>
      </x:c>
      <x:c r="O212" t="n">
        <x:v>1</x:v>
      </x:c>
      <x:c r="P212" t="n">
        <x:v>0</x:v>
      </x:c>
      <x:c r="Q212" t="n">
        <x:v>3</x:v>
      </x:c>
      <x:c r="R212" t="n">
        <x:v>0</x:v>
      </x:c>
      <x:c r="S212" t="n">
        <x:v>0</x:v>
      </x:c>
      <x:c r="T212" t="n">
        <x:v>-2</x:v>
      </x:c>
      <x:c r="U212" t="n">
        <x:v>0</x:v>
      </x:c>
      <x:c r="V212" t="n">
        <x:v>0</x:v>
      </x:c>
      <x:c r="W212" t="n">
        <x:v>0</x:v>
      </x:c>
      <x:c r="X212" t="str">
        <x:v>Guarded Wing</x:v>
      </x:c>
      <x:c r="Y212" t="n">
        <x:v>2</x:v>
      </x:c>
      <x:c r="Z212" t="n">
        <x:v>0</x:v>
      </x:c>
      <x:c r="AA212" t="str">
        <x:v>Bastion Stance</x:v>
      </x:c>
      <x:c r="AB212" t="n">
        <x:v>3</x:v>
      </x:c>
      <x:c r="AC212" t="n">
        <x:v>0</x:v>
      </x:c>
      <x:c r="AD212" t="n">
        <x:v>2</x:v>
      </x:c>
      <x:c r="AE212" t="str">
        <x:v>Default: Bastion Stance. A: Restore 5 Armour, capped at normal Maximum Armour. B: Gain 10 Fortified Armour (add 10 to current Armour and temporary Maximum Armour) for 2 turns.</x:v>
      </x:c>
      <x:c r="AF212" t="str">
        <x:v>2pc: While Armour remains, gain +3 Guard. | 3pc: First time Armour is depleted each combat, restore 2 Armour.</x:v>
      </x:c>
      <x:c r="AG212" t="str">
        <x:v>Ember; Frost; Storm; Venom; Blood; Lunar; Solar</x:v>
      </x:c>
      <x:c r="AH212" t="str">
        <x:v>Restoration repairs only to normal maximum with a 1-turn cooldown. Fortify/Ward heal and overflow with 2-turn cooldowns; dual effects use 3 turns.</x:v>
      </x:c>
    </x:row>
    <x:row r="213">
      <x:c r="A213" t="str">
        <x:v>SHD-005</x:v>
      </x:c>
      <x:c r="B213" t="str">
        <x:v>Regal Ironwing Bastion Shield</x:v>
      </x:c>
      <x:c r="C213" t="str">
        <x:v>Gold</x:v>
      </x:c>
      <x:c r="D213" t="str">
        <x:v>Shield</x:v>
      </x:c>
      <x:c r="E213" t="str">
        <x:v>Ironfeather Bastion</x:v>
      </x:c>
      <x:c r="F213" t="str">
        <x:v>Heavy</x:v>
      </x:c>
      <x:c r="G213" t="str">
        <x:v>Knight, Brute, physical Inquisitor</x:v>
      </x:c>
      <x:c r="H213"/>
      <x:c r="I213"/>
      <x:c r="J213" t="n">
        <x:v>0</x:v>
      </x:c>
      <x:c r="K213" t="n">
        <x:v>0</x:v>
      </x:c>
      <x:c r="L213" t="n">
        <x:v>12</x:v>
      </x:c>
      <x:c r="M213" t="n">
        <x:v>1</x:v>
      </x:c>
      <x:c r="N213" t="n">
        <x:v>2</x:v>
      </x:c>
      <x:c r="O213" t="n">
        <x:v>1</x:v>
      </x:c>
      <x:c r="P213" t="n">
        <x:v>0</x:v>
      </x:c>
      <x:c r="Q213" t="n">
        <x:v>4</x:v>
      </x:c>
      <x:c r="R213" t="n">
        <x:v>0</x:v>
      </x:c>
      <x:c r="S213" t="n">
        <x:v>0</x:v>
      </x:c>
      <x:c r="T213" t="n">
        <x:v>-3</x:v>
      </x:c>
      <x:c r="U213" t="n">
        <x:v>0</x:v>
      </x:c>
      <x:c r="V213" t="n">
        <x:v>0</x:v>
      </x:c>
      <x:c r="W213" t="n">
        <x:v>0</x:v>
      </x:c>
      <x:c r="X213" t="str">
        <x:v>Guarded Wing</x:v>
      </x:c>
      <x:c r="Y213" t="n">
        <x:v>2</x:v>
      </x:c>
      <x:c r="Z213" t="n">
        <x:v>0</x:v>
      </x:c>
      <x:c r="AA213" t="str">
        <x:v>Bastion Stance</x:v>
      </x:c>
      <x:c r="AB213" t="n">
        <x:v>3</x:v>
      </x:c>
      <x:c r="AC213" t="n">
        <x:v>0</x:v>
      </x:c>
      <x:c r="AD213" t="n">
        <x:v>2</x:v>
      </x:c>
      <x:c r="AE213" t="str">
        <x:v>Default: Bastion Stance. A: Restore 5 Armour, capped at normal Maximum Armour. B: Gain 10 Fortified Armour (add 10 to current Armour and temporary Maximum Armour) for 2 turns.</x:v>
      </x:c>
      <x:c r="AF213" t="str">
        <x:v>2pc: While Armour remains, gain +4 Guard. | 3pc: First time Armour is depleted each combat, restore 3 Armour.</x:v>
      </x:c>
      <x:c r="AG213" t="str">
        <x:v>Ember; Frost; Storm; Venom; Blood; Lunar; Solar</x:v>
      </x:c>
      <x:c r="AH213" t="str">
        <x:v>Restoration repairs only to normal maximum with a 1-turn cooldown. Fortify/Ward heal and overflow with 2-turn cooldowns; dual effects use 3 turns.</x:v>
      </x:c>
    </x:row>
    <x:row r="214">
      <x:c r="A214" t="str">
        <x:v>SHD-006</x:v>
      </x:c>
      <x:c r="B214" t="str">
        <x:v>Mythic Ironwing Bastion Shield</x:v>
      </x:c>
      <x:c r="C214" t="str">
        <x:v>Orange</x:v>
      </x:c>
      <x:c r="D214" t="str">
        <x:v>Shield</x:v>
      </x:c>
      <x:c r="E214" t="str">
        <x:v>Ironfeather Bastion</x:v>
      </x:c>
      <x:c r="F214" t="str">
        <x:v>Heavy</x:v>
      </x:c>
      <x:c r="G214" t="str">
        <x:v>Knight, Brute, physical Inquisitor</x:v>
      </x:c>
      <x:c r="H214"/>
      <x:c r="I214"/>
      <x:c r="J214" t="n">
        <x:v>0</x:v>
      </x:c>
      <x:c r="K214" t="n">
        <x:v>0</x:v>
      </x:c>
      <x:c r="L214" t="n">
        <x:v>16</x:v>
      </x:c>
      <x:c r="M214" t="n">
        <x:v>2</x:v>
      </x:c>
      <x:c r="N214" t="n">
        <x:v>2</x:v>
      </x:c>
      <x:c r="O214" t="n">
        <x:v>2</x:v>
      </x:c>
      <x:c r="P214" t="n">
        <x:v>0</x:v>
      </x:c>
      <x:c r="Q214" t="n">
        <x:v>5</x:v>
      </x:c>
      <x:c r="R214" t="n">
        <x:v>0</x:v>
      </x:c>
      <x:c r="S214" t="n">
        <x:v>0</x:v>
      </x:c>
      <x:c r="T214" t="n">
        <x:v>-3</x:v>
      </x:c>
      <x:c r="U214" t="n">
        <x:v>0</x:v>
      </x:c>
      <x:c r="V214" t="n">
        <x:v>0</x:v>
      </x:c>
      <x:c r="W214" t="n">
        <x:v>0</x:v>
      </x:c>
      <x:c r="X214" t="str">
        <x:v>Guarded Wing</x:v>
      </x:c>
      <x:c r="Y214" t="n">
        <x:v>2</x:v>
      </x:c>
      <x:c r="Z214" t="n">
        <x:v>0</x:v>
      </x:c>
      <x:c r="AA214" t="str">
        <x:v>Bastion Stance</x:v>
      </x:c>
      <x:c r="AB214" t="n">
        <x:v>3</x:v>
      </x:c>
      <x:c r="AC214" t="n">
        <x:v>0</x:v>
      </x:c>
      <x:c r="AD214" t="n">
        <x:v>2</x:v>
      </x:c>
      <x:c r="AE214" t="str">
        <x:v>Default: Bastion Stance. A: Restore 5 Armour, capped at normal Maximum Armour. B: Gain 10 Fortified Armour (add 10 to current Armour and temporary Maximum Armour) for 2 turns.</x:v>
      </x:c>
      <x:c r="AF214" t="str">
        <x:v>2pc: While Armour remains, gain +5 Guard. | 3pc: First time Armour is depleted each combat, restore 4 Armour.</x:v>
      </x:c>
      <x:c r="AG214" t="str">
        <x:v>Ember; Frost; Storm; Venom; Blood; Lunar; Solar</x:v>
      </x:c>
      <x:c r="AH214" t="str">
        <x:v>Restoration repairs only to normal maximum with a 1-turn cooldown. Fortify/Ward heal and overflow with 2-turn cooldowns; dual effects use 3 turns.</x:v>
      </x:c>
    </x:row>
    <x:row r="215">
      <x:c r="A215" t="str">
        <x:v>SHD-007</x:v>
      </x:c>
      <x:c r="B215" t="str">
        <x:v>Runewoven Wing Ward</x:v>
      </x:c>
      <x:c r="C215" t="str">
        <x:v>Grey</x:v>
      </x:c>
      <x:c r="D215" t="str">
        <x:v>Shield</x:v>
      </x:c>
      <x:c r="E215" t="str">
        <x:v>Runewoven Aegis</x:v>
      </x:c>
      <x:c r="F215" t="str">
        <x:v>Medium</x:v>
      </x:c>
      <x:c r="G215" t="str">
        <x:v>Mage, Siren, magical Bard</x:v>
      </x:c>
      <x:c r="H215"/>
      <x:c r="I215"/>
      <x:c r="J215" t="n">
        <x:v>0</x:v>
      </x:c>
      <x:c r="K215" t="n">
        <x:v>0</x:v>
      </x:c>
      <x:c r="L215" t="n">
        <x:v>0</x:v>
      </x:c>
      <x:c r="M215" t="n">
        <x:v>3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1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str">
        <x:v>Warding Wing</x:v>
      </x:c>
      <x:c r="Y215" t="n">
        <x:v>2</x:v>
      </x:c>
      <x:c r="Z215" t="n">
        <x:v>0</x:v>
      </x:c>
      <x:c r="AA215" t="str">
        <x:v>Aegis of Runes</x:v>
      </x:c>
      <x:c r="AB215" t="n">
        <x:v>3</x:v>
      </x:c>
      <x:c r="AC215" t="n">
        <x:v>0</x:v>
      </x:c>
      <x:c r="AD215" t="n">
        <x:v>2</x:v>
      </x:c>
      <x:c r="AE215" t="str">
        <x:v>Default: None. A: Restore 5 Magic Armour, capped at normal Maximum Magic Armour. B: Gain 10 Ward Magic Armour (add 10 to current Magic Armour and temporary Maximum Magic Armour) for 2 turns.</x:v>
      </x:c>
      <x:c r="AF215" t="str">
        <x:v>2pc: While Magic Armour remains, gain +2 Resolve. | 3pc: First time Magic Armour is depleted each combat, restore 1 Magic Armour.</x:v>
      </x:c>
      <x:c r="AG215" t="str">
        <x:v>Ember; Frost; Storm; Venom; Blood; Lunar; Solar</x:v>
      </x:c>
      <x:c r="AH215" t="str">
        <x:v>Restoration repairs only to normal maximum with a 1-turn cooldown. Fortify/Ward heal and overflow with 2-turn cooldowns; dual effects use 3 turns.</x:v>
      </x:c>
    </x:row>
    <x:row r="216">
      <x:c r="A216" t="str">
        <x:v>SHD-008</x:v>
      </x:c>
      <x:c r="B216" t="str">
        <x:v>Sturdy Runewoven Wing Ward</x:v>
      </x:c>
      <x:c r="C216" t="str">
        <x:v>Green</x:v>
      </x:c>
      <x:c r="D216" t="str">
        <x:v>Shield</x:v>
      </x:c>
      <x:c r="E216" t="str">
        <x:v>Runewoven Aegis</x:v>
      </x:c>
      <x:c r="F216" t="str">
        <x:v>Medium</x:v>
      </x:c>
      <x:c r="G216" t="str">
        <x:v>Mage, Siren, magical Bard</x:v>
      </x:c>
      <x:c r="H216"/>
      <x:c r="I216"/>
      <x:c r="J216" t="n">
        <x:v>0</x:v>
      </x:c>
      <x:c r="K216" t="n">
        <x:v>0</x:v>
      </x:c>
      <x:c r="L216" t="n">
        <x:v>0</x:v>
      </x:c>
      <x:c r="M216" t="n">
        <x:v>4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1</x:v>
      </x:c>
      <x:c r="S216" t="n">
        <x:v>1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str">
        <x:v>Warding Wing</x:v>
      </x:c>
      <x:c r="Y216" t="n">
        <x:v>2</x:v>
      </x:c>
      <x:c r="Z216" t="n">
        <x:v>0</x:v>
      </x:c>
      <x:c r="AA216" t="str">
        <x:v>Aegis of Runes</x:v>
      </x:c>
      <x:c r="AB216" t="n">
        <x:v>3</x:v>
      </x:c>
      <x:c r="AC216" t="n">
        <x:v>0</x:v>
      </x:c>
      <x:c r="AD216" t="n">
        <x:v>2</x:v>
      </x:c>
      <x:c r="AE216" t="str">
        <x:v>Default: Warding Wing. A: Restore 5 Magic Armour, capped at normal Maximum Magic Armour. B: Gain 10 Ward Magic Armour (add 10 to current Magic Armour and temporary Maximum Magic Armour) for 2 turns.</x:v>
      </x:c>
      <x:c r="AF216" t="str">
        <x:v>2pc: While Magic Armour remains, gain +2 Resolve. | 3pc: First time Magic Armour is depleted each combat, restore 1 Magic Armour.</x:v>
      </x:c>
      <x:c r="AG216" t="str">
        <x:v>Ember; Frost; Storm; Venom; Blood; Lunar; Solar</x:v>
      </x:c>
      <x:c r="AH216" t="str">
        <x:v>Restoration repairs only to normal maximum with a 1-turn cooldown. Fortify/Ward heal and overflow with 2-turn cooldowns; dual effects use 3 turns.</x:v>
      </x:c>
    </x:row>
    <x:row r="217">
      <x:c r="A217" t="str">
        <x:v>SHD-009</x:v>
      </x:c>
      <x:c r="B217" t="str">
        <x:v>Tempered Runewoven Wing Ward</x:v>
      </x:c>
      <x:c r="C217" t="str">
        <x:v>Blue</x:v>
      </x:c>
      <x:c r="D217" t="str">
        <x:v>Shield</x:v>
      </x:c>
      <x:c r="E217" t="str">
        <x:v>Runewoven Aegis</x:v>
      </x:c>
      <x:c r="F217" t="str">
        <x:v>Medium</x:v>
      </x:c>
      <x:c r="G217" t="str">
        <x:v>Mage, Siren, magical Bard</x:v>
      </x:c>
      <x:c r="H217"/>
      <x:c r="I217"/>
      <x:c r="J217" t="n">
        <x:v>0</x:v>
      </x:c>
      <x:c r="K217" t="n">
        <x:v>0</x:v>
      </x:c>
      <x:c r="L217" t="n">
        <x:v>0</x:v>
      </x:c>
      <x:c r="M217" t="n">
        <x:v>6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1</x:v>
      </x:c>
      <x:c r="S217" t="n">
        <x:v>2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str">
        <x:v>Warding Wing</x:v>
      </x:c>
      <x:c r="Y217" t="n">
        <x:v>2</x:v>
      </x:c>
      <x:c r="Z217" t="n">
        <x:v>0</x:v>
      </x:c>
      <x:c r="AA217" t="str">
        <x:v>Aegis of Runes</x:v>
      </x:c>
      <x:c r="AB217" t="n">
        <x:v>3</x:v>
      </x:c>
      <x:c r="AC217" t="n">
        <x:v>0</x:v>
      </x:c>
      <x:c r="AD217" t="n">
        <x:v>2</x:v>
      </x:c>
      <x:c r="AE217" t="str">
        <x:v>Default: Warding Wing. A: Restore 5 Magic Armour, capped at normal Maximum Magic Armour. B: Gain 10 Ward Magic Armour (add 10 to current Magic Armour and temporary Maximum Magic Armour) for 2 turns.</x:v>
      </x:c>
      <x:c r="AF217" t="str">
        <x:v>2pc: While Magic Armour remains, gain +3 Resolve. | 3pc: First time Magic Armour is depleted each combat, restore 2 Magic Armour.</x:v>
      </x:c>
      <x:c r="AG217" t="str">
        <x:v>Ember; Frost; Storm; Venom; Blood; Lunar; Solar</x:v>
      </x:c>
      <x:c r="AH217" t="str">
        <x:v>Restoration repairs only to normal maximum with a 1-turn cooldown. Fortify/Ward heal and overflow with 2-turn cooldowns; dual effects use 3 turns.</x:v>
      </x:c>
    </x:row>
    <x:row r="218">
      <x:c r="A218" t="str">
        <x:v>SHD-010</x:v>
      </x:c>
      <x:c r="B218" t="str">
        <x:v>Masterwork Runewoven Wing Ward</x:v>
      </x:c>
      <x:c r="C218" t="str">
        <x:v>Purple</x:v>
      </x:c>
      <x:c r="D218" t="str">
        <x:v>Shield</x:v>
      </x:c>
      <x:c r="E218" t="str">
        <x:v>Runewoven Aegis</x:v>
      </x:c>
      <x:c r="F218" t="str">
        <x:v>Medium</x:v>
      </x:c>
      <x:c r="G218" t="str">
        <x:v>Mage, Siren, magical Bard</x:v>
      </x:c>
      <x:c r="H218"/>
      <x:c r="I218"/>
      <x:c r="J218" t="n">
        <x:v>0</x:v>
      </x:c>
      <x:c r="K218" t="n">
        <x:v>0</x:v>
      </x:c>
      <x:c r="L218" t="n">
        <x:v>1</x:v>
      </x:c>
      <x:c r="M218" t="n">
        <x:v>7</x:v>
      </x:c>
      <x:c r="N218" t="n">
        <x:v>1</x:v>
      </x:c>
      <x:c r="O218" t="n">
        <x:v>0</x:v>
      </x:c>
      <x:c r="P218" t="n">
        <x:v>0</x:v>
      </x:c>
      <x:c r="Q218" t="n">
        <x:v>0</x:v>
      </x:c>
      <x:c r="R218" t="n">
        <x:v>1</x:v>
      </x:c>
      <x:c r="S218" t="n">
        <x:v>3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str">
        <x:v>Warding Wing</x:v>
      </x:c>
      <x:c r="Y218" t="n">
        <x:v>2</x:v>
      </x:c>
      <x:c r="Z218" t="n">
        <x:v>0</x:v>
      </x:c>
      <x:c r="AA218" t="str">
        <x:v>Aegis of Runes</x:v>
      </x:c>
      <x:c r="AB218" t="n">
        <x:v>3</x:v>
      </x:c>
      <x:c r="AC218" t="n">
        <x:v>0</x:v>
      </x:c>
      <x:c r="AD218" t="n">
        <x:v>2</x:v>
      </x:c>
      <x:c r="AE218" t="str">
        <x:v>Default: Aegis of Runes. A: Restore 5 Magic Armour, capped at normal Maximum Magic Armour. B: Gain 10 Ward Magic Armour (add 10 to current Magic Armour and temporary Maximum Magic Armour) for 2 turns.</x:v>
      </x:c>
      <x:c r="AF218" t="str">
        <x:v>2pc: While Magic Armour remains, gain +3 Resolve. | 3pc: First time Magic Armour is depleted each combat, restore 2 Magic Armour.</x:v>
      </x:c>
      <x:c r="AG218" t="str">
        <x:v>Ember; Frost; Storm; Venom; Blood; Lunar; Solar</x:v>
      </x:c>
      <x:c r="AH218" t="str">
        <x:v>Restoration repairs only to normal maximum with a 1-turn cooldown. Fortify/Ward heal and overflow with 2-turn cooldowns; dual effects use 3 turns.</x:v>
      </x:c>
    </x:row>
    <x:row r="219">
      <x:c r="A219" t="str">
        <x:v>SHD-011</x:v>
      </x:c>
      <x:c r="B219" t="str">
        <x:v>Regal Runewoven Wing Ward</x:v>
      </x:c>
      <x:c r="C219" t="str">
        <x:v>Gold</x:v>
      </x:c>
      <x:c r="D219" t="str">
        <x:v>Shield</x:v>
      </x:c>
      <x:c r="E219" t="str">
        <x:v>Runewoven Aegis</x:v>
      </x:c>
      <x:c r="F219" t="str">
        <x:v>Medium</x:v>
      </x:c>
      <x:c r="G219" t="str">
        <x:v>Mage, Siren, magical Bard</x:v>
      </x:c>
      <x:c r="H219"/>
      <x:c r="I219"/>
      <x:c r="J219" t="n">
        <x:v>0</x:v>
      </x:c>
      <x:c r="K219" t="n">
        <x:v>0</x:v>
      </x:c>
      <x:c r="L219" t="n">
        <x:v>1</x:v>
      </x:c>
      <x:c r="M219" t="n">
        <x:v>11</x:v>
      </x:c>
      <x:c r="N219" t="n">
        <x:v>1</x:v>
      </x:c>
      <x:c r="O219" t="n">
        <x:v>0</x:v>
      </x:c>
      <x:c r="P219" t="n">
        <x:v>0</x:v>
      </x:c>
      <x:c r="Q219" t="n">
        <x:v>0</x:v>
      </x:c>
      <x:c r="R219" t="n">
        <x:v>2</x:v>
      </x:c>
      <x:c r="S219" t="n">
        <x:v>4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str">
        <x:v>Warding Wing</x:v>
      </x:c>
      <x:c r="Y219" t="n">
        <x:v>2</x:v>
      </x:c>
      <x:c r="Z219" t="n">
        <x:v>0</x:v>
      </x:c>
      <x:c r="AA219" t="str">
        <x:v>Aegis of Runes</x:v>
      </x:c>
      <x:c r="AB219" t="n">
        <x:v>3</x:v>
      </x:c>
      <x:c r="AC219" t="n">
        <x:v>0</x:v>
      </x:c>
      <x:c r="AD219" t="n">
        <x:v>2</x:v>
      </x:c>
      <x:c r="AE219" t="str">
        <x:v>Default: Aegis of Runes. A: Restore 5 Magic Armour, capped at normal Maximum Magic Armour. B: Gain 10 Ward Magic Armour (add 10 to current Magic Armour and temporary Maximum Magic Armour) for 2 turns.</x:v>
      </x:c>
      <x:c r="AF219" t="str">
        <x:v>2pc: While Magic Armour remains, gain +4 Resolve. | 3pc: First time Magic Armour is depleted each combat, restore 3 Magic Armour.</x:v>
      </x:c>
      <x:c r="AG219" t="str">
        <x:v>Ember; Frost; Storm; Venom; Blood; Lunar; Solar</x:v>
      </x:c>
      <x:c r="AH219" t="str">
        <x:v>Restoration repairs only to normal maximum with a 1-turn cooldown. Fortify/Ward heal and overflow with 2-turn cooldowns; dual effects use 3 turns.</x:v>
      </x:c>
    </x:row>
    <x:row r="220">
      <x:c r="A220" t="str">
        <x:v>SHD-012</x:v>
      </x:c>
      <x:c r="B220" t="str">
        <x:v>Mythic Runewoven Wing Ward</x:v>
      </x:c>
      <x:c r="C220" t="str">
        <x:v>Orange</x:v>
      </x:c>
      <x:c r="D220" t="str">
        <x:v>Shield</x:v>
      </x:c>
      <x:c r="E220" t="str">
        <x:v>Runewoven Aegis</x:v>
      </x:c>
      <x:c r="F220" t="str">
        <x:v>Medium</x:v>
      </x:c>
      <x:c r="G220" t="str">
        <x:v>Mage, Siren, magical Bard</x:v>
      </x:c>
      <x:c r="H220"/>
      <x:c r="I220"/>
      <x:c r="J220" t="n">
        <x:v>0</x:v>
      </x:c>
      <x:c r="K220" t="n">
        <x:v>0</x:v>
      </x:c>
      <x:c r="L220" t="n">
        <x:v>2</x:v>
      </x:c>
      <x:c r="M220" t="n">
        <x:v>14</x:v>
      </x:c>
      <x:c r="N220" t="n">
        <x:v>2</x:v>
      </x:c>
      <x:c r="O220" t="n">
        <x:v>0</x:v>
      </x:c>
      <x:c r="P220" t="n">
        <x:v>0</x:v>
      </x:c>
      <x:c r="Q220" t="n">
        <x:v>0</x:v>
      </x:c>
      <x:c r="R220" t="n">
        <x:v>2</x:v>
      </x:c>
      <x:c r="S220" t="n">
        <x:v>5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str">
        <x:v>Warding Wing</x:v>
      </x:c>
      <x:c r="Y220" t="n">
        <x:v>2</x:v>
      </x:c>
      <x:c r="Z220" t="n">
        <x:v>0</x:v>
      </x:c>
      <x:c r="AA220" t="str">
        <x:v>Aegis of Runes</x:v>
      </x:c>
      <x:c r="AB220" t="n">
        <x:v>3</x:v>
      </x:c>
      <x:c r="AC220" t="n">
        <x:v>0</x:v>
      </x:c>
      <x:c r="AD220" t="n">
        <x:v>2</x:v>
      </x:c>
      <x:c r="AE220" t="str">
        <x:v>Default: Aegis of Runes. A: Restore 5 Magic Armour, capped at normal Maximum Magic Armour. B: Gain 10 Ward Magic Armour (add 10 to current Magic Armour and temporary Maximum Magic Armour) for 2 turns.</x:v>
      </x:c>
      <x:c r="AF220" t="str">
        <x:v>2pc: While Magic Armour remains, gain +5 Resolve. | 3pc: First time Magic Armour is depleted each combat, restore 4 Magic Armour.</x:v>
      </x:c>
      <x:c r="AG220" t="str">
        <x:v>Ember; Frost; Storm; Venom; Blood; Lunar; Solar</x:v>
      </x:c>
      <x:c r="AH220" t="str">
        <x:v>Restoration repairs only to normal maximum with a 1-turn cooldown. Fortify/Ward heal and overflow with 2-turn cooldowns; dual effects use 3 turns.</x:v>
      </x:c>
    </x:row>
    <x:row r="221">
      <x:c r="A221" t="str">
        <x:v>SHD-013</x:v>
      </x:c>
      <x:c r="B221" t="str">
        <x:v>Layered Scale Shield</x:v>
      </x:c>
      <x:c r="C221" t="str">
        <x:v>Grey</x:v>
      </x:c>
      <x:c r="D221" t="str">
        <x:v>Shield</x:v>
      </x:c>
      <x:c r="E221" t="str">
        <x:v>Layered Scale</x:v>
      </x:c>
      <x:c r="F221" t="str">
        <x:v>Medium</x:v>
      </x:c>
      <x:c r="G221" t="str">
        <x:v>Generalist, Inquisitor, Bard</x:v>
      </x:c>
      <x:c r="H221"/>
      <x:c r="I221"/>
      <x:c r="J221" t="n">
        <x:v>0</x:v>
      </x:c>
      <x:c r="K221" t="n">
        <x:v>0</x:v>
      </x:c>
      <x:c r="L221" t="n">
        <x:v>2</x:v>
      </x:c>
      <x:c r="M221" t="n">
        <x:v>1</x:v>
      </x:c>
      <x:c r="N221" t="n">
        <x:v>1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str">
        <x:v>Split Guard</x:v>
      </x:c>
      <x:c r="Y221" t="n">
        <x:v>2</x:v>
      </x:c>
      <x:c r="Z221" t="n">
        <x:v>0</x:v>
      </x:c>
      <x:c r="AA221" t="str">
        <x:v>Layered Bastion</x:v>
      </x:c>
      <x:c r="AB221" t="n">
        <x:v>3</x:v>
      </x:c>
      <x:c r="AC221" t="n">
        <x:v>0</x:v>
      </x:c>
      <x:c r="AD221" t="n">
        <x:v>3</x:v>
      </x:c>
      <x:c r="AE221" t="str">
        <x:v>Default: None.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1" t="str">
        <x:v>2pc: Begin combat with +1 Maximum Armour and +1 Maximum Magic Armour. | 3pc: Once per combat when either protection pool is depleted, restore 1 to both pools.</x:v>
      </x:c>
      <x:c r="AG221" t="str">
        <x:v>Ember; Frost; Storm; Venom; Blood; Lunar; Solar</x:v>
      </x:c>
      <x:c r="AH221" t="str">
        <x:v>Restoration repairs only to normal maximum with a 1-turn cooldown. Fortify/Ward heal and overflow with 2-turn cooldowns; dual effects use 3 turns.</x:v>
      </x:c>
    </x:row>
    <x:row r="222">
      <x:c r="A222" t="str">
        <x:v>SHD-014</x:v>
      </x:c>
      <x:c r="B222" t="str">
        <x:v>Sturdy Layered Scale Shield</x:v>
      </x:c>
      <x:c r="C222" t="str">
        <x:v>Green</x:v>
      </x:c>
      <x:c r="D222" t="str">
        <x:v>Shield</x:v>
      </x:c>
      <x:c r="E222" t="str">
        <x:v>Layered Scale</x:v>
      </x:c>
      <x:c r="F222" t="str">
        <x:v>Medium</x:v>
      </x:c>
      <x:c r="G222" t="str">
        <x:v>Generalist, Inquisitor, Bard</x:v>
      </x:c>
      <x:c r="H222"/>
      <x:c r="I222"/>
      <x:c r="J222" t="n">
        <x:v>0</x:v>
      </x:c>
      <x:c r="K222" t="n">
        <x:v>0</x:v>
      </x:c>
      <x:c r="L222" t="n">
        <x:v>2</x:v>
      </x:c>
      <x:c r="M222" t="n">
        <x:v>2</x:v>
      </x:c>
      <x:c r="N222" t="n">
        <x:v>1</x:v>
      </x:c>
      <x:c r="O222" t="n">
        <x:v>0</x:v>
      </x:c>
      <x:c r="P222" t="n">
        <x:v>0</x:v>
      </x:c>
      <x:c r="Q222" t="n">
        <x:v>1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str">
        <x:v>Split Guard</x:v>
      </x:c>
      <x:c r="Y222" t="n">
        <x:v>2</x:v>
      </x:c>
      <x:c r="Z222" t="n">
        <x:v>0</x:v>
      </x:c>
      <x:c r="AA222" t="str">
        <x:v>Layered Bastion</x:v>
      </x:c>
      <x:c r="AB222" t="n">
        <x:v>3</x:v>
      </x:c>
      <x:c r="AC222" t="n">
        <x:v>0</x:v>
      </x:c>
      <x:c r="AD222" t="n">
        <x:v>3</x:v>
      </x:c>
      <x:c r="AE222" t="str">
        <x:v>Default: Split Guard.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2" t="str">
        <x:v>2pc: Begin combat with +1 Maximum Armour and +1 Maximum Magic Armour. | 3pc: Once per combat when either protection pool is depleted, restore 1 to both pools.</x:v>
      </x:c>
      <x:c r="AG222" t="str">
        <x:v>Ember; Frost; Storm; Venom; Blood; Lunar; Solar</x:v>
      </x:c>
      <x:c r="AH222" t="str">
        <x:v>Restoration repairs only to normal maximum with a 1-turn cooldown. Fortify/Ward heal and overflow with 2-turn cooldowns; dual effects use 3 turns.</x:v>
      </x:c>
    </x:row>
    <x:row r="223">
      <x:c r="A223" t="str">
        <x:v>SHD-015</x:v>
      </x:c>
      <x:c r="B223" t="str">
        <x:v>Tempered Layered Scale Shield</x:v>
      </x:c>
      <x:c r="C223" t="str">
        <x:v>Blue</x:v>
      </x:c>
      <x:c r="D223" t="str">
        <x:v>Shield</x:v>
      </x:c>
      <x:c r="E223" t="str">
        <x:v>Layered Scale</x:v>
      </x:c>
      <x:c r="F223" t="str">
        <x:v>Medium</x:v>
      </x:c>
      <x:c r="G223" t="str">
        <x:v>Generalist, Inquisitor, Bard</x:v>
      </x:c>
      <x:c r="H223"/>
      <x:c r="I223"/>
      <x:c r="J223" t="n">
        <x:v>0</x:v>
      </x:c>
      <x:c r="K223" t="n">
        <x:v>0</x:v>
      </x:c>
      <x:c r="L223" t="n">
        <x:v>3</x:v>
      </x:c>
      <x:c r="M223" t="n">
        <x:v>3</x:v>
      </x:c>
      <x:c r="N223" t="n">
        <x:v>2</x:v>
      </x:c>
      <x:c r="O223" t="n">
        <x:v>0</x:v>
      </x:c>
      <x:c r="P223" t="n">
        <x:v>0</x:v>
      </x:c>
      <x:c r="Q223" t="n">
        <x:v>1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str">
        <x:v>Split Guard</x:v>
      </x:c>
      <x:c r="Y223" t="n">
        <x:v>2</x:v>
      </x:c>
      <x:c r="Z223" t="n">
        <x:v>0</x:v>
      </x:c>
      <x:c r="AA223" t="str">
        <x:v>Layered Bastion</x:v>
      </x:c>
      <x:c r="AB223" t="n">
        <x:v>3</x:v>
      </x:c>
      <x:c r="AC223" t="n">
        <x:v>0</x:v>
      </x:c>
      <x:c r="AD223" t="n">
        <x:v>3</x:v>
      </x:c>
      <x:c r="AE223" t="str">
        <x:v>Default: Split Guard.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3" t="str">
        <x:v>2pc: Begin combat with +2 Maximum Armour and +2 Maximum Magic Armour. | 3pc: Once per combat when either protection pool is depleted, restore 1 to both pools.</x:v>
      </x:c>
      <x:c r="AG223" t="str">
        <x:v>Ember; Frost; Storm; Venom; Blood; Lunar; Solar</x:v>
      </x:c>
      <x:c r="AH223" t="str">
        <x:v>Restoration repairs only to normal maximum with a 1-turn cooldown. Fortify/Ward heal and overflow with 2-turn cooldowns; dual effects use 3 turns.</x:v>
      </x:c>
    </x:row>
    <x:row r="224">
      <x:c r="A224" t="str">
        <x:v>SHD-016</x:v>
      </x:c>
      <x:c r="B224" t="str">
        <x:v>Masterwork Layered Scale Shield</x:v>
      </x:c>
      <x:c r="C224" t="str">
        <x:v>Purple</x:v>
      </x:c>
      <x:c r="D224" t="str">
        <x:v>Shield</x:v>
      </x:c>
      <x:c r="E224" t="str">
        <x:v>Layered Scale</x:v>
      </x:c>
      <x:c r="F224" t="str">
        <x:v>Medium</x:v>
      </x:c>
      <x:c r="G224" t="str">
        <x:v>Generalist, Inquisitor, Bard</x:v>
      </x:c>
      <x:c r="H224"/>
      <x:c r="I224"/>
      <x:c r="J224" t="n">
        <x:v>0</x:v>
      </x:c>
      <x:c r="K224" t="n">
        <x:v>0</x:v>
      </x:c>
      <x:c r="L224" t="n">
        <x:v>4</x:v>
      </x:c>
      <x:c r="M224" t="n">
        <x:v>4</x:v>
      </x:c>
      <x:c r="N224" t="n">
        <x:v>3</x:v>
      </x:c>
      <x:c r="O224" t="n">
        <x:v>0</x:v>
      </x:c>
      <x:c r="P224" t="n">
        <x:v>0</x:v>
      </x:c>
      <x:c r="Q224" t="n">
        <x:v>1</x:v>
      </x:c>
      <x:c r="R224" t="n">
        <x:v>0</x:v>
      </x:c>
      <x:c r="S224" t="n">
        <x:v>1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str">
        <x:v>Split Guard</x:v>
      </x:c>
      <x:c r="Y224" t="n">
        <x:v>2</x:v>
      </x:c>
      <x:c r="Z224" t="n">
        <x:v>0</x:v>
      </x:c>
      <x:c r="AA224" t="str">
        <x:v>Layered Bastion</x:v>
      </x:c>
      <x:c r="AB224" t="n">
        <x:v>3</x:v>
      </x:c>
      <x:c r="AC224" t="n">
        <x:v>0</x:v>
      </x:c>
      <x:c r="AD224" t="n">
        <x:v>3</x:v>
      </x:c>
      <x:c r="AE224" t="str">
        <x:v>Default: Layered Bastion.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4" t="str">
        <x:v>2pc: Begin combat with +2 Maximum Armour and +2 Maximum Magic Armour. | 3pc: Once per combat when either protection pool is depleted, restore 1 to both pools.</x:v>
      </x:c>
      <x:c r="AG224" t="str">
        <x:v>Ember; Frost; Storm; Venom; Blood; Lunar; Solar</x:v>
      </x:c>
      <x:c r="AH224" t="str">
        <x:v>Restoration repairs only to normal maximum with a 1-turn cooldown. Fortify/Ward heal and overflow with 2-turn cooldowns; dual effects use 3 turns.</x:v>
      </x:c>
    </x:row>
    <x:row r="225">
      <x:c r="A225" t="str">
        <x:v>SHD-017</x:v>
      </x:c>
      <x:c r="B225" t="str">
        <x:v>Regal Layered Scale Shield</x:v>
      </x:c>
      <x:c r="C225" t="str">
        <x:v>Gold</x:v>
      </x:c>
      <x:c r="D225" t="str">
        <x:v>Shield</x:v>
      </x:c>
      <x:c r="E225" t="str">
        <x:v>Layered Scale</x:v>
      </x:c>
      <x:c r="F225" t="str">
        <x:v>Medium</x:v>
      </x:c>
      <x:c r="G225" t="str">
        <x:v>Generalist, Inquisitor, Bard</x:v>
      </x:c>
      <x:c r="H225"/>
      <x:c r="I225"/>
      <x:c r="J225" t="n">
        <x:v>0</x:v>
      </x:c>
      <x:c r="K225" t="n">
        <x:v>0</x:v>
      </x:c>
      <x:c r="L225" t="n">
        <x:v>6</x:v>
      </x:c>
      <x:c r="M225" t="n">
        <x:v>6</x:v>
      </x:c>
      <x:c r="N225" t="n">
        <x:v>4</x:v>
      </x:c>
      <x:c r="O225" t="n">
        <x:v>0</x:v>
      </x:c>
      <x:c r="P225" t="n">
        <x:v>0</x:v>
      </x:c>
      <x:c r="Q225" t="n">
        <x:v>2</x:v>
      </x:c>
      <x:c r="R225" t="n">
        <x:v>0</x:v>
      </x:c>
      <x:c r="S225" t="n">
        <x:v>1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str">
        <x:v>Split Guard</x:v>
      </x:c>
      <x:c r="Y225" t="n">
        <x:v>2</x:v>
      </x:c>
      <x:c r="Z225" t="n">
        <x:v>0</x:v>
      </x:c>
      <x:c r="AA225" t="str">
        <x:v>Layered Bastion</x:v>
      </x:c>
      <x:c r="AB225" t="n">
        <x:v>3</x:v>
      </x:c>
      <x:c r="AC225" t="n">
        <x:v>0</x:v>
      </x:c>
      <x:c r="AD225" t="n">
        <x:v>3</x:v>
      </x:c>
      <x:c r="AE225" t="str">
        <x:v>Default: Layered Bastion.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5" t="str">
        <x:v>2pc: Begin combat with +3 Maximum Armour and +3 Maximum Magic Armour. | 3pc: Once per combat when either protection pool is depleted, restore 2 to both pools.</x:v>
      </x:c>
      <x:c r="AG225" t="str">
        <x:v>Ember; Frost; Storm; Venom; Blood; Lunar; Solar</x:v>
      </x:c>
      <x:c r="AH225" t="str">
        <x:v>Restoration repairs only to normal maximum with a 1-turn cooldown. Fortify/Ward heal and overflow with 2-turn cooldowns; dual effects use 3 turns.</x:v>
      </x:c>
    </x:row>
    <x:row r="226">
      <x:c r="A226" t="str">
        <x:v>SHD-018</x:v>
      </x:c>
      <x:c r="B226" t="str">
        <x:v>Mythic Layered Scale Shield</x:v>
      </x:c>
      <x:c r="C226" t="str">
        <x:v>Orange</x:v>
      </x:c>
      <x:c r="D226" t="str">
        <x:v>Shield</x:v>
      </x:c>
      <x:c r="E226" t="str">
        <x:v>Layered Scale</x:v>
      </x:c>
      <x:c r="F226" t="str">
        <x:v>Medium</x:v>
      </x:c>
      <x:c r="G226" t="str">
        <x:v>Generalist, Inquisitor, Bard</x:v>
      </x:c>
      <x:c r="H226"/>
      <x:c r="I226"/>
      <x:c r="J226" t="n">
        <x:v>0</x:v>
      </x:c>
      <x:c r="K226" t="n">
        <x:v>0</x:v>
      </x:c>
      <x:c r="L226" t="n">
        <x:v>8</x:v>
      </x:c>
      <x:c r="M226" t="n">
        <x:v>8</x:v>
      </x:c>
      <x:c r="N226" t="n">
        <x:v>5</x:v>
      </x:c>
      <x:c r="O226" t="n">
        <x:v>0</x:v>
      </x:c>
      <x:c r="P226" t="n">
        <x:v>0</x:v>
      </x:c>
      <x:c r="Q226" t="n">
        <x:v>2</x:v>
      </x:c>
      <x:c r="R226" t="n">
        <x:v>0</x:v>
      </x:c>
      <x:c r="S226" t="n">
        <x:v>2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str">
        <x:v>Split Guard</x:v>
      </x:c>
      <x:c r="Y226" t="n">
        <x:v>2</x:v>
      </x:c>
      <x:c r="Z226" t="n">
        <x:v>0</x:v>
      </x:c>
      <x:c r="AA226" t="str">
        <x:v>Layered Bastion</x:v>
      </x:c>
      <x:c r="AB226" t="n">
        <x:v>3</x:v>
      </x:c>
      <x:c r="AC226" t="n">
        <x:v>0</x:v>
      </x:c>
      <x:c r="AD226" t="n">
        <x:v>3</x:v>
      </x:c>
      <x:c r="AE226" t="str">
        <x:v>Default: Layered Bastion.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6" t="str">
        <x:v>2pc: Begin combat with +4 Maximum Armour and +4 Maximum Magic Armour. | 3pc: Once per combat when either protection pool is depleted, restore 2 to both pools.</x:v>
      </x:c>
      <x:c r="AG226" t="str">
        <x:v>Ember; Frost; Storm; Venom; Blood; Lunar; Solar</x:v>
      </x:c>
      <x:c r="AH226" t="str">
        <x:v>Restoration repairs only to normal maximum with a 1-turn cooldown. Fortify/Ward heal and overflow with 2-turn cooldowns; dual effects use 3 turns.</x:v>
      </x:c>
    </x:row>
    <x:row r="227">
      <x:c r="A227" t="str">
        <x:v>SHD-019</x:v>
      </x:c>
      <x:c r="B227" t="str">
        <x:v>Featherwood Buckler</x:v>
      </x:c>
      <x:c r="C227" t="str">
        <x:v>Grey</x:v>
      </x:c>
      <x:c r="D227" t="str">
        <x:v>Shield</x:v>
      </x:c>
      <x:c r="E227" t="str">
        <x:v>Shadowplume</x:v>
      </x:c>
      <x:c r="F227" t="str">
        <x:v>Light</x:v>
      </x:c>
      <x:c r="G227" t="str">
        <x:v>Rogue, Dexterity Bard, bow user</x:v>
      </x:c>
      <x:c r="H227"/>
      <x:c r="I227"/>
      <x:c r="J227" t="n">
        <x:v>0</x:v>
      </x:c>
      <x:c r="K227" t="n">
        <x:v>0</x:v>
      </x:c>
      <x:c r="L227" t="n">
        <x:v>1</x:v>
      </x:c>
      <x:c r="M227" t="n">
        <x:v>1</x:v>
      </x:c>
      <x:c r="N227" t="n">
        <x:v>0</x:v>
      </x:c>
      <x:c r="O227" t="n">
        <x:v>0</x:v>
      </x:c>
      <x:c r="P227" t="n">
        <x:v>1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str">
        <x:v>Buckler Shift</x:v>
      </x:c>
      <x:c r="Y227" t="n">
        <x:v>2</x:v>
      </x:c>
      <x:c r="Z227" t="n">
        <x:v>0</x:v>
      </x:c>
      <x:c r="AA227" t="str">
        <x:v>Featherwood Deflection</x:v>
      </x:c>
      <x:c r="AB227" t="n">
        <x:v>3</x:v>
      </x:c>
      <x:c r="AC227" t="n">
        <x:v>0</x:v>
      </x:c>
      <x:c r="AD227" t="n">
        <x:v>3</x:v>
      </x:c>
      <x:c r="AE227" t="str">
        <x:v>Default: None.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27" t="str">
        <x:v>2pc: While both protection pools remain above zero, gain +2 Agility. | 3pc: First successful Dodge each combat restores 1 to the lower protection pool.</x:v>
      </x:c>
      <x:c r="AG227" t="str">
        <x:v>Ember; Frost; Storm; Venom; Blood; Lunar; Solar</x:v>
      </x:c>
      <x:c r="AH227" t="str">
        <x:v>Restoration repairs only to normal maximum with a 1-turn cooldown. Fortify/Ward heal and overflow with 2-turn cooldowns; dual effects use 3 turns.</x:v>
      </x:c>
    </x:row>
    <x:row r="228">
      <x:c r="A228" t="str">
        <x:v>SHD-020</x:v>
      </x:c>
      <x:c r="B228" t="str">
        <x:v>Sturdy Featherwood Buckler</x:v>
      </x:c>
      <x:c r="C228" t="str">
        <x:v>Green</x:v>
      </x:c>
      <x:c r="D228" t="str">
        <x:v>Shield</x:v>
      </x:c>
      <x:c r="E228" t="str">
        <x:v>Shadowplume</x:v>
      </x:c>
      <x:c r="F228" t="str">
        <x:v>Light</x:v>
      </x:c>
      <x:c r="G228" t="str">
        <x:v>Rogue, Dexterity Bard, bow user</x:v>
      </x:c>
      <x:c r="H228"/>
      <x:c r="I228"/>
      <x:c r="J228" t="n">
        <x:v>0</x:v>
      </x:c>
      <x:c r="K228" t="n">
        <x:v>0</x:v>
      </x:c>
      <x:c r="L228" t="n">
        <x:v>1</x:v>
      </x:c>
      <x:c r="M228" t="n">
        <x:v>2</x:v>
      </x:c>
      <x:c r="N228" t="n">
        <x:v>0</x:v>
      </x:c>
      <x:c r="O228" t="n">
        <x:v>0</x:v>
      </x:c>
      <x:c r="P228" t="n">
        <x:v>1</x:v>
      </x:c>
      <x:c r="Q228" t="n">
        <x:v>0</x:v>
      </x:c>
      <x:c r="R228" t="n">
        <x:v>0</x:v>
      </x:c>
      <x:c r="S228" t="n">
        <x:v>0</x:v>
      </x:c>
      <x:c r="T228" t="n">
        <x:v>1</x:v>
      </x:c>
      <x:c r="U228" t="n">
        <x:v>0</x:v>
      </x:c>
      <x:c r="V228" t="n">
        <x:v>0</x:v>
      </x:c>
      <x:c r="W228" t="n">
        <x:v>0</x:v>
      </x:c>
      <x:c r="X228" t="str">
        <x:v>Buckler Shift</x:v>
      </x:c>
      <x:c r="Y228" t="n">
        <x:v>2</x:v>
      </x:c>
      <x:c r="Z228" t="n">
        <x:v>0</x:v>
      </x:c>
      <x:c r="AA228" t="str">
        <x:v>Featherwood Deflection</x:v>
      </x:c>
      <x:c r="AB228" t="n">
        <x:v>3</x:v>
      </x:c>
      <x:c r="AC228" t="n">
        <x:v>0</x:v>
      </x:c>
      <x:c r="AD228" t="n">
        <x:v>3</x:v>
      </x:c>
      <x:c r="AE228" t="str">
        <x:v>Default: Buckler Shift. A: Restore 3 to the lower protection pool, gain Minor Agility Up for 1 turn, and remove 1 Crippled stack; does not remove Immobilised. B: Gain 5 Fortified Armour and 5 Ward Magic Armour for 1 turn.</x:v>
      </x:c>
      <x:c r="AF228" t="str">
        <x:v>2pc: While both protection pools remain above zero, gain +2 Agility. | 3pc: First successful Dodge each combat restores 1 to the lower protection pool.</x:v>
      </x:c>
      <x:c r="AG228" t="str">
        <x:v>Ember; Frost; Storm; Venom; Blood; Lunar; Solar</x:v>
      </x:c>
      <x:c r="AH228" t="str">
        <x:v>Restoration repairs only to normal maximum with a 1-turn cooldown. Fortify/Ward heal and overflow with 2-turn cooldowns; dual effects use 3 turns.</x:v>
      </x:c>
    </x:row>
    <x:row r="229">
      <x:c r="A229" t="str">
        <x:v>SHD-021</x:v>
      </x:c>
      <x:c r="B229" t="str">
        <x:v>Tempered Featherwood Buckler</x:v>
      </x:c>
      <x:c r="C229" t="str">
        <x:v>Blue</x:v>
      </x:c>
      <x:c r="D229" t="str">
        <x:v>Shield</x:v>
      </x:c>
      <x:c r="E229" t="str">
        <x:v>Shadowplume</x:v>
      </x:c>
      <x:c r="F229" t="str">
        <x:v>Light</x:v>
      </x:c>
      <x:c r="G229" t="str">
        <x:v>Rogue, Dexterity Bard, bow user</x:v>
      </x:c>
      <x:c r="H229"/>
      <x:c r="I229"/>
      <x:c r="J229" t="n">
        <x:v>0</x:v>
      </x:c>
      <x:c r="K229" t="n">
        <x:v>0</x:v>
      </x:c>
      <x:c r="L229" t="n">
        <x:v>2</x:v>
      </x:c>
      <x:c r="M229" t="n">
        <x:v>3</x:v>
      </x:c>
      <x:c r="N229" t="n">
        <x:v>0</x:v>
      </x:c>
      <x:c r="O229" t="n">
        <x:v>0</x:v>
      </x:c>
      <x:c r="P229" t="n">
        <x:v>2</x:v>
      </x:c>
      <x:c r="Q229" t="n">
        <x:v>0</x:v>
      </x:c>
      <x:c r="R229" t="n">
        <x:v>0</x:v>
      </x:c>
      <x:c r="S229" t="n">
        <x:v>0</x:v>
      </x:c>
      <x:c r="T229" t="n">
        <x:v>1</x:v>
      </x:c>
      <x:c r="U229" t="n">
        <x:v>0</x:v>
      </x:c>
      <x:c r="V229" t="n">
        <x:v>0</x:v>
      </x:c>
      <x:c r="W229" t="n">
        <x:v>0</x:v>
      </x:c>
      <x:c r="X229" t="str">
        <x:v>Buckler Shift</x:v>
      </x:c>
      <x:c r="Y229" t="n">
        <x:v>2</x:v>
      </x:c>
      <x:c r="Z229" t="n">
        <x:v>0</x:v>
      </x:c>
      <x:c r="AA229" t="str">
        <x:v>Featherwood Deflection</x:v>
      </x:c>
      <x:c r="AB229" t="n">
        <x:v>3</x:v>
      </x:c>
      <x:c r="AC229" t="n">
        <x:v>0</x:v>
      </x:c>
      <x:c r="AD229" t="n">
        <x:v>3</x:v>
      </x:c>
      <x:c r="AE229" t="str">
        <x:v>Default: Buckler Shift. A: Restore 3 to the lower protection pool, gain Minor Agility Up for 1 turn, and remove 1 Crippled stack; does not remove Immobilised. B: Gain 5 Fortified Armour and 5 Ward Magic Armour for 1 turn.</x:v>
      </x:c>
      <x:c r="AF229" t="str">
        <x:v>2pc: While both protection pools remain above zero, gain +3 Agility. | 3pc: First successful Dodge each combat restores 1 to the lower protection pool.</x:v>
      </x:c>
      <x:c r="AG229" t="str">
        <x:v>Ember; Frost; Storm; Venom; Blood; Lunar; Solar</x:v>
      </x:c>
      <x:c r="AH229" t="str">
        <x:v>Restoration repairs only to normal maximum with a 1-turn cooldown. Fortify/Ward heal and overflow with 2-turn cooldowns; dual effects use 3 turns.</x:v>
      </x:c>
    </x:row>
    <x:row r="230">
      <x:c r="A230" t="str">
        <x:v>SHD-022</x:v>
      </x:c>
      <x:c r="B230" t="str">
        <x:v>Masterwork Featherwood Buckler</x:v>
      </x:c>
      <x:c r="C230" t="str">
        <x:v>Purple</x:v>
      </x:c>
      <x:c r="D230" t="str">
        <x:v>Shield</x:v>
      </x:c>
      <x:c r="E230" t="str">
        <x:v>Shadowplume</x:v>
      </x:c>
      <x:c r="F230" t="str">
        <x:v>Light</x:v>
      </x:c>
      <x:c r="G230" t="str">
        <x:v>Rogue, Dexterity Bard, bow user</x:v>
      </x:c>
      <x:c r="H230"/>
      <x:c r="I230"/>
      <x:c r="J230" t="n">
        <x:v>0</x:v>
      </x:c>
      <x:c r="K230" t="n">
        <x:v>0</x:v>
      </x:c>
      <x:c r="L230" t="n">
        <x:v>2</x:v>
      </x:c>
      <x:c r="M230" t="n">
        <x:v>4</x:v>
      </x:c>
      <x:c r="N230" t="n">
        <x:v>0</x:v>
      </x:c>
      <x:c r="O230" t="n">
        <x:v>0</x:v>
      </x:c>
      <x:c r="P230" t="n">
        <x:v>3</x:v>
      </x:c>
      <x:c r="Q230" t="n">
        <x:v>0</x:v>
      </x:c>
      <x:c r="R230" t="n">
        <x:v>0</x:v>
      </x:c>
      <x:c r="S230" t="n">
        <x:v>1</x:v>
      </x:c>
      <x:c r="T230" t="n">
        <x:v>1</x:v>
      </x:c>
      <x:c r="U230" t="n">
        <x:v>0</x:v>
      </x:c>
      <x:c r="V230" t="n">
        <x:v>0</x:v>
      </x:c>
      <x:c r="W230" t="n">
        <x:v>0</x:v>
      </x:c>
      <x:c r="X230" t="str">
        <x:v>Buckler Shift</x:v>
      </x:c>
      <x:c r="Y230" t="n">
        <x:v>2</x:v>
      </x:c>
      <x:c r="Z230" t="n">
        <x:v>0</x:v>
      </x:c>
      <x:c r="AA230" t="str">
        <x:v>Featherwood Deflection</x:v>
      </x:c>
      <x:c r="AB230" t="n">
        <x:v>3</x:v>
      </x:c>
      <x:c r="AC230" t="n">
        <x:v>0</x:v>
      </x:c>
      <x:c r="AD230" t="n">
        <x:v>3</x:v>
      </x:c>
      <x:c r="AE230" t="str">
        <x:v>Default: Featherwood Deflection.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30" t="str">
        <x:v>2pc: While both protection pools remain above zero, gain +3 Agility. | 3pc: First successful Dodge each combat restores 1 to the lower protection pool.</x:v>
      </x:c>
      <x:c r="AG230" t="str">
        <x:v>Ember; Frost; Storm; Venom; Blood; Lunar; Solar</x:v>
      </x:c>
      <x:c r="AH230" t="str">
        <x:v>Restoration repairs only to normal maximum with a 1-turn cooldown. Fortify/Ward heal and overflow with 2-turn cooldowns; dual effects use 3 turns.</x:v>
      </x:c>
    </x:row>
    <x:row r="231">
      <x:c r="A231" t="str">
        <x:v>SHD-023</x:v>
      </x:c>
      <x:c r="B231" t="str">
        <x:v>Regal Featherwood Buckler</x:v>
      </x:c>
      <x:c r="C231" t="str">
        <x:v>Gold</x:v>
      </x:c>
      <x:c r="D231" t="str">
        <x:v>Shield</x:v>
      </x:c>
      <x:c r="E231" t="str">
        <x:v>Shadowplume</x:v>
      </x:c>
      <x:c r="F231" t="str">
        <x:v>Light</x:v>
      </x:c>
      <x:c r="G231" t="str">
        <x:v>Rogue, Dexterity Bard, bow user</x:v>
      </x:c>
      <x:c r="H231"/>
      <x:c r="I231"/>
      <x:c r="J231" t="n">
        <x:v>0</x:v>
      </x:c>
      <x:c r="K231" t="n">
        <x:v>0</x:v>
      </x:c>
      <x:c r="L231" t="n">
        <x:v>4</x:v>
      </x:c>
      <x:c r="M231" t="n">
        <x:v>6</x:v>
      </x:c>
      <x:c r="N231" t="n">
        <x:v>0</x:v>
      </x:c>
      <x:c r="O231" t="n">
        <x:v>0</x:v>
      </x:c>
      <x:c r="P231" t="n">
        <x:v>4</x:v>
      </x:c>
      <x:c r="Q231" t="n">
        <x:v>0</x:v>
      </x:c>
      <x:c r="R231" t="n">
        <x:v>0</x:v>
      </x:c>
      <x:c r="S231" t="n">
        <x:v>1</x:v>
      </x:c>
      <x:c r="T231" t="n">
        <x:v>2</x:v>
      </x:c>
      <x:c r="U231" t="n">
        <x:v>0</x:v>
      </x:c>
      <x:c r="V231" t="n">
        <x:v>0</x:v>
      </x:c>
      <x:c r="W231" t="n">
        <x:v>0</x:v>
      </x:c>
      <x:c r="X231" t="str">
        <x:v>Buckler Shift</x:v>
      </x:c>
      <x:c r="Y231" t="n">
        <x:v>2</x:v>
      </x:c>
      <x:c r="Z231" t="n">
        <x:v>0</x:v>
      </x:c>
      <x:c r="AA231" t="str">
        <x:v>Featherwood Deflection</x:v>
      </x:c>
      <x:c r="AB231" t="n">
        <x:v>3</x:v>
      </x:c>
      <x:c r="AC231" t="n">
        <x:v>0</x:v>
      </x:c>
      <x:c r="AD231" t="n">
        <x:v>3</x:v>
      </x:c>
      <x:c r="AE231" t="str">
        <x:v>Default: Featherwood Deflection.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31" t="str">
        <x:v>2pc: While both protection pools remain above zero, gain +4 Agility. | 3pc: First successful Dodge each combat restores 2 to the lower protection pool.</x:v>
      </x:c>
      <x:c r="AG231" t="str">
        <x:v>Ember; Frost; Storm; Venom; Blood; Lunar; Solar</x:v>
      </x:c>
      <x:c r="AH231" t="str">
        <x:v>Restoration repairs only to normal maximum with a 1-turn cooldown. Fortify/Ward heal and overflow with 2-turn cooldowns; dual effects use 3 turns.</x:v>
      </x:c>
    </x:row>
    <x:row r="232">
      <x:c r="A232" t="str">
        <x:v>SHD-024</x:v>
      </x:c>
      <x:c r="B232" t="str">
        <x:v>Mythic Featherwood Buckler</x:v>
      </x:c>
      <x:c r="C232" t="str">
        <x:v>Orange</x:v>
      </x:c>
      <x:c r="D232" t="str">
        <x:v>Shield</x:v>
      </x:c>
      <x:c r="E232" t="str">
        <x:v>Shadowplume</x:v>
      </x:c>
      <x:c r="F232" t="str">
        <x:v>Light</x:v>
      </x:c>
      <x:c r="G232" t="str">
        <x:v>Rogue, Dexterity Bard, bow user</x:v>
      </x:c>
      <x:c r="H232"/>
      <x:c r="I232"/>
      <x:c r="J232" t="n">
        <x:v>0</x:v>
      </x:c>
      <x:c r="K232" t="n">
        <x:v>0</x:v>
      </x:c>
      <x:c r="L232" t="n">
        <x:v>5</x:v>
      </x:c>
      <x:c r="M232" t="n">
        <x:v>8</x:v>
      </x:c>
      <x:c r="N232" t="n">
        <x:v>0</x:v>
      </x:c>
      <x:c r="O232" t="n">
        <x:v>0</x:v>
      </x:c>
      <x:c r="P232" t="n">
        <x:v>5</x:v>
      </x:c>
      <x:c r="Q232" t="n">
        <x:v>0</x:v>
      </x:c>
      <x:c r="R232" t="n">
        <x:v>0</x:v>
      </x:c>
      <x:c r="S232" t="n">
        <x:v>2</x:v>
      </x:c>
      <x:c r="T232" t="n">
        <x:v>2</x:v>
      </x:c>
      <x:c r="U232" t="n">
        <x:v>0</x:v>
      </x:c>
      <x:c r="V232" t="n">
        <x:v>0</x:v>
      </x:c>
      <x:c r="W232" t="n">
        <x:v>0</x:v>
      </x:c>
      <x:c r="X232" t="str">
        <x:v>Buckler Shift</x:v>
      </x:c>
      <x:c r="Y232" t="n">
        <x:v>2</x:v>
      </x:c>
      <x:c r="Z232" t="n">
        <x:v>0</x:v>
      </x:c>
      <x:c r="AA232" t="str">
        <x:v>Featherwood Deflection</x:v>
      </x:c>
      <x:c r="AB232" t="n">
        <x:v>3</x:v>
      </x:c>
      <x:c r="AC232" t="n">
        <x:v>0</x:v>
      </x:c>
      <x:c r="AD232" t="n">
        <x:v>3</x:v>
      </x:c>
      <x:c r="AE232" t="str">
        <x:v>Default: Featherwood Deflection.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32" t="str">
        <x:v>2pc: While both protection pools remain above zero, gain +5 Agility. | 3pc: First successful Dodge each combat restores 2 to the lower protection pool.</x:v>
      </x:c>
      <x:c r="AG232" t="str">
        <x:v>Ember; Frost; Storm; Venom; Blood; Lunar; Solar</x:v>
      </x:c>
      <x:c r="AH232" t="str">
        <x:v>Restoration repairs only to normal maximum with a 1-turn cooldown. Fortify/Ward heal and overflow with 2-turn cooldowns; dual effects use 3 turns.</x:v>
      </x:c>
    </x:row>
    <x:row r="233">
      <x:c r="A233" t="str">
        <x:v>SHD-025</x:v>
      </x:c>
      <x:c r="B233" t="str">
        <x:v>Bonecrest War Shield</x:v>
      </x:c>
      <x:c r="C233" t="str">
        <x:v>Grey</x:v>
      </x:c>
      <x:c r="D233" t="str">
        <x:v>Shield</x:v>
      </x:c>
      <x:c r="E233" t="str">
        <x:v>Bonecrest Warplate</x:v>
      </x:c>
      <x:c r="F233" t="str">
        <x:v>Medium</x:v>
      </x:c>
      <x:c r="G233" t="str">
        <x:v>Brute, offensive Knight, Might Inquisitor</x:v>
      </x:c>
      <x:c r="H233"/>
      <x:c r="I233"/>
      <x:c r="J233" t="n">
        <x:v>0</x:v>
      </x:c>
      <x:c r="K233" t="n">
        <x:v>0</x:v>
      </x:c>
      <x:c r="L233" t="n">
        <x:v>3</x:v>
      </x:c>
      <x:c r="M233" t="n">
        <x:v>0</x:v>
      </x:c>
      <x:c r="N233" t="n">
        <x:v>0</x:v>
      </x:c>
      <x:c r="O233" t="n">
        <x:v>1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str">
        <x:v>Offensive Guard</x:v>
      </x:c>
      <x:c r="Y233" t="n">
        <x:v>2</x:v>
      </x:c>
      <x:c r="Z233" t="n">
        <x:v>0</x:v>
      </x:c>
      <x:c r="AA233" t="str">
        <x:v>Bonewall Rush</x:v>
      </x:c>
      <x:c r="AB233" t="n">
        <x:v>3</x:v>
      </x:c>
      <x:c r="AC233" t="n">
        <x:v>0</x:v>
      </x:c>
      <x:c r="AD233" t="n">
        <x:v>2</x:v>
      </x:c>
      <x:c r="AE233" t="str">
        <x:v>Default: None.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3" t="str">
        <x:v>2pc: While Armour remains, gain +2 Might. | 3pc: First physical attack that breaks enemy Armour each combat gains +10 Skill Power.</x:v>
      </x:c>
      <x:c r="AG233" t="str">
        <x:v>Ember; Frost; Storm; Venom; Blood; Lunar; Solar</x:v>
      </x:c>
      <x:c r="AH233" t="str">
        <x:v>Restoration repairs only to normal maximum with a 1-turn cooldown. Fortify/Ward heal and overflow with 2-turn cooldowns; dual effects use 3 turns.</x:v>
      </x:c>
    </x:row>
    <x:row r="234">
      <x:c r="A234" t="str">
        <x:v>SHD-026</x:v>
      </x:c>
      <x:c r="B234" t="str">
        <x:v>Sturdy Bonecrest War Shield</x:v>
      </x:c>
      <x:c r="C234" t="str">
        <x:v>Green</x:v>
      </x:c>
      <x:c r="D234" t="str">
        <x:v>Shield</x:v>
      </x:c>
      <x:c r="E234" t="str">
        <x:v>Bonecrest Warplate</x:v>
      </x:c>
      <x:c r="F234" t="str">
        <x:v>Medium</x:v>
      </x:c>
      <x:c r="G234" t="str">
        <x:v>Brute, offensive Knight, Might Inquisitor</x:v>
      </x:c>
      <x:c r="H234"/>
      <x:c r="I234"/>
      <x:c r="J234" t="n">
        <x:v>0</x:v>
      </x:c>
      <x:c r="K234" t="n">
        <x:v>0</x:v>
      </x:c>
      <x:c r="L234" t="n">
        <x:v>3</x:v>
      </x:c>
      <x:c r="M234" t="n">
        <x:v>1</x:v>
      </x:c>
      <x:c r="N234" t="n">
        <x:v>0</x:v>
      </x:c>
      <x:c r="O234" t="n">
        <x:v>1</x:v>
      </x:c>
      <x:c r="P234" t="n">
        <x:v>0</x:v>
      </x:c>
      <x:c r="Q234" t="n">
        <x:v>1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str">
        <x:v>Offensive Guard</x:v>
      </x:c>
      <x:c r="Y234" t="n">
        <x:v>2</x:v>
      </x:c>
      <x:c r="Z234" t="n">
        <x:v>0</x:v>
      </x:c>
      <x:c r="AA234" t="str">
        <x:v>Bonewall Rush</x:v>
      </x:c>
      <x:c r="AB234" t="n">
        <x:v>3</x:v>
      </x:c>
      <x:c r="AC234" t="n">
        <x:v>0</x:v>
      </x:c>
      <x:c r="AD234" t="n">
        <x:v>2</x:v>
      </x:c>
      <x:c r="AE234" t="str">
        <x:v>Default: Offensive Guard.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4" t="str">
        <x:v>2pc: While Armour remains, gain +2 Might. | 3pc: First physical attack that breaks enemy Armour each combat gains +10 Skill Power.</x:v>
      </x:c>
      <x:c r="AG234" t="str">
        <x:v>Ember; Frost; Storm; Venom; Blood; Lunar; Solar</x:v>
      </x:c>
      <x:c r="AH234" t="str">
        <x:v>Restoration repairs only to normal maximum with a 1-turn cooldown. Fortify/Ward heal and overflow with 2-turn cooldowns; dual effects use 3 turns.</x:v>
      </x:c>
    </x:row>
    <x:row r="235">
      <x:c r="A235" t="str">
        <x:v>SHD-027</x:v>
      </x:c>
      <x:c r="B235" t="str">
        <x:v>Tempered Bonecrest War Shield</x:v>
      </x:c>
      <x:c r="C235" t="str">
        <x:v>Blue</x:v>
      </x:c>
      <x:c r="D235" t="str">
        <x:v>Shield</x:v>
      </x:c>
      <x:c r="E235" t="str">
        <x:v>Bonecrest Warplate</x:v>
      </x:c>
      <x:c r="F235" t="str">
        <x:v>Medium</x:v>
      </x:c>
      <x:c r="G235" t="str">
        <x:v>Brute, offensive Knight, Might Inquisitor</x:v>
      </x:c>
      <x:c r="H235"/>
      <x:c r="I235"/>
      <x:c r="J235" t="n">
        <x:v>0</x:v>
      </x:c>
      <x:c r="K235" t="n">
        <x:v>0</x:v>
      </x:c>
      <x:c r="L235" t="n">
        <x:v>5</x:v>
      </x:c>
      <x:c r="M235" t="n">
        <x:v>1</x:v>
      </x:c>
      <x:c r="N235" t="n">
        <x:v>0</x:v>
      </x:c>
      <x:c r="O235" t="n">
        <x:v>2</x:v>
      </x:c>
      <x:c r="P235" t="n">
        <x:v>0</x:v>
      </x:c>
      <x:c r="Q235" t="n">
        <x:v>1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str">
        <x:v>Offensive Guard</x:v>
      </x:c>
      <x:c r="Y235" t="n">
        <x:v>2</x:v>
      </x:c>
      <x:c r="Z235" t="n">
        <x:v>0</x:v>
      </x:c>
      <x:c r="AA235" t="str">
        <x:v>Bonewall Rush</x:v>
      </x:c>
      <x:c r="AB235" t="n">
        <x:v>3</x:v>
      </x:c>
      <x:c r="AC235" t="n">
        <x:v>0</x:v>
      </x:c>
      <x:c r="AD235" t="n">
        <x:v>2</x:v>
      </x:c>
      <x:c r="AE235" t="str">
        <x:v>Default: Offensive Guard.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5" t="str">
        <x:v>2pc: While Armour remains, gain +3 Might. | 3pc: First physical attack that breaks enemy Armour each combat gains +10 Skill Power.</x:v>
      </x:c>
      <x:c r="AG235" t="str">
        <x:v>Ember; Frost; Storm; Venom; Blood; Lunar; Solar</x:v>
      </x:c>
      <x:c r="AH235" t="str">
        <x:v>Restoration repairs only to normal maximum with a 1-turn cooldown. Fortify/Ward heal and overflow with 2-turn cooldowns; dual effects use 3 turns.</x:v>
      </x:c>
    </x:row>
    <x:row r="236">
      <x:c r="A236" t="str">
        <x:v>SHD-028</x:v>
      </x:c>
      <x:c r="B236" t="str">
        <x:v>Masterwork Bonecrest War Shield</x:v>
      </x:c>
      <x:c r="C236" t="str">
        <x:v>Purple</x:v>
      </x:c>
      <x:c r="D236" t="str">
        <x:v>Shield</x:v>
      </x:c>
      <x:c r="E236" t="str">
        <x:v>Bonecrest Warplate</x:v>
      </x:c>
      <x:c r="F236" t="str">
        <x:v>Medium</x:v>
      </x:c>
      <x:c r="G236" t="str">
        <x:v>Brute, offensive Knight, Might Inquisitor</x:v>
      </x:c>
      <x:c r="H236"/>
      <x:c r="I236"/>
      <x:c r="J236" t="n">
        <x:v>0</x:v>
      </x:c>
      <x:c r="K236" t="n">
        <x:v>0</x:v>
      </x:c>
      <x:c r="L236" t="n">
        <x:v>6</x:v>
      </x:c>
      <x:c r="M236" t="n">
        <x:v>2</x:v>
      </x:c>
      <x:c r="N236" t="n">
        <x:v>1</x:v>
      </x:c>
      <x:c r="O236" t="n">
        <x:v>3</x:v>
      </x:c>
      <x:c r="P236" t="n">
        <x:v>0</x:v>
      </x:c>
      <x:c r="Q236" t="n">
        <x:v>1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str">
        <x:v>Offensive Guard</x:v>
      </x:c>
      <x:c r="Y236" t="n">
        <x:v>2</x:v>
      </x:c>
      <x:c r="Z236" t="n">
        <x:v>0</x:v>
      </x:c>
      <x:c r="AA236" t="str">
        <x:v>Bonewall Rush</x:v>
      </x:c>
      <x:c r="AB236" t="n">
        <x:v>3</x:v>
      </x:c>
      <x:c r="AC236" t="n">
        <x:v>0</x:v>
      </x:c>
      <x:c r="AD236" t="n">
        <x:v>2</x:v>
      </x:c>
      <x:c r="AE236" t="str">
        <x:v>Default: Bonewall Rush.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6" t="str">
        <x:v>2pc: While Armour remains, gain +3 Might. | 3pc: First physical attack that breaks enemy Armour each combat gains +15 Skill Power.</x:v>
      </x:c>
      <x:c r="AG236" t="str">
        <x:v>Ember; Frost; Storm; Venom; Blood; Lunar; Solar</x:v>
      </x:c>
      <x:c r="AH236" t="str">
        <x:v>Restoration repairs only to normal maximum with a 1-turn cooldown. Fortify/Ward heal and overflow with 2-turn cooldowns; dual effects use 3 turns.</x:v>
      </x:c>
    </x:row>
    <x:row r="237">
      <x:c r="A237" t="str">
        <x:v>SHD-029</x:v>
      </x:c>
      <x:c r="B237" t="str">
        <x:v>Regal Bonecrest War Shield</x:v>
      </x:c>
      <x:c r="C237" t="str">
        <x:v>Gold</x:v>
      </x:c>
      <x:c r="D237" t="str">
        <x:v>Shield</x:v>
      </x:c>
      <x:c r="E237" t="str">
        <x:v>Bonecrest Warplate</x:v>
      </x:c>
      <x:c r="F237" t="str">
        <x:v>Medium</x:v>
      </x:c>
      <x:c r="G237" t="str">
        <x:v>Brute, offensive Knight, Might Inquisitor</x:v>
      </x:c>
      <x:c r="H237"/>
      <x:c r="I237"/>
      <x:c r="J237" t="n">
        <x:v>0</x:v>
      </x:c>
      <x:c r="K237" t="n">
        <x:v>0</x:v>
      </x:c>
      <x:c r="L237" t="n">
        <x:v>9</x:v>
      </x:c>
      <x:c r="M237" t="n">
        <x:v>3</x:v>
      </x:c>
      <x:c r="N237" t="n">
        <x:v>1</x:v>
      </x:c>
      <x:c r="O237" t="n">
        <x:v>4</x:v>
      </x:c>
      <x:c r="P237" t="n">
        <x:v>0</x:v>
      </x:c>
      <x:c r="Q237" t="n">
        <x:v>2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str">
        <x:v>Offensive Guard</x:v>
      </x:c>
      <x:c r="Y237" t="n">
        <x:v>2</x:v>
      </x:c>
      <x:c r="Z237" t="n">
        <x:v>0</x:v>
      </x:c>
      <x:c r="AA237" t="str">
        <x:v>Bonewall Rush</x:v>
      </x:c>
      <x:c r="AB237" t="n">
        <x:v>3</x:v>
      </x:c>
      <x:c r="AC237" t="n">
        <x:v>0</x:v>
      </x:c>
      <x:c r="AD237" t="n">
        <x:v>2</x:v>
      </x:c>
      <x:c r="AE237" t="str">
        <x:v>Default: Bonewall Rush.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7" t="str">
        <x:v>2pc: While Armour remains, gain +4 Might. | 3pc: First physical attack that breaks enemy Armour each combat gains +20 Skill Power.</x:v>
      </x:c>
      <x:c r="AG237" t="str">
        <x:v>Ember; Frost; Storm; Venom; Blood; Lunar; Solar</x:v>
      </x:c>
      <x:c r="AH237" t="str">
        <x:v>Restoration repairs only to normal maximum with a 1-turn cooldown. Fortify/Ward heal and overflow with 2-turn cooldowns; dual effects use 3 turns.</x:v>
      </x:c>
    </x:row>
    <x:row r="238">
      <x:c r="A238" t="str">
        <x:v>SHD-030</x:v>
      </x:c>
      <x:c r="B238" t="str">
        <x:v>Mythic Bonecrest War Shield</x:v>
      </x:c>
      <x:c r="C238" t="str">
        <x:v>Orange</x:v>
      </x:c>
      <x:c r="D238" t="str">
        <x:v>Shield</x:v>
      </x:c>
      <x:c r="E238" t="str">
        <x:v>Bonecrest Warplate</x:v>
      </x:c>
      <x:c r="F238" t="str">
        <x:v>Medium</x:v>
      </x:c>
      <x:c r="G238" t="str">
        <x:v>Brute, offensive Knight, Might Inquisitor</x:v>
      </x:c>
      <x:c r="H238"/>
      <x:c r="I238"/>
      <x:c r="J238" t="n">
        <x:v>0</x:v>
      </x:c>
      <x:c r="K238" t="n">
        <x:v>0</x:v>
      </x:c>
      <x:c r="L238" t="n">
        <x:v>12</x:v>
      </x:c>
      <x:c r="M238" t="n">
        <x:v>4</x:v>
      </x:c>
      <x:c r="N238" t="n">
        <x:v>2</x:v>
      </x:c>
      <x:c r="O238" t="n">
        <x:v>5</x:v>
      </x:c>
      <x:c r="P238" t="n">
        <x:v>0</x:v>
      </x:c>
      <x:c r="Q238" t="n">
        <x:v>2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str">
        <x:v>Offensive Guard</x:v>
      </x:c>
      <x:c r="Y238" t="n">
        <x:v>2</x:v>
      </x:c>
      <x:c r="Z238" t="n">
        <x:v>0</x:v>
      </x:c>
      <x:c r="AA238" t="str">
        <x:v>Bonewall Rush</x:v>
      </x:c>
      <x:c r="AB238" t="n">
        <x:v>3</x:v>
      </x:c>
      <x:c r="AC238" t="n">
        <x:v>0</x:v>
      </x:c>
      <x:c r="AD238" t="n">
        <x:v>2</x:v>
      </x:c>
      <x:c r="AE238" t="str">
        <x:v>Default: Bonewall Rush.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8" t="str">
        <x:v>2pc: While Armour remains, gain +5 Might. | 3pc: First physical attack that breaks enemy Armour each combat gains +20 Skill Power.</x:v>
      </x:c>
      <x:c r="AG238" t="str">
        <x:v>Ember; Frost; Storm; Venom; Blood; Lunar; Solar</x:v>
      </x:c>
      <x:c r="AH238" t="str">
        <x:v>Restoration repairs only to normal maximum with a 1-turn cooldown. Fortify/Ward heal and overflow with 2-turn cooldowns; dual effects use 3 turns.</x:v>
      </x:c>
    </x:row>
    <x:row r="239">
      <x:c r="A239" t="str">
        <x:v>SHD-031</x:v>
      </x:c>
      <x:c r="B239" t="str">
        <x:v>Crystal Wing Ward</x:v>
      </x:c>
      <x:c r="C239" t="str">
        <x:v>Grey</x:v>
      </x:c>
      <x:c r="D239" t="str">
        <x:v>Shield</x:v>
      </x:c>
      <x:c r="E239" t="str">
        <x:v>Crystalwind Regalia</x:v>
      </x:c>
      <x:c r="F239" t="str">
        <x:v>Light</x:v>
      </x:c>
      <x:c r="G239" t="str">
        <x:v>Fast Mage, Siren, magical Bard</x:v>
      </x:c>
      <x:c r="H239"/>
      <x:c r="I239"/>
      <x:c r="J239" t="n">
        <x:v>0</x:v>
      </x:c>
      <x:c r="K239" t="n">
        <x:v>0</x:v>
      </x:c>
      <x:c r="L239" t="n">
        <x:v>0</x:v>
      </x:c>
      <x:c r="M239" t="n">
        <x:v>2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1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str">
        <x:v>Crystal Screen</x:v>
      </x:c>
      <x:c r="Y239" t="n">
        <x:v>2</x:v>
      </x:c>
      <x:c r="Z239" t="n">
        <x:v>0</x:v>
      </x:c>
      <x:c r="AA239" t="str">
        <x:v>Windglass Ward</x:v>
      </x:c>
      <x:c r="AB239" t="n">
        <x:v>3</x:v>
      </x:c>
      <x:c r="AC239" t="n">
        <x:v>0</x:v>
      </x:c>
      <x:c r="AD239" t="n">
        <x:v>2</x:v>
      </x:c>
      <x:c r="AE239" t="str">
        <x:v>Default: None. A: Restore 5 Magic Armour. B: Gain 9 Ward Magic Armour (add 9 to current Magic Armour and temporary Maximum Magic Armour) for 2 turns. The next Magic skill before the end of the next turn gains +10 Skill Power.</x:v>
      </x:c>
      <x:c r="AF239" t="str">
        <x:v>2pc: While Magic Armour remains, gain +2 Agility. | 3pc: First magical attack that breaks enemy Magic Armour grants Minor Focus Up until the end of the next turn.</x:v>
      </x:c>
      <x:c r="AG239" t="str">
        <x:v>Ember; Frost; Storm; Venom; Blood; Lunar; Solar</x:v>
      </x:c>
      <x:c r="AH239" t="str">
        <x:v>Restoration repairs only to normal maximum with a 1-turn cooldown. Fortify/Ward heal and overflow with 2-turn cooldowns; dual effects use 3 turns.</x:v>
      </x:c>
    </x:row>
    <x:row r="240">
      <x:c r="A240" t="str">
        <x:v>SHD-032</x:v>
      </x:c>
      <x:c r="B240" t="str">
        <x:v>Sturdy Crystal Wing Ward</x:v>
      </x:c>
      <x:c r="C240" t="str">
        <x:v>Green</x:v>
      </x:c>
      <x:c r="D240" t="str">
        <x:v>Shield</x:v>
      </x:c>
      <x:c r="E240" t="str">
        <x:v>Crystalwind Regalia</x:v>
      </x:c>
      <x:c r="F240" t="str">
        <x:v>Light</x:v>
      </x:c>
      <x:c r="G240" t="str">
        <x:v>Fast Mage, Siren, magical Bard</x:v>
      </x:c>
      <x:c r="H240"/>
      <x:c r="I240"/>
      <x:c r="J240" t="n">
        <x:v>0</x:v>
      </x:c>
      <x:c r="K240" t="n">
        <x:v>0</x:v>
      </x:c>
      <x:c r="L240" t="n">
        <x:v>0</x:v>
      </x:c>
      <x:c r="M240" t="n">
        <x:v>3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1</x:v>
      </x:c>
      <x:c r="S240" t="n">
        <x:v>0</x:v>
      </x:c>
      <x:c r="T240" t="n">
        <x:v>1</x:v>
      </x:c>
      <x:c r="U240" t="n">
        <x:v>0</x:v>
      </x:c>
      <x:c r="V240" t="n">
        <x:v>0</x:v>
      </x:c>
      <x:c r="W240" t="n">
        <x:v>0</x:v>
      </x:c>
      <x:c r="X240" t="str">
        <x:v>Crystal Screen</x:v>
      </x:c>
      <x:c r="Y240" t="n">
        <x:v>2</x:v>
      </x:c>
      <x:c r="Z240" t="n">
        <x:v>0</x:v>
      </x:c>
      <x:c r="AA240" t="str">
        <x:v>Windglass Ward</x:v>
      </x:c>
      <x:c r="AB240" t="n">
        <x:v>3</x:v>
      </x:c>
      <x:c r="AC240" t="n">
        <x:v>0</x:v>
      </x:c>
      <x:c r="AD240" t="n">
        <x:v>2</x:v>
      </x:c>
      <x:c r="AE240" t="str">
        <x:v>Default: Crystal Screen. A: Restore 5 Magic Armour. B: Gain 9 Ward Magic Armour (add 9 to current Magic Armour and temporary Maximum Magic Armour) for 2 turns. The next Magic skill before the end of the next turn gains +10 Skill Power.</x:v>
      </x:c>
      <x:c r="AF240" t="str">
        <x:v>2pc: While Magic Armour remains, gain +2 Agility. | 3pc: First magical attack that breaks enemy Magic Armour grants Minor Focus Up until the end of the next turn.</x:v>
      </x:c>
      <x:c r="AG240" t="str">
        <x:v>Ember; Frost; Storm; Venom; Blood; Lunar; Solar</x:v>
      </x:c>
      <x:c r="AH240" t="str">
        <x:v>Restoration repairs only to normal maximum with a 1-turn cooldown. Fortify/Ward heal and overflow with 2-turn cooldowns; dual effects use 3 turns.</x:v>
      </x:c>
    </x:row>
    <x:row r="241">
      <x:c r="A241" t="str">
        <x:v>SHD-033</x:v>
      </x:c>
      <x:c r="B241" t="str">
        <x:v>Tempered Crystal Wing Ward</x:v>
      </x:c>
      <x:c r="C241" t="str">
        <x:v>Blue</x:v>
      </x:c>
      <x:c r="D241" t="str">
        <x:v>Shield</x:v>
      </x:c>
      <x:c r="E241" t="str">
        <x:v>Crystalwind Regalia</x:v>
      </x:c>
      <x:c r="F241" t="str">
        <x:v>Light</x:v>
      </x:c>
      <x:c r="G241" t="str">
        <x:v>Fast Mage, Siren, magical Bard</x:v>
      </x:c>
      <x:c r="H241"/>
      <x:c r="I241"/>
      <x:c r="J241" t="n">
        <x:v>0</x:v>
      </x:c>
      <x:c r="K241" t="n">
        <x:v>0</x:v>
      </x:c>
      <x:c r="L241" t="n">
        <x:v>1</x:v>
      </x:c>
      <x:c r="M241" t="n">
        <x:v>4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2</x:v>
      </x:c>
      <x:c r="S241" t="n">
        <x:v>0</x:v>
      </x:c>
      <x:c r="T241" t="n">
        <x:v>1</x:v>
      </x:c>
      <x:c r="U241" t="n">
        <x:v>0</x:v>
      </x:c>
      <x:c r="V241" t="n">
        <x:v>0</x:v>
      </x:c>
      <x:c r="W241" t="n">
        <x:v>0</x:v>
      </x:c>
      <x:c r="X241" t="str">
        <x:v>Crystal Screen</x:v>
      </x:c>
      <x:c r="Y241" t="n">
        <x:v>2</x:v>
      </x:c>
      <x:c r="Z241" t="n">
        <x:v>0</x:v>
      </x:c>
      <x:c r="AA241" t="str">
        <x:v>Windglass Ward</x:v>
      </x:c>
      <x:c r="AB241" t="n">
        <x:v>3</x:v>
      </x:c>
      <x:c r="AC241" t="n">
        <x:v>0</x:v>
      </x:c>
      <x:c r="AD241" t="n">
        <x:v>2</x:v>
      </x:c>
      <x:c r="AE241" t="str">
        <x:v>Default: Crystal Screen. A: Restore 5 Magic Armour. B: Gain 9 Ward Magic Armour (add 9 to current Magic Armour and temporary Maximum Magic Armour) for 2 turns. The next Magic skill before the end of the next turn gains +10 Skill Power.</x:v>
      </x:c>
      <x:c r="AF241" t="str">
        <x:v>2pc: While Magic Armour remains, gain +3 Agility. | 3pc: First magical attack that breaks enemy Magic Armour grants Minor Focus Up until the end of the next turn.</x:v>
      </x:c>
      <x:c r="AG241" t="str">
        <x:v>Ember; Frost; Storm; Venom; Blood; Lunar; Solar</x:v>
      </x:c>
      <x:c r="AH241" t="str">
        <x:v>Restoration repairs only to normal maximum with a 1-turn cooldown. Fortify/Ward heal and overflow with 2-turn cooldowns; dual effects use 3 turns.</x:v>
      </x:c>
    </x:row>
    <x:row r="242">
      <x:c r="A242" t="str">
        <x:v>SHD-034</x:v>
      </x:c>
      <x:c r="B242" t="str">
        <x:v>Masterwork Crystal Wing Ward</x:v>
      </x:c>
      <x:c r="C242" t="str">
        <x:v>Purple</x:v>
      </x:c>
      <x:c r="D242" t="str">
        <x:v>Shield</x:v>
      </x:c>
      <x:c r="E242" t="str">
        <x:v>Crystalwind Regalia</x:v>
      </x:c>
      <x:c r="F242" t="str">
        <x:v>Light</x:v>
      </x:c>
      <x:c r="G242" t="str">
        <x:v>Fast Mage, Siren, magical Bard</x:v>
      </x:c>
      <x:c r="H242"/>
      <x:c r="I242"/>
      <x:c r="J242" t="n">
        <x:v>0</x:v>
      </x:c>
      <x:c r="K242" t="n">
        <x:v>0</x:v>
      </x:c>
      <x:c r="L242" t="n">
        <x:v>1</x:v>
      </x:c>
      <x:c r="M242" t="n">
        <x:v>5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3</x:v>
      </x:c>
      <x:c r="S242" t="n">
        <x:v>1</x:v>
      </x:c>
      <x:c r="T242" t="n">
        <x:v>1</x:v>
      </x:c>
      <x:c r="U242" t="n">
        <x:v>0</x:v>
      </x:c>
      <x:c r="V242" t="n">
        <x:v>0</x:v>
      </x:c>
      <x:c r="W242" t="n">
        <x:v>0</x:v>
      </x:c>
      <x:c r="X242" t="str">
        <x:v>Crystal Screen</x:v>
      </x:c>
      <x:c r="Y242" t="n">
        <x:v>2</x:v>
      </x:c>
      <x:c r="Z242" t="n">
        <x:v>0</x:v>
      </x:c>
      <x:c r="AA242" t="str">
        <x:v>Windglass Ward</x:v>
      </x:c>
      <x:c r="AB242" t="n">
        <x:v>3</x:v>
      </x:c>
      <x:c r="AC242" t="n">
        <x:v>0</x:v>
      </x:c>
      <x:c r="AD242" t="n">
        <x:v>2</x:v>
      </x:c>
      <x:c r="AE242" t="str">
        <x:v>Default: Windglass Ward. A: Restore 5 Magic Armour. B: Gain 9 Ward Magic Armour (add 9 to current Magic Armour and temporary Maximum Magic Armour) for 2 turns. The next Magic skill before the end of the next turn gains +10 Skill Power.</x:v>
      </x:c>
      <x:c r="AF242" t="str">
        <x:v>2pc: While Magic Armour remains, gain +3 Agility. | 3pc: First magical attack that breaks enemy Magic Armour grants Minor Focus Up until the end of the next turn.</x:v>
      </x:c>
      <x:c r="AG242" t="str">
        <x:v>Ember; Frost; Storm; Venom; Blood; Lunar; Solar</x:v>
      </x:c>
      <x:c r="AH242" t="str">
        <x:v>Restoration repairs only to normal maximum with a 1-turn cooldown. Fortify/Ward heal and overflow with 2-turn cooldowns; dual effects use 3 turns.</x:v>
      </x:c>
    </x:row>
    <x:row r="243">
      <x:c r="A243" t="str">
        <x:v>SHD-035</x:v>
      </x:c>
      <x:c r="B243" t="str">
        <x:v>Regal Crystal Wing Ward</x:v>
      </x:c>
      <x:c r="C243" t="str">
        <x:v>Gold</x:v>
      </x:c>
      <x:c r="D243" t="str">
        <x:v>Shield</x:v>
      </x:c>
      <x:c r="E243" t="str">
        <x:v>Crystalwind Regalia</x:v>
      </x:c>
      <x:c r="F243" t="str">
        <x:v>Light</x:v>
      </x:c>
      <x:c r="G243" t="str">
        <x:v>Fast Mage, Siren, magical Bard</x:v>
      </x:c>
      <x:c r="H243"/>
      <x:c r="I243"/>
      <x:c r="J243" t="n">
        <x:v>0</x:v>
      </x:c>
      <x:c r="K243" t="n">
        <x:v>0</x:v>
      </x:c>
      <x:c r="L243" t="n">
        <x:v>2</x:v>
      </x:c>
      <x:c r="M243" t="n">
        <x:v>8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4</x:v>
      </x:c>
      <x:c r="S243" t="n">
        <x:v>1</x:v>
      </x:c>
      <x:c r="T243" t="n">
        <x:v>2</x:v>
      </x:c>
      <x:c r="U243" t="n">
        <x:v>0</x:v>
      </x:c>
      <x:c r="V243" t="n">
        <x:v>0</x:v>
      </x:c>
      <x:c r="W243" t="n">
        <x:v>0</x:v>
      </x:c>
      <x:c r="X243" t="str">
        <x:v>Crystal Screen</x:v>
      </x:c>
      <x:c r="Y243" t="n">
        <x:v>2</x:v>
      </x:c>
      <x:c r="Z243" t="n">
        <x:v>0</x:v>
      </x:c>
      <x:c r="AA243" t="str">
        <x:v>Windglass Ward</x:v>
      </x:c>
      <x:c r="AB243" t="n">
        <x:v>3</x:v>
      </x:c>
      <x:c r="AC243" t="n">
        <x:v>0</x:v>
      </x:c>
      <x:c r="AD243" t="n">
        <x:v>2</x:v>
      </x:c>
      <x:c r="AE243" t="str">
        <x:v>Default: Windglass Ward. A: Restore 5 Magic Armour. B: Gain 9 Ward Magic Armour (add 9 to current Magic Armour and temporary Maximum Magic Armour) for 2 turns. The next Magic skill before the end of the next turn gains +10 Skill Power.</x:v>
      </x:c>
      <x:c r="AF243" t="str">
        <x:v>2pc: While Magic Armour remains, gain +4 Agility. | 3pc: First magical attack that breaks enemy Magic Armour grants Minor Focus Up until the end of the next turn.</x:v>
      </x:c>
      <x:c r="AG243" t="str">
        <x:v>Ember; Frost; Storm; Venom; Blood; Lunar; Solar</x:v>
      </x:c>
      <x:c r="AH243" t="str">
        <x:v>Restoration repairs only to normal maximum with a 1-turn cooldown. Fortify/Ward heal and overflow with 2-turn cooldowns; dual effects use 3 turns.</x:v>
      </x:c>
    </x:row>
    <x:row r="244">
      <x:c r="A244" t="str">
        <x:v>SHD-036</x:v>
      </x:c>
      <x:c r="B244" t="str">
        <x:v>Mythic Crystal Wing Ward</x:v>
      </x:c>
      <x:c r="C244" t="str">
        <x:v>Orange</x:v>
      </x:c>
      <x:c r="D244" t="str">
        <x:v>Shield</x:v>
      </x:c>
      <x:c r="E244" t="str">
        <x:v>Crystalwind Regalia</x:v>
      </x:c>
      <x:c r="F244" t="str">
        <x:v>Light</x:v>
      </x:c>
      <x:c r="G244" t="str">
        <x:v>Fast Mage, Siren, magical Bard</x:v>
      </x:c>
      <x:c r="H244"/>
      <x:c r="I244"/>
      <x:c r="J244" t="n">
        <x:v>0</x:v>
      </x:c>
      <x:c r="K244" t="n">
        <x:v>0</x:v>
      </x:c>
      <x:c r="L244" t="n">
        <x:v>3</x:v>
      </x:c>
      <x:c r="M244" t="n">
        <x:v>10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5</x:v>
      </x:c>
      <x:c r="S244" t="n">
        <x:v>2</x:v>
      </x:c>
      <x:c r="T244" t="n">
        <x:v>2</x:v>
      </x:c>
      <x:c r="U244" t="n">
        <x:v>0</x:v>
      </x:c>
      <x:c r="V244" t="n">
        <x:v>0</x:v>
      </x:c>
      <x:c r="W244" t="n">
        <x:v>0</x:v>
      </x:c>
      <x:c r="X244" t="str">
        <x:v>Crystal Screen</x:v>
      </x:c>
      <x:c r="Y244" t="n">
        <x:v>2</x:v>
      </x:c>
      <x:c r="Z244" t="n">
        <x:v>0</x:v>
      </x:c>
      <x:c r="AA244" t="str">
        <x:v>Windglass Ward</x:v>
      </x:c>
      <x:c r="AB244" t="n">
        <x:v>3</x:v>
      </x:c>
      <x:c r="AC244" t="n">
        <x:v>0</x:v>
      </x:c>
      <x:c r="AD244" t="n">
        <x:v>2</x:v>
      </x:c>
      <x:c r="AE244" t="str">
        <x:v>Default: Windglass Ward. A: Restore 5 Magic Armour. B: Gain 9 Ward Magic Armour (add 9 to current Magic Armour and temporary Maximum Magic Armour) for 2 turns. The next Magic skill before the end of the next turn gains +10 Skill Power.</x:v>
      </x:c>
      <x:c r="AF244" t="str">
        <x:v>2pc: While Magic Armour remains, gain +5 Agility. | 3pc: First magical attack that breaks enemy Magic Armour grants Minor Focus Up until the end of the next turn.</x:v>
      </x:c>
      <x:c r="AG244" t="str">
        <x:v>Ember; Frost; Storm; Venom; Blood; Lunar; Solar</x:v>
      </x:c>
      <x:c r="AH244" t="str">
        <x:v>Restoration repairs only to normal maximum with a 1-turn cooldown. Fortify/Ward heal and overflow with 2-turn cooldowns; dual effects use 3 turns.</x:v>
      </x:c>
    </x:row>
    <x:row r="245">
      <x:c r="A245" t="str">
        <x:v>SHD-037</x:v>
      </x:c>
      <x:c r="B245" t="str">
        <x:v>Dawnward Shield</x:v>
      </x:c>
      <x:c r="C245" t="str">
        <x:v>Grey</x:v>
      </x:c>
      <x:c r="D245" t="str">
        <x:v>Shield</x:v>
      </x:c>
      <x:c r="E245" t="str">
        <x:v>Dawnfeather Vestments</x:v>
      </x:c>
      <x:c r="F245" t="str">
        <x:v>Medium</x:v>
      </x:c>
      <x:c r="G245" t="str">
        <x:v>Inquisitor, support Bard, defensive Mage</x:v>
      </x:c>
      <x:c r="H245"/>
      <x:c r="I245"/>
      <x:c r="J245" t="n">
        <x:v>0</x:v>
      </x:c>
      <x:c r="K245" t="n">
        <x:v>0</x:v>
      </x:c>
      <x:c r="L245" t="n">
        <x:v>1</x:v>
      </x:c>
      <x:c r="M245" t="n">
        <x:v>2</x:v>
      </x:c>
      <x:c r="N245" t="n">
        <x:v>1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str">
        <x:v>Dawnward Mend</x:v>
      </x:c>
      <x:c r="Y245" t="n">
        <x:v>2</x:v>
      </x:c>
      <x:c r="Z245" t="n">
        <x:v>0</x:v>
      </x:c>
      <x:c r="AA245" t="str">
        <x:v>Solar Aegis</x:v>
      </x:c>
      <x:c r="AB245" t="n">
        <x:v>3</x:v>
      </x:c>
      <x:c r="AC245" t="n">
        <x:v>0</x:v>
      </x:c>
      <x:c r="AD245" t="n">
        <x:v>3</x:v>
      </x:c>
      <x:c r="AE245" t="str">
        <x:v>Default: None. A: Restore 3 Armour and 3 Magic Armour. B: Gain 6 Fortified Armour (add 6 to current Armour and temporary Maximum Armour) and 6 Ward Magic Armour (add 6 to current Magic Armour and temporary Maximum Magic Armour) for 2 turns.</x:v>
      </x:c>
      <x:c r="AF245" t="str">
        <x:v>2pc: First time Health is healed each combat, restore 1 Armour and 1 Magic Armour. | 3pc: Once per combat below 30% Health, restore 1 to the lower protection pool.</x:v>
      </x:c>
      <x:c r="AG245" t="str">
        <x:v>Ember; Frost; Storm; Venom; Blood; Lunar; Solar</x:v>
      </x:c>
      <x:c r="AH245" t="str">
        <x:v>Restoration repairs only to normal maximum with a 1-turn cooldown. Fortify/Ward heal and overflow with 2-turn cooldowns; dual effects use 3 turns.</x:v>
      </x:c>
    </x:row>
    <x:row r="246">
      <x:c r="A246" t="str">
        <x:v>SHD-038</x:v>
      </x:c>
      <x:c r="B246" t="str">
        <x:v>Sturdy Dawnward Shield</x:v>
      </x:c>
      <x:c r="C246" t="str">
        <x:v>Green</x:v>
      </x:c>
      <x:c r="D246" t="str">
        <x:v>Shield</x:v>
      </x:c>
      <x:c r="E246" t="str">
        <x:v>Dawnfeather Vestments</x:v>
      </x:c>
      <x:c r="F246" t="str">
        <x:v>Medium</x:v>
      </x:c>
      <x:c r="G246" t="str">
        <x:v>Inquisitor, support Bard, defensive Mage</x:v>
      </x:c>
      <x:c r="H246"/>
      <x:c r="I246"/>
      <x:c r="J246" t="n">
        <x:v>0</x:v>
      </x:c>
      <x:c r="K246" t="n">
        <x:v>0</x:v>
      </x:c>
      <x:c r="L246" t="n">
        <x:v>2</x:v>
      </x:c>
      <x:c r="M246" t="n">
        <x:v>2</x:v>
      </x:c>
      <x:c r="N246" t="n">
        <x:v>1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1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str">
        <x:v>Dawnward Mend</x:v>
      </x:c>
      <x:c r="Y246" t="n">
        <x:v>2</x:v>
      </x:c>
      <x:c r="Z246" t="n">
        <x:v>0</x:v>
      </x:c>
      <x:c r="AA246" t="str">
        <x:v>Solar Aegis</x:v>
      </x:c>
      <x:c r="AB246" t="n">
        <x:v>3</x:v>
      </x:c>
      <x:c r="AC246" t="n">
        <x:v>0</x:v>
      </x:c>
      <x:c r="AD246" t="n">
        <x:v>3</x:v>
      </x:c>
      <x:c r="AE246" t="str">
        <x:v>Default: Dawnward Mend. A: Restore 3 Armour and 3 Magic Armour. B: Gain 6 Fortified Armour (add 6 to current Armour and temporary Maximum Armour) and 6 Ward Magic Armour (add 6 to current Magic Armour and temporary Maximum Magic Armour) for 2 turns.</x:v>
      </x:c>
      <x:c r="AF246" t="str">
        <x:v>2pc: First time Health is healed each combat, restore 1 Armour and 1 Magic Armour. | 3pc: Once per combat below 30% Health, restore 1 to the lower protection pool.</x:v>
      </x:c>
      <x:c r="AG246" t="str">
        <x:v>Ember; Frost; Storm; Venom; Blood; Lunar; Solar</x:v>
      </x:c>
      <x:c r="AH246" t="str">
        <x:v>Restoration repairs only to normal maximum with a 1-turn cooldown. Fortify/Ward heal and overflow with 2-turn cooldowns; dual effects use 3 turns.</x:v>
      </x:c>
    </x:row>
    <x:row r="247">
      <x:c r="A247" t="str">
        <x:v>SHD-039</x:v>
      </x:c>
      <x:c r="B247" t="str">
        <x:v>Tempered Dawnward Shield</x:v>
      </x:c>
      <x:c r="C247" t="str">
        <x:v>Blue</x:v>
      </x:c>
      <x:c r="D247" t="str">
        <x:v>Shield</x:v>
      </x:c>
      <x:c r="E247" t="str">
        <x:v>Dawnfeather Vestments</x:v>
      </x:c>
      <x:c r="F247" t="str">
        <x:v>Medium</x:v>
      </x:c>
      <x:c r="G247" t="str">
        <x:v>Inquisitor, support Bard, defensive Mage</x:v>
      </x:c>
      <x:c r="H247"/>
      <x:c r="I247"/>
      <x:c r="J247" t="n">
        <x:v>0</x:v>
      </x:c>
      <x:c r="K247" t="n">
        <x:v>0</x:v>
      </x:c>
      <x:c r="L247" t="n">
        <x:v>2</x:v>
      </x:c>
      <x:c r="M247" t="n">
        <x:v>4</x:v>
      </x:c>
      <x:c r="N247" t="n">
        <x:v>2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1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str">
        <x:v>Dawnward Mend</x:v>
      </x:c>
      <x:c r="Y247" t="n">
        <x:v>2</x:v>
      </x:c>
      <x:c r="Z247" t="n">
        <x:v>0</x:v>
      </x:c>
      <x:c r="AA247" t="str">
        <x:v>Solar Aegis</x:v>
      </x:c>
      <x:c r="AB247" t="n">
        <x:v>3</x:v>
      </x:c>
      <x:c r="AC247" t="n">
        <x:v>0</x:v>
      </x:c>
      <x:c r="AD247" t="n">
        <x:v>3</x:v>
      </x:c>
      <x:c r="AE247" t="str">
        <x:v>Default: Dawnward Mend. A: Restore 3 Armour and 3 Magic Armour. B: Gain 6 Fortified Armour (add 6 to current Armour and temporary Maximum Armour) and 6 Ward Magic Armour (add 6 to current Magic Armour and temporary Maximum Magic Armour) for 2 turns.</x:v>
      </x:c>
      <x:c r="AF247" t="str">
        <x:v>2pc: First time Health is healed each combat, restore 2 Armour and 2 Magic Armour. | 3pc: Once per combat below 30% Health, restore 2 to the lower protection pool.</x:v>
      </x:c>
      <x:c r="AG247" t="str">
        <x:v>Ember; Frost; Storm; Venom; Blood; Lunar; Solar</x:v>
      </x:c>
      <x:c r="AH247" t="str">
        <x:v>Restoration repairs only to normal maximum with a 1-turn cooldown. Fortify/Ward heal and overflow with 2-turn cooldowns; dual effects use 3 turns.</x:v>
      </x:c>
    </x:row>
    <x:row r="248">
      <x:c r="A248" t="str">
        <x:v>SHD-040</x:v>
      </x:c>
      <x:c r="B248" t="str">
        <x:v>Masterwork Dawnward Shield</x:v>
      </x:c>
      <x:c r="C248" t="str">
        <x:v>Purple</x:v>
      </x:c>
      <x:c r="D248" t="str">
        <x:v>Shield</x:v>
      </x:c>
      <x:c r="E248" t="str">
        <x:v>Dawnfeather Vestments</x:v>
      </x:c>
      <x:c r="F248" t="str">
        <x:v>Medium</x:v>
      </x:c>
      <x:c r="G248" t="str">
        <x:v>Inquisitor, support Bard, defensive Mage</x:v>
      </x:c>
      <x:c r="H248"/>
      <x:c r="I248"/>
      <x:c r="J248" t="n">
        <x:v>0</x:v>
      </x:c>
      <x:c r="K248" t="n">
        <x:v>0</x:v>
      </x:c>
      <x:c r="L248" t="n">
        <x:v>3</x:v>
      </x:c>
      <x:c r="M248" t="n">
        <x:v>5</x:v>
      </x:c>
      <x:c r="N248" t="n">
        <x:v>3</x:v>
      </x:c>
      <x:c r="O248" t="n">
        <x:v>0</x:v>
      </x:c>
      <x:c r="P248" t="n">
        <x:v>0</x:v>
      </x:c>
      <x:c r="Q248" t="n">
        <x:v>1</x:v>
      </x:c>
      <x:c r="R248" t="n">
        <x:v>0</x:v>
      </x:c>
      <x:c r="S248" t="n">
        <x:v>1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str">
        <x:v>Dawnward Mend</x:v>
      </x:c>
      <x:c r="Y248" t="n">
        <x:v>2</x:v>
      </x:c>
      <x:c r="Z248" t="n">
        <x:v>0</x:v>
      </x:c>
      <x:c r="AA248" t="str">
        <x:v>Solar Aegis</x:v>
      </x:c>
      <x:c r="AB248" t="n">
        <x:v>3</x:v>
      </x:c>
      <x:c r="AC248" t="n">
        <x:v>0</x:v>
      </x:c>
      <x:c r="AD248" t="n">
        <x:v>3</x:v>
      </x:c>
      <x:c r="AE248" t="str">
        <x:v>Default: Solar Aegis. A: Restore 3 Armour and 3 Magic Armour. B: Gain 6 Fortified Armour (add 6 to current Armour and temporary Maximum Armour) and 6 Ward Magic Armour (add 6 to current Magic Armour and temporary Maximum Magic Armour) for 2 turns.</x:v>
      </x:c>
      <x:c r="AF248" t="str">
        <x:v>2pc: First time Health is healed each combat, restore 2 Armour and 2 Magic Armour. | 3pc: Once per combat below 30% Health, restore 2 to the lower protection pool.</x:v>
      </x:c>
      <x:c r="AG248" t="str">
        <x:v>Ember; Frost; Storm; Venom; Blood; Lunar; Solar</x:v>
      </x:c>
      <x:c r="AH248" t="str">
        <x:v>Restoration repairs only to normal maximum with a 1-turn cooldown. Fortify/Ward heal and overflow with 2-turn cooldowns; dual effects use 3 turns.</x:v>
      </x:c>
    </x:row>
    <x:row r="249">
      <x:c r="A249" t="str">
        <x:v>SHD-041</x:v>
      </x:c>
      <x:c r="B249" t="str">
        <x:v>Regal Dawnward Shield</x:v>
      </x:c>
      <x:c r="C249" t="str">
        <x:v>Gold</x:v>
      </x:c>
      <x:c r="D249" t="str">
        <x:v>Shield</x:v>
      </x:c>
      <x:c r="E249" t="str">
        <x:v>Dawnfeather Vestments</x:v>
      </x:c>
      <x:c r="F249" t="str">
        <x:v>Medium</x:v>
      </x:c>
      <x:c r="G249" t="str">
        <x:v>Inquisitor, support Bard, defensive Mage</x:v>
      </x:c>
      <x:c r="H249"/>
      <x:c r="I249"/>
      <x:c r="J249" t="n">
        <x:v>0</x:v>
      </x:c>
      <x:c r="K249" t="n">
        <x:v>0</x:v>
      </x:c>
      <x:c r="L249" t="n">
        <x:v>5</x:v>
      </x:c>
      <x:c r="M249" t="n">
        <x:v>7</x:v>
      </x:c>
      <x:c r="N249" t="n">
        <x:v>4</x:v>
      </x:c>
      <x:c r="O249" t="n">
        <x:v>0</x:v>
      </x:c>
      <x:c r="P249" t="n">
        <x:v>0</x:v>
      </x:c>
      <x:c r="Q249" t="n">
        <x:v>1</x:v>
      </x:c>
      <x:c r="R249" t="n">
        <x:v>0</x:v>
      </x:c>
      <x:c r="S249" t="n">
        <x:v>2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str">
        <x:v>Dawnward Mend</x:v>
      </x:c>
      <x:c r="Y249" t="n">
        <x:v>2</x:v>
      </x:c>
      <x:c r="Z249" t="n">
        <x:v>0</x:v>
      </x:c>
      <x:c r="AA249" t="str">
        <x:v>Solar Aegis</x:v>
      </x:c>
      <x:c r="AB249" t="n">
        <x:v>3</x:v>
      </x:c>
      <x:c r="AC249" t="n">
        <x:v>0</x:v>
      </x:c>
      <x:c r="AD249" t="n">
        <x:v>3</x:v>
      </x:c>
      <x:c r="AE249" t="str">
        <x:v>Default: Solar Aegis. A: Restore 3 Armour and 3 Magic Armour. B: Gain 6 Fortified Armour (add 6 to current Armour and temporary Maximum Armour) and 6 Ward Magic Armour (add 6 to current Magic Armour and temporary Maximum Magic Armour) for 2 turns.</x:v>
      </x:c>
      <x:c r="AF249" t="str">
        <x:v>2pc: First time Health is healed each combat, restore 2 Armour and 2 Magic Armour. | 3pc: Once per combat below 30% Health, restore 3 to the lower protection pool.</x:v>
      </x:c>
      <x:c r="AG249" t="str">
        <x:v>Ember; Frost; Storm; Venom; Blood; Lunar; Solar</x:v>
      </x:c>
      <x:c r="AH249" t="str">
        <x:v>Restoration repairs only to normal maximum with a 1-turn cooldown. Fortify/Ward heal and overflow with 2-turn cooldowns; dual effects use 3 turns.</x:v>
      </x:c>
    </x:row>
    <x:row r="250">
      <x:c r="A250" t="str">
        <x:v>SHD-042</x:v>
      </x:c>
      <x:c r="B250" t="str">
        <x:v>Mythic Dawnward Shield</x:v>
      </x:c>
      <x:c r="C250" t="str">
        <x:v>Orange</x:v>
      </x:c>
      <x:c r="D250" t="str">
        <x:v>Shield</x:v>
      </x:c>
      <x:c r="E250" t="str">
        <x:v>Dawnfeather Vestments</x:v>
      </x:c>
      <x:c r="F250" t="str">
        <x:v>Medium</x:v>
      </x:c>
      <x:c r="G250" t="str">
        <x:v>Inquisitor, support Bard, defensive Mage</x:v>
      </x:c>
      <x:c r="H250"/>
      <x:c r="I250"/>
      <x:c r="J250" t="n">
        <x:v>0</x:v>
      </x:c>
      <x:c r="K250" t="n">
        <x:v>0</x:v>
      </x:c>
      <x:c r="L250" t="n">
        <x:v>6</x:v>
      </x:c>
      <x:c r="M250" t="n">
        <x:v>10</x:v>
      </x:c>
      <x:c r="N250" t="n">
        <x:v>5</x:v>
      </x:c>
      <x:c r="O250" t="n">
        <x:v>0</x:v>
      </x:c>
      <x:c r="P250" t="n">
        <x:v>0</x:v>
      </x:c>
      <x:c r="Q250" t="n">
        <x:v>2</x:v>
      </x:c>
      <x:c r="R250" t="n">
        <x:v>0</x:v>
      </x:c>
      <x:c r="S250" t="n">
        <x:v>2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str">
        <x:v>Dawnward Mend</x:v>
      </x:c>
      <x:c r="Y250" t="n">
        <x:v>2</x:v>
      </x:c>
      <x:c r="Z250" t="n">
        <x:v>0</x:v>
      </x:c>
      <x:c r="AA250" t="str">
        <x:v>Solar Aegis</x:v>
      </x:c>
      <x:c r="AB250" t="n">
        <x:v>3</x:v>
      </x:c>
      <x:c r="AC250" t="n">
        <x:v>0</x:v>
      </x:c>
      <x:c r="AD250" t="n">
        <x:v>3</x:v>
      </x:c>
      <x:c r="AE250" t="str">
        <x:v>Default: Solar Aegis. A: Restore 3 Armour and 3 Magic Armour. B: Gain 6 Fortified Armour (add 6 to current Armour and temporary Maximum Armour) and 6 Ward Magic Armour (add 6 to current Magic Armour and temporary Maximum Magic Armour) for 2 turns.</x:v>
      </x:c>
      <x:c r="AF250" t="str">
        <x:v>2pc: First time Health is healed each combat, restore 2 Armour and 2 Magic Armour. | 3pc: Once per combat below 30% Health, restore 4 to the lower protection pool.</x:v>
      </x:c>
      <x:c r="AG250" t="str">
        <x:v>Ember; Frost; Storm; Venom; Blood; Lunar; Solar</x:v>
      </x:c>
      <x:c r="AH250" t="str">
        <x:v>Restoration repairs only to normal maximum with a 1-turn cooldown. Fortify/Ward heal and overflow with 2-turn cooldowns; dual effects use 3 turns.</x:v>
      </x:c>
    </x:row>
    <x:row r="251">
      <x:c r="A251" t="str">
        <x:v>SHD-043</x:v>
      </x:c>
      <x:c r="B251" t="str">
        <x:v>Nightward Shield</x:v>
      </x:c>
      <x:c r="C251" t="str">
        <x:v>Grey</x:v>
      </x:c>
      <x:c r="D251" t="str">
        <x:v>Shield</x:v>
      </x:c>
      <x:c r="E251" t="str">
        <x:v>Nightweave Vestments</x:v>
      </x:c>
      <x:c r="F251" t="str">
        <x:v>Medium</x:v>
      </x:c>
      <x:c r="G251" t="str">
        <x:v>Siren, Mage, Bard, anti-ailment build</x:v>
      </x:c>
      <x:c r="H251"/>
      <x:c r="I251"/>
      <x:c r="J251" t="n">
        <x:v>0</x:v>
      </x:c>
      <x:c r="K251" t="n">
        <x:v>0</x:v>
      </x:c>
      <x:c r="L251" t="n">
        <x:v>0</x:v>
      </x:c>
      <x:c r="M251" t="n">
        <x:v>3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1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str">
        <x:v>Moonward</x:v>
      </x:c>
      <x:c r="Y251" t="n">
        <x:v>2</x:v>
      </x:c>
      <x:c r="Z251" t="n">
        <x:v>0</x:v>
      </x:c>
      <x:c r="AA251" t="str">
        <x:v>Night Aegis</x:v>
      </x:c>
      <x:c r="AB251" t="n">
        <x:v>3</x:v>
      </x:c>
      <x:c r="AC251" t="n">
        <x:v>0</x:v>
      </x:c>
      <x:c r="AD251" t="n">
        <x:v>2</x:v>
      </x:c>
      <x:c r="AE251" t="str">
        <x:v>Default: None. A: Restore 5 Magic Armour. B: Gain 9 Ward Magic Armour (add 9 to current Magic Armour and temporary Maximum Magic Armour) and reduce hostile magical ailment application chance by 10 percentage points for 2 turns.</x:v>
      </x:c>
      <x:c r="AF251" t="str">
        <x:v>2pc: After Magic Armour is depleted, hostile magical ailment chance is reduced by 5 percentage points. | 3pc: First magical ailment successfully applied each combat has its duration reduced by 1 turn, minimum 1.</x:v>
      </x:c>
      <x:c r="AG251" t="str">
        <x:v>Ember; Frost; Storm; Venom; Blood; Lunar; Solar</x:v>
      </x:c>
      <x:c r="AH251" t="str">
        <x:v>Restoration repairs only to normal maximum with a 1-turn cooldown. Fortify/Ward heal and overflow with 2-turn cooldowns; dual effects use 3 turns.</x:v>
      </x:c>
    </x:row>
    <x:row r="252">
      <x:c r="A252" t="str">
        <x:v>SHD-044</x:v>
      </x:c>
      <x:c r="B252" t="str">
        <x:v>Sturdy Nightward Shield</x:v>
      </x:c>
      <x:c r="C252" t="str">
        <x:v>Green</x:v>
      </x:c>
      <x:c r="D252" t="str">
        <x:v>Shield</x:v>
      </x:c>
      <x:c r="E252" t="str">
        <x:v>Nightweave Vestments</x:v>
      </x:c>
      <x:c r="F252" t="str">
        <x:v>Medium</x:v>
      </x:c>
      <x:c r="G252" t="str">
        <x:v>Siren, Mage, Bard, anti-ailment build</x:v>
      </x:c>
      <x:c r="H252"/>
      <x:c r="I252"/>
      <x:c r="J252" t="n">
        <x:v>0</x:v>
      </x:c>
      <x:c r="K252" t="n">
        <x:v>0</x:v>
      </x:c>
      <x:c r="L252" t="n">
        <x:v>1</x:v>
      </x:c>
      <x:c r="M252" t="n">
        <x:v>3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1</x:v>
      </x:c>
      <x:c r="S252" t="n">
        <x:v>1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str">
        <x:v>Moonward</x:v>
      </x:c>
      <x:c r="Y252" t="n">
        <x:v>2</x:v>
      </x:c>
      <x:c r="Z252" t="n">
        <x:v>0</x:v>
      </x:c>
      <x:c r="AA252" t="str">
        <x:v>Night Aegis</x:v>
      </x:c>
      <x:c r="AB252" t="n">
        <x:v>3</x:v>
      </x:c>
      <x:c r="AC252" t="n">
        <x:v>0</x:v>
      </x:c>
      <x:c r="AD252" t="n">
        <x:v>2</x:v>
      </x:c>
      <x:c r="AE252" t="str">
        <x:v>Default: Moonward. A: Restore 5 Magic Armour. B: Gain 9 Ward Magic Armour (add 9 to current Magic Armour and temporary Maximum Magic Armour) and reduce hostile magical ailment application chance by 10 percentage points for 2 turns.</x:v>
      </x:c>
      <x:c r="AF252" t="str">
        <x:v>2pc: After Magic Armour is depleted, hostile magical ailment chance is reduced by 5 percentage points. | 3pc: First magical ailment successfully applied each combat has its duration reduced by 1 turn, minimum 1.</x:v>
      </x:c>
      <x:c r="AG252" t="str">
        <x:v>Ember; Frost; Storm; Venom; Blood; Lunar; Solar</x:v>
      </x:c>
      <x:c r="AH252" t="str">
        <x:v>Restoration repairs only to normal maximum with a 1-turn cooldown. Fortify/Ward heal and overflow with 2-turn cooldowns; dual effects use 3 turns.</x:v>
      </x:c>
    </x:row>
    <x:row r="253">
      <x:c r="A253" t="str">
        <x:v>SHD-045</x:v>
      </x:c>
      <x:c r="B253" t="str">
        <x:v>Tempered Nightward Shield</x:v>
      </x:c>
      <x:c r="C253" t="str">
        <x:v>Blue</x:v>
      </x:c>
      <x:c r="D253" t="str">
        <x:v>Shield</x:v>
      </x:c>
      <x:c r="E253" t="str">
        <x:v>Nightweave Vestments</x:v>
      </x:c>
      <x:c r="F253" t="str">
        <x:v>Medium</x:v>
      </x:c>
      <x:c r="G253" t="str">
        <x:v>Siren, Mage, Bard, anti-ailment build</x:v>
      </x:c>
      <x:c r="H253"/>
      <x:c r="I253"/>
      <x:c r="J253" t="n">
        <x:v>0</x:v>
      </x:c>
      <x:c r="K253" t="n">
        <x:v>0</x:v>
      </x:c>
      <x:c r="L253" t="n">
        <x:v>1</x:v>
      </x:c>
      <x:c r="M253" t="n">
        <x:v>5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1</x:v>
      </x:c>
      <x:c r="S253" t="n">
        <x:v>2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str">
        <x:v>Moonward</x:v>
      </x:c>
      <x:c r="Y253" t="n">
        <x:v>2</x:v>
      </x:c>
      <x:c r="Z253" t="n">
        <x:v>0</x:v>
      </x:c>
      <x:c r="AA253" t="str">
        <x:v>Night Aegis</x:v>
      </x:c>
      <x:c r="AB253" t="n">
        <x:v>3</x:v>
      </x:c>
      <x:c r="AC253" t="n">
        <x:v>0</x:v>
      </x:c>
      <x:c r="AD253" t="n">
        <x:v>2</x:v>
      </x:c>
      <x:c r="AE253" t="str">
        <x:v>Default: Moonward. A: Restore 5 Magic Armour. B: Gain 9 Ward Magic Armour (add 9 to current Magic Armour and temporary Maximum Magic Armour) and reduce hostile magical ailment application chance by 10 percentage points for 2 turns.</x:v>
      </x:c>
      <x:c r="AF253" t="str">
        <x:v>2pc: After Magic Armour is depleted, hostile magical ailment chance is reduced by 10 percentage points. | 3pc: First magical ailment successfully applied each combat has its duration reduced by 1 turn, minimum 1.</x:v>
      </x:c>
      <x:c r="AG253" t="str">
        <x:v>Ember; Frost; Storm; Venom; Blood; Lunar; Solar</x:v>
      </x:c>
      <x:c r="AH253" t="str">
        <x:v>Restoration repairs only to normal maximum with a 1-turn cooldown. Fortify/Ward heal and overflow with 2-turn cooldowns; dual effects use 3 turns.</x:v>
      </x:c>
    </x:row>
    <x:row r="254">
      <x:c r="A254" t="str">
        <x:v>SHD-046</x:v>
      </x:c>
      <x:c r="B254" t="str">
        <x:v>Masterwork Nightward Shield</x:v>
      </x:c>
      <x:c r="C254" t="str">
        <x:v>Purple</x:v>
      </x:c>
      <x:c r="D254" t="str">
        <x:v>Shield</x:v>
      </x:c>
      <x:c r="E254" t="str">
        <x:v>Nightweave Vestments</x:v>
      </x:c>
      <x:c r="F254" t="str">
        <x:v>Medium</x:v>
      </x:c>
      <x:c r="G254" t="str">
        <x:v>Siren, Mage, Bard, anti-ailment build</x:v>
      </x:c>
      <x:c r="H254"/>
      <x:c r="I254"/>
      <x:c r="J254" t="n">
        <x:v>0</x:v>
      </x:c>
      <x:c r="K254" t="n">
        <x:v>0</x:v>
      </x:c>
      <x:c r="L254" t="n">
        <x:v>2</x:v>
      </x:c>
      <x:c r="M254" t="n">
        <x:v>6</x:v>
      </x:c>
      <x:c r="N254" t="n">
        <x:v>1</x:v>
      </x:c>
      <x:c r="O254" t="n">
        <x:v>0</x:v>
      </x:c>
      <x:c r="P254" t="n">
        <x:v>0</x:v>
      </x:c>
      <x:c r="Q254" t="n">
        <x:v>0</x:v>
      </x:c>
      <x:c r="R254" t="n">
        <x:v>1</x:v>
      </x:c>
      <x:c r="S254" t="n">
        <x:v>3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str">
        <x:v>Moonward</x:v>
      </x:c>
      <x:c r="Y254" t="n">
        <x:v>2</x:v>
      </x:c>
      <x:c r="Z254" t="n">
        <x:v>0</x:v>
      </x:c>
      <x:c r="AA254" t="str">
        <x:v>Night Aegis</x:v>
      </x:c>
      <x:c r="AB254" t="n">
        <x:v>3</x:v>
      </x:c>
      <x:c r="AC254" t="n">
        <x:v>0</x:v>
      </x:c>
      <x:c r="AD254" t="n">
        <x:v>2</x:v>
      </x:c>
      <x:c r="AE254" t="str">
        <x:v>Default: Night Aegis. A: Restore 5 Magic Armour. B: Gain 9 Ward Magic Armour (add 9 to current Magic Armour and temporary Maximum Magic Armour) and reduce hostile magical ailment application chance by 10 percentage points for 2 turns.</x:v>
      </x:c>
      <x:c r="AF254" t="str">
        <x:v>2pc: After Magic Armour is depleted, hostile magical ailment chance is reduced by 10 percentage points. | 3pc: First magical ailment successfully applied each combat has its duration reduced by 1 turn, minimum 1.</x:v>
      </x:c>
      <x:c r="AG254" t="str">
        <x:v>Ember; Frost; Storm; Venom; Blood; Lunar; Solar</x:v>
      </x:c>
      <x:c r="AH254" t="str">
        <x:v>Restoration repairs only to normal maximum with a 1-turn cooldown. Fortify/Ward heal and overflow with 2-turn cooldowns; dual effects use 3 turns.</x:v>
      </x:c>
    </x:row>
    <x:row r="255">
      <x:c r="A255" t="str">
        <x:v>SHD-047</x:v>
      </x:c>
      <x:c r="B255" t="str">
        <x:v>Regal Nightward Shield</x:v>
      </x:c>
      <x:c r="C255" t="str">
        <x:v>Gold</x:v>
      </x:c>
      <x:c r="D255" t="str">
        <x:v>Shield</x:v>
      </x:c>
      <x:c r="E255" t="str">
        <x:v>Nightweave Vestments</x:v>
      </x:c>
      <x:c r="F255" t="str">
        <x:v>Medium</x:v>
      </x:c>
      <x:c r="G255" t="str">
        <x:v>Siren, Mage, Bard, anti-ailment build</x:v>
      </x:c>
      <x:c r="H255"/>
      <x:c r="I255"/>
      <x:c r="J255" t="n">
        <x:v>0</x:v>
      </x:c>
      <x:c r="K255" t="n">
        <x:v>0</x:v>
      </x:c>
      <x:c r="L255" t="n">
        <x:v>3</x:v>
      </x:c>
      <x:c r="M255" t="n">
        <x:v>9</x:v>
      </x:c>
      <x:c r="N255" t="n">
        <x:v>1</x:v>
      </x:c>
      <x:c r="O255" t="n">
        <x:v>0</x:v>
      </x:c>
      <x:c r="P255" t="n">
        <x:v>0</x:v>
      </x:c>
      <x:c r="Q255" t="n">
        <x:v>0</x:v>
      </x:c>
      <x:c r="R255" t="n">
        <x:v>2</x:v>
      </x:c>
      <x:c r="S255" t="n">
        <x:v>4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str">
        <x:v>Moonward</x:v>
      </x:c>
      <x:c r="Y255" t="n">
        <x:v>2</x:v>
      </x:c>
      <x:c r="Z255" t="n">
        <x:v>0</x:v>
      </x:c>
      <x:c r="AA255" t="str">
        <x:v>Night Aegis</x:v>
      </x:c>
      <x:c r="AB255" t="n">
        <x:v>3</x:v>
      </x:c>
      <x:c r="AC255" t="n">
        <x:v>0</x:v>
      </x:c>
      <x:c r="AD255" t="n">
        <x:v>2</x:v>
      </x:c>
      <x:c r="AE255" t="str">
        <x:v>Default: Night Aegis. A: Restore 5 Magic Armour. B: Gain 9 Ward Magic Armour (add 9 to current Magic Armour and temporary Maximum Magic Armour) and reduce hostile magical ailment application chance by 10 percentage points for 2 turns.</x:v>
      </x:c>
      <x:c r="AF255" t="str">
        <x:v>2pc: After Magic Armour is depleted, hostile magical ailment chance is reduced by 15 percentage points. | 3pc: First magical ailment successfully applied each combat has its duration reduced by 1 turn, minimum 1.</x:v>
      </x:c>
      <x:c r="AG255" t="str">
        <x:v>Ember; Frost; Storm; Venom; Blood; Lunar; Solar</x:v>
      </x:c>
      <x:c r="AH255" t="str">
        <x:v>Restoration repairs only to normal maximum with a 1-turn cooldown. Fortify/Ward heal and overflow with 2-turn cooldowns; dual effects use 3 turns.</x:v>
      </x:c>
    </x:row>
    <x:row r="256">
      <x:c r="A256" t="str">
        <x:v>SHD-048</x:v>
      </x:c>
      <x:c r="B256" t="str">
        <x:v>Mythic Nightward Shield</x:v>
      </x:c>
      <x:c r="C256" t="str">
        <x:v>Orange</x:v>
      </x:c>
      <x:c r="D256" t="str">
        <x:v>Shield</x:v>
      </x:c>
      <x:c r="E256" t="str">
        <x:v>Nightweave Vestments</x:v>
      </x:c>
      <x:c r="F256" t="str">
        <x:v>Medium</x:v>
      </x:c>
      <x:c r="G256" t="str">
        <x:v>Siren, Mage, Bard, anti-ailment build</x:v>
      </x:c>
      <x:c r="H256"/>
      <x:c r="I256"/>
      <x:c r="J256" t="n">
        <x:v>0</x:v>
      </x:c>
      <x:c r="K256" t="n">
        <x:v>0</x:v>
      </x:c>
      <x:c r="L256" t="n">
        <x:v>4</x:v>
      </x:c>
      <x:c r="M256" t="n">
        <x:v>12</x:v>
      </x:c>
      <x:c r="N256" t="n">
        <x:v>2</x:v>
      </x:c>
      <x:c r="O256" t="n">
        <x:v>0</x:v>
      </x:c>
      <x:c r="P256" t="n">
        <x:v>0</x:v>
      </x:c>
      <x:c r="Q256" t="n">
        <x:v>0</x:v>
      </x:c>
      <x:c r="R256" t="n">
        <x:v>2</x:v>
      </x:c>
      <x:c r="S256" t="n">
        <x:v>5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str">
        <x:v>Moonward</x:v>
      </x:c>
      <x:c r="Y256" t="n">
        <x:v>2</x:v>
      </x:c>
      <x:c r="Z256" t="n">
        <x:v>0</x:v>
      </x:c>
      <x:c r="AA256" t="str">
        <x:v>Night Aegis</x:v>
      </x:c>
      <x:c r="AB256" t="n">
        <x:v>3</x:v>
      </x:c>
      <x:c r="AC256" t="n">
        <x:v>0</x:v>
      </x:c>
      <x:c r="AD256" t="n">
        <x:v>2</x:v>
      </x:c>
      <x:c r="AE256" t="str">
        <x:v>Default: Night Aegis. A: Restore 5 Magic Armour. B: Gain 9 Ward Magic Armour (add 9 to current Magic Armour and temporary Maximum Magic Armour) and reduce hostile magical ailment application chance by 10 percentage points for 2 turns.</x:v>
      </x:c>
      <x:c r="AF256" t="str">
        <x:v>2pc: After Magic Armour is depleted, hostile magical ailment chance is reduced by 20 percentage points. | 3pc: First magical ailment successfully applied each combat has its duration reduced by 1 turn, minimum 1.</x:v>
      </x:c>
      <x:c r="AG256" t="str">
        <x:v>Ember; Frost; Storm; Venom; Blood; Lunar; Solar</x:v>
      </x:c>
      <x:c r="AH256" t="str">
        <x:v>Restoration repairs only to normal maximum with a 1-turn cooldown. Fortify/Ward heal and overflow with 2-turn cooldowns; dual effects use 3 turns.</x:v>
      </x:c>
    </x:row>
    <x:row r="257">
      <x:c r="A257" t="str">
        <x:v>ACC-001</x:v>
      </x:c>
      <x:c r="B257" t="str">
        <x:v>Fleetstep Anklet</x:v>
      </x:c>
      <x:c r="C257" t="str">
        <x:v>Grey</x:v>
      </x:c>
      <x:c r="D257" t="str">
        <x:v>Anklet</x:v>
      </x:c>
      <x:c r="E257" t="str">
        <x:v>Fleetstep Anklet</x:v>
      </x:c>
      <x:c r="F257"/>
      <x:c r="G257"/>
      <x:c r="H257"/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1</x:v>
      </x:c>
      <x:c r="U257" t="n">
        <x:v>0</x:v>
      </x:c>
      <x:c r="V257" t="n">
        <x:v>0</x:v>
      </x:c>
      <x:c r="W257" t="n">
        <x:v>0</x:v>
      </x:c>
      <x:c r="X257" t="str">
        <x:v>Quickstep</x:v>
      </x:c>
      <x:c r="Y257" t="n">
        <x:v>2</x:v>
      </x:c>
      <x:c r="Z257" t="n">
        <x:v>0</x:v>
      </x:c>
      <x:c r="AA257" t="str">
        <x:v>Slipstream</x:v>
      </x:c>
      <x:c r="AB257" t="n">
        <x:v>3</x:v>
      </x:c>
      <x:c r="AC257" t="n">
        <x:v>0</x:v>
      </x:c>
      <x:c r="AD257" t="n">
        <x:v>1</x:v>
      </x:c>
      <x:c r="AE257" t="str">
        <x:v>Default: None. A: Gain Minor Agility Up for 2 turns. B: Gain Moderate Agility Up for 1 turn.</x:v>
      </x:c>
      <x:c r="AF257"/>
      <x:c r="AG257" t="str">
        <x:v>Ailment Resistance: 0%</x:v>
      </x:c>
      <x:c r="AH257" t="str">
        <x:v>Restoration repairs only to normal maximum with a 1-turn cooldown. Fortify/Ward heal and overflow with 2-turn cooldowns; dual effects use 3 turns.</x:v>
      </x:c>
    </x:row>
    <x:row r="258">
      <x:c r="A258" t="str">
        <x:v>ACC-002</x:v>
      </x:c>
      <x:c r="B258" t="str">
        <x:v>Sturdy Fleetstep Anklet</x:v>
      </x:c>
      <x:c r="C258" t="str">
        <x:v>Green</x:v>
      </x:c>
      <x:c r="D258" t="str">
        <x:v>Anklet</x:v>
      </x:c>
      <x:c r="E258" t="str">
        <x:v>Fleetstep Anklet</x:v>
      </x:c>
      <x:c r="F258"/>
      <x:c r="G258"/>
      <x:c r="H258"/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1</x:v>
      </x:c>
      <x:c r="U258" t="n">
        <x:v>0</x:v>
      </x:c>
      <x:c r="V258" t="n">
        <x:v>0</x:v>
      </x:c>
      <x:c r="W258" t="n">
        <x:v>0</x:v>
      </x:c>
      <x:c r="X258" t="str">
        <x:v>Quickstep</x:v>
      </x:c>
      <x:c r="Y258" t="n">
        <x:v>2</x:v>
      </x:c>
      <x:c r="Z258" t="n">
        <x:v>0</x:v>
      </x:c>
      <x:c r="AA258" t="str">
        <x:v>Slipstream</x:v>
      </x:c>
      <x:c r="AB258" t="n">
        <x:v>3</x:v>
      </x:c>
      <x:c r="AC258" t="n">
        <x:v>0</x:v>
      </x:c>
      <x:c r="AD258" t="n">
        <x:v>1</x:v>
      </x:c>
      <x:c r="AE258" t="str">
        <x:v>Default: Quickstep. A: Gain Minor Agility Up for 2 turns. B: Gain Moderate Agility Up for 1 turn.</x:v>
      </x:c>
      <x:c r="AF258"/>
      <x:c r="AG258" t="str">
        <x:v>Ailment Resistance: 0%</x:v>
      </x:c>
      <x:c r="AH258" t="str">
        <x:v>Restoration repairs only to normal maximum with a 1-turn cooldown. Fortify/Ward heal and overflow with 2-turn cooldowns; dual effects use 3 turns.</x:v>
      </x:c>
    </x:row>
    <x:row r="259">
      <x:c r="A259" t="str">
        <x:v>ACC-003</x:v>
      </x:c>
      <x:c r="B259" t="str">
        <x:v>Tempered Fleetstep Anklet</x:v>
      </x:c>
      <x:c r="C259" t="str">
        <x:v>Blue</x:v>
      </x:c>
      <x:c r="D259" t="str">
        <x:v>Anklet</x:v>
      </x:c>
      <x:c r="E259" t="str">
        <x:v>Fleetstep Anklet</x:v>
      </x:c>
      <x:c r="F259"/>
      <x:c r="G259"/>
      <x:c r="H259"/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1</x:v>
      </x:c>
      <x:c r="Q259" t="n">
        <x:v>0</x:v>
      </x:c>
      <x:c r="R259" t="n">
        <x:v>0</x:v>
      </x:c>
      <x:c r="S259" t="n">
        <x:v>0</x:v>
      </x:c>
      <x:c r="T259" t="n">
        <x:v>1</x:v>
      </x:c>
      <x:c r="U259" t="n">
        <x:v>0</x:v>
      </x:c>
      <x:c r="V259" t="n">
        <x:v>0</x:v>
      </x:c>
      <x:c r="W259" t="n">
        <x:v>0</x:v>
      </x:c>
      <x:c r="X259" t="str">
        <x:v>Quickstep</x:v>
      </x:c>
      <x:c r="Y259" t="n">
        <x:v>2</x:v>
      </x:c>
      <x:c r="Z259" t="n">
        <x:v>0</x:v>
      </x:c>
      <x:c r="AA259" t="str">
        <x:v>Slipstream</x:v>
      </x:c>
      <x:c r="AB259" t="n">
        <x:v>3</x:v>
      </x:c>
      <x:c r="AC259" t="n">
        <x:v>0</x:v>
      </x:c>
      <x:c r="AD259" t="n">
        <x:v>1</x:v>
      </x:c>
      <x:c r="AE259" t="str">
        <x:v>Default: Quickstep. A: Gain Minor Agility Up for 2 turns. B: Gain Moderate Agility Up for 1 turn.</x:v>
      </x:c>
      <x:c r="AF259"/>
      <x:c r="AG259" t="str">
        <x:v>Ailment Resistance: 0%</x:v>
      </x:c>
      <x:c r="AH259" t="str">
        <x:v>Restoration repairs only to normal maximum with a 1-turn cooldown. Fortify/Ward heal and overflow with 2-turn cooldowns; dual effects use 3 turns.</x:v>
      </x:c>
    </x:row>
    <x:row r="260">
      <x:c r="A260" t="str">
        <x:v>ACC-004</x:v>
      </x:c>
      <x:c r="B260" t="str">
        <x:v>Masterwork Fleetstep Anklet</x:v>
      </x:c>
      <x:c r="C260" t="str">
        <x:v>Purple</x:v>
      </x:c>
      <x:c r="D260" t="str">
        <x:v>Anklet</x:v>
      </x:c>
      <x:c r="E260" t="str">
        <x:v>Fleetstep Anklet</x:v>
      </x:c>
      <x:c r="F260"/>
      <x:c r="G260"/>
      <x:c r="H260"/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1</x:v>
      </x:c>
      <x:c r="Q260" t="n">
        <x:v>0</x:v>
      </x:c>
      <x:c r="R260" t="n">
        <x:v>0</x:v>
      </x:c>
      <x:c r="S260" t="n">
        <x:v>0</x:v>
      </x:c>
      <x:c r="T260" t="n">
        <x:v>2</x:v>
      </x:c>
      <x:c r="U260" t="n">
        <x:v>0</x:v>
      </x:c>
      <x:c r="V260" t="n">
        <x:v>0</x:v>
      </x:c>
      <x:c r="W260" t="n">
        <x:v>0</x:v>
      </x:c>
      <x:c r="X260" t="str">
        <x:v>Quickstep</x:v>
      </x:c>
      <x:c r="Y260" t="n">
        <x:v>2</x:v>
      </x:c>
      <x:c r="Z260" t="n">
        <x:v>0</x:v>
      </x:c>
      <x:c r="AA260" t="str">
        <x:v>Slipstream</x:v>
      </x:c>
      <x:c r="AB260" t="n">
        <x:v>3</x:v>
      </x:c>
      <x:c r="AC260" t="n">
        <x:v>0</x:v>
      </x:c>
      <x:c r="AD260" t="n">
        <x:v>1</x:v>
      </x:c>
      <x:c r="AE260" t="str">
        <x:v>Default: Slipstream. A: Gain Minor Agility Up for 2 turns. B: Gain Moderate Agility Up for 1 turn.</x:v>
      </x:c>
      <x:c r="AF260"/>
      <x:c r="AG260" t="str">
        <x:v>Ailment Resistance: 0%</x:v>
      </x:c>
      <x:c r="AH260" t="str">
        <x:v>Restoration repairs only to normal maximum with a 1-turn cooldown. Fortify/Ward heal and overflow with 2-turn cooldowns; dual effects use 3 turns.</x:v>
      </x:c>
    </x:row>
    <x:row r="261">
      <x:c r="A261" t="str">
        <x:v>ACC-005</x:v>
      </x:c>
      <x:c r="B261" t="str">
        <x:v>Regal Fleetstep Anklet</x:v>
      </x:c>
      <x:c r="C261" t="str">
        <x:v>Gold</x:v>
      </x:c>
      <x:c r="D261" t="str">
        <x:v>Anklet</x:v>
      </x:c>
      <x:c r="E261" t="str">
        <x:v>Fleetstep Anklet</x:v>
      </x:c>
      <x:c r="F261"/>
      <x:c r="G261"/>
      <x:c r="H261"/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1</x:v>
      </x:c>
      <x:c r="Q261" t="n">
        <x:v>0</x:v>
      </x:c>
      <x:c r="R261" t="n">
        <x:v>0</x:v>
      </x:c>
      <x:c r="S261" t="n">
        <x:v>1</x:v>
      </x:c>
      <x:c r="T261" t="n">
        <x:v>2</x:v>
      </x:c>
      <x:c r="U261" t="n">
        <x:v>0</x:v>
      </x:c>
      <x:c r="V261" t="n">
        <x:v>0</x:v>
      </x:c>
      <x:c r="W261" t="n">
        <x:v>0</x:v>
      </x:c>
      <x:c r="X261" t="str">
        <x:v>Quickstep</x:v>
      </x:c>
      <x:c r="Y261" t="n">
        <x:v>2</x:v>
      </x:c>
      <x:c r="Z261" t="n">
        <x:v>0</x:v>
      </x:c>
      <x:c r="AA261" t="str">
        <x:v>Slipstream</x:v>
      </x:c>
      <x:c r="AB261" t="n">
        <x:v>3</x:v>
      </x:c>
      <x:c r="AC261" t="n">
        <x:v>0</x:v>
      </x:c>
      <x:c r="AD261" t="n">
        <x:v>1</x:v>
      </x:c>
      <x:c r="AE261" t="str">
        <x:v>Default: Slipstream. A: Gain Minor Agility Up for 2 turns. B: Gain Moderate Agility Up for 1 turn.</x:v>
      </x:c>
      <x:c r="AF261"/>
      <x:c r="AG261" t="str">
        <x:v>Ailment Resistance: 0%</x:v>
      </x:c>
      <x:c r="AH261" t="str">
        <x:v>Restoration repairs only to normal maximum with a 1-turn cooldown. Fortify/Ward heal and overflow with 2-turn cooldowns; dual effects use 3 turns.</x:v>
      </x:c>
    </x:row>
    <x:row r="262">
      <x:c r="A262" t="str">
        <x:v>ACC-006</x:v>
      </x:c>
      <x:c r="B262" t="str">
        <x:v>Mythic Fleetstep Anklet</x:v>
      </x:c>
      <x:c r="C262" t="str">
        <x:v>Orange</x:v>
      </x:c>
      <x:c r="D262" t="str">
        <x:v>Anklet</x:v>
      </x:c>
      <x:c r="E262" t="str">
        <x:v>Fleetstep Anklet</x:v>
      </x:c>
      <x:c r="F262"/>
      <x:c r="G262"/>
      <x:c r="H262"/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1</x:v>
      </x:c>
      <x:c r="Q262" t="n">
        <x:v>0</x:v>
      </x:c>
      <x:c r="R262" t="n">
        <x:v>0</x:v>
      </x:c>
      <x:c r="S262" t="n">
        <x:v>1</x:v>
      </x:c>
      <x:c r="T262" t="n">
        <x:v>3</x:v>
      </x:c>
      <x:c r="U262" t="n">
        <x:v>0</x:v>
      </x:c>
      <x:c r="V262" t="n">
        <x:v>0</x:v>
      </x:c>
      <x:c r="W262" t="n">
        <x:v>0</x:v>
      </x:c>
      <x:c r="X262" t="str">
        <x:v>Quickstep</x:v>
      </x:c>
      <x:c r="Y262" t="n">
        <x:v>2</x:v>
      </x:c>
      <x:c r="Z262" t="n">
        <x:v>0</x:v>
      </x:c>
      <x:c r="AA262" t="str">
        <x:v>Slipstream</x:v>
      </x:c>
      <x:c r="AB262" t="n">
        <x:v>3</x:v>
      </x:c>
      <x:c r="AC262" t="n">
        <x:v>0</x:v>
      </x:c>
      <x:c r="AD262" t="n">
        <x:v>1</x:v>
      </x:c>
      <x:c r="AE262" t="str">
        <x:v>Default: Slipstream. A: Gain Minor Agility Up for 2 turns. B: Gain Moderate Agility Up for 1 turn.</x:v>
      </x:c>
      <x:c r="AF262"/>
      <x:c r="AG262" t="str">
        <x:v>Ailment Resistance: 0%</x:v>
      </x:c>
      <x:c r="AH262" t="str">
        <x:v>Restoration repairs only to normal maximum with a 1-turn cooldown. Fortify/Ward heal and overflow with 2-turn cooldowns; dual effects use 3 turns.</x:v>
      </x:c>
    </x:row>
    <x:row r="263">
      <x:c r="A263" t="str">
        <x:v>ACC-007</x:v>
      </x:c>
      <x:c r="B263" t="str">
        <x:v>Ironspur Anklet</x:v>
      </x:c>
      <x:c r="C263" t="str">
        <x:v>Grey</x:v>
      </x:c>
      <x:c r="D263" t="str">
        <x:v>Anklet</x:v>
      </x:c>
      <x:c r="E263" t="str">
        <x:v>Ironspur Anklet</x:v>
      </x:c>
      <x:c r="F263"/>
      <x:c r="G263"/>
      <x:c r="H263"/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1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str">
        <x:v>Battle Readiness</x:v>
      </x:c>
      <x:c r="Y263" t="n">
        <x:v>2</x:v>
      </x:c>
      <x:c r="Z263" t="n">
        <x:v>0</x:v>
      </x:c>
      <x:c r="AA263" t="str">
        <x:v>Iron Stance</x:v>
      </x:c>
      <x:c r="AB263" t="n">
        <x:v>3</x:v>
      </x:c>
      <x:c r="AC263" t="n">
        <x:v>0</x:v>
      </x:c>
      <x:c r="AD263" t="n">
        <x:v>1</x:v>
      </x:c>
      <x:c r="AE263" t="str">
        <x:v>Default: None. A: Gain Minor Might Up for 2 turns. B: Gain Minor Might Up and Minor Guard Up for 2 turns.</x:v>
      </x:c>
      <x:c r="AF263"/>
      <x:c r="AG263" t="str">
        <x:v>Ailment Resistance: 0%</x:v>
      </x:c>
      <x:c r="AH263" t="str">
        <x:v>Restoration repairs only to normal maximum with a 1-turn cooldown. Fortify/Ward heal and overflow with 2-turn cooldowns; dual effects use 3 turns.</x:v>
      </x:c>
    </x:row>
    <x:row r="264">
      <x:c r="A264" t="str">
        <x:v>ACC-008</x:v>
      </x:c>
      <x:c r="B264" t="str">
        <x:v>Sturdy Ironspur Anklet</x:v>
      </x:c>
      <x:c r="C264" t="str">
        <x:v>Green</x:v>
      </x:c>
      <x:c r="D264" t="str">
        <x:v>Anklet</x:v>
      </x:c>
      <x:c r="E264" t="str">
        <x:v>Ironspur Anklet</x:v>
      </x:c>
      <x:c r="F264"/>
      <x:c r="G264"/>
      <x:c r="H264"/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1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str">
        <x:v>Battle Readiness</x:v>
      </x:c>
      <x:c r="Y264" t="n">
        <x:v>2</x:v>
      </x:c>
      <x:c r="Z264" t="n">
        <x:v>0</x:v>
      </x:c>
      <x:c r="AA264" t="str">
        <x:v>Iron Stance</x:v>
      </x:c>
      <x:c r="AB264" t="n">
        <x:v>3</x:v>
      </x:c>
      <x:c r="AC264" t="n">
        <x:v>0</x:v>
      </x:c>
      <x:c r="AD264" t="n">
        <x:v>1</x:v>
      </x:c>
      <x:c r="AE264" t="str">
        <x:v>Default: Battle Readiness. A: Gain Minor Might Up for 2 turns. B: Gain Minor Might Up and Minor Guard Up for 2 turns.</x:v>
      </x:c>
      <x:c r="AF264"/>
      <x:c r="AG264" t="str">
        <x:v>Ailment Resistance: 0%</x:v>
      </x:c>
      <x:c r="AH264" t="str">
        <x:v>Restoration repairs only to normal maximum with a 1-turn cooldown. Fortify/Ward heal and overflow with 2-turn cooldowns; dual effects use 3 turns.</x:v>
      </x:c>
    </x:row>
    <x:row r="265">
      <x:c r="A265" t="str">
        <x:v>ACC-009</x:v>
      </x:c>
      <x:c r="B265" t="str">
        <x:v>Tempered Ironspur Anklet</x:v>
      </x:c>
      <x:c r="C265" t="str">
        <x:v>Blue</x:v>
      </x:c>
      <x:c r="D265" t="str">
        <x:v>Anklet</x:v>
      </x:c>
      <x:c r="E265" t="str">
        <x:v>Ironspur Anklet</x:v>
      </x:c>
      <x:c r="F265"/>
      <x:c r="G265"/>
      <x:c r="H265"/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1</x:v>
      </x:c>
      <x:c r="P265" t="n">
        <x:v>0</x:v>
      </x:c>
      <x:c r="Q265" t="n">
        <x:v>1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str">
        <x:v>Battle Readiness</x:v>
      </x:c>
      <x:c r="Y265" t="n">
        <x:v>2</x:v>
      </x:c>
      <x:c r="Z265" t="n">
        <x:v>0</x:v>
      </x:c>
      <x:c r="AA265" t="str">
        <x:v>Iron Stance</x:v>
      </x:c>
      <x:c r="AB265" t="n">
        <x:v>3</x:v>
      </x:c>
      <x:c r="AC265" t="n">
        <x:v>0</x:v>
      </x:c>
      <x:c r="AD265" t="n">
        <x:v>1</x:v>
      </x:c>
      <x:c r="AE265" t="str">
        <x:v>Default: Battle Readiness. A: Gain Minor Might Up for 2 turns. B: Gain Minor Might Up and Minor Guard Up for 2 turns.</x:v>
      </x:c>
      <x:c r="AF265"/>
      <x:c r="AG265" t="str">
        <x:v>Ailment Resistance: 0%</x:v>
      </x:c>
      <x:c r="AH265" t="str">
        <x:v>Restoration repairs only to normal maximum with a 1-turn cooldown. Fortify/Ward heal and overflow with 2-turn cooldowns; dual effects use 3 turns.</x:v>
      </x:c>
    </x:row>
    <x:row r="266">
      <x:c r="A266" t="str">
        <x:v>ACC-010</x:v>
      </x:c>
      <x:c r="B266" t="str">
        <x:v>Masterwork Ironspur Anklet</x:v>
      </x:c>
      <x:c r="C266" t="str">
        <x:v>Purple</x:v>
      </x:c>
      <x:c r="D266" t="str">
        <x:v>Anklet</x:v>
      </x:c>
      <x:c r="E266" t="str">
        <x:v>Ironspur Anklet</x:v>
      </x:c>
      <x:c r="F266"/>
      <x:c r="G266"/>
      <x:c r="H266"/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2</x:v>
      </x:c>
      <x:c r="P266" t="n">
        <x:v>0</x:v>
      </x:c>
      <x:c r="Q266" t="n">
        <x:v>1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str">
        <x:v>Battle Readiness</x:v>
      </x:c>
      <x:c r="Y266" t="n">
        <x:v>2</x:v>
      </x:c>
      <x:c r="Z266" t="n">
        <x:v>0</x:v>
      </x:c>
      <x:c r="AA266" t="str">
        <x:v>Iron Stance</x:v>
      </x:c>
      <x:c r="AB266" t="n">
        <x:v>3</x:v>
      </x:c>
      <x:c r="AC266" t="n">
        <x:v>0</x:v>
      </x:c>
      <x:c r="AD266" t="n">
        <x:v>1</x:v>
      </x:c>
      <x:c r="AE266" t="str">
        <x:v>Default: Iron Stance. A: Gain Minor Might Up for 2 turns. B: Gain Minor Might Up and Minor Guard Up for 2 turns.</x:v>
      </x:c>
      <x:c r="AF266"/>
      <x:c r="AG266" t="str">
        <x:v>Ailment Resistance: 0%</x:v>
      </x:c>
      <x:c r="AH266" t="str">
        <x:v>Restoration repairs only to normal maximum with a 1-turn cooldown. Fortify/Ward heal and overflow with 2-turn cooldowns; dual effects use 3 turns.</x:v>
      </x:c>
    </x:row>
    <x:row r="267">
      <x:c r="A267" t="str">
        <x:v>ACC-011</x:v>
      </x:c>
      <x:c r="B267" t="str">
        <x:v>Regal Ironspur Anklet</x:v>
      </x:c>
      <x:c r="C267" t="str">
        <x:v>Gold</x:v>
      </x:c>
      <x:c r="D267" t="str">
        <x:v>Anklet</x:v>
      </x:c>
      <x:c r="E267" t="str">
        <x:v>Ironspur Anklet</x:v>
      </x:c>
      <x:c r="F267"/>
      <x:c r="G267"/>
      <x:c r="H267"/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1</x:v>
      </x:c>
      <x:c r="O267" t="n">
        <x:v>2</x:v>
      </x:c>
      <x:c r="P267" t="n">
        <x:v>0</x:v>
      </x:c>
      <x:c r="Q267" t="n">
        <x:v>1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str">
        <x:v>Battle Readiness</x:v>
      </x:c>
      <x:c r="Y267" t="n">
        <x:v>2</x:v>
      </x:c>
      <x:c r="Z267" t="n">
        <x:v>0</x:v>
      </x:c>
      <x:c r="AA267" t="str">
        <x:v>Iron Stance</x:v>
      </x:c>
      <x:c r="AB267" t="n">
        <x:v>3</x:v>
      </x:c>
      <x:c r="AC267" t="n">
        <x:v>0</x:v>
      </x:c>
      <x:c r="AD267" t="n">
        <x:v>1</x:v>
      </x:c>
      <x:c r="AE267" t="str">
        <x:v>Default: Iron Stance. A: Gain Minor Might Up for 2 turns. B: Gain Minor Might Up and Minor Guard Up for 2 turns.</x:v>
      </x:c>
      <x:c r="AF267"/>
      <x:c r="AG267" t="str">
        <x:v>Ailment Resistance: 0%</x:v>
      </x:c>
      <x:c r="AH267" t="str">
        <x:v>Restoration repairs only to normal maximum with a 1-turn cooldown. Fortify/Ward heal and overflow with 2-turn cooldowns; dual effects use 3 turns.</x:v>
      </x:c>
    </x:row>
    <x:row r="268">
      <x:c r="A268" t="str">
        <x:v>ACC-012</x:v>
      </x:c>
      <x:c r="B268" t="str">
        <x:v>Mythic Ironspur Anklet</x:v>
      </x:c>
      <x:c r="C268" t="str">
        <x:v>Orange</x:v>
      </x:c>
      <x:c r="D268" t="str">
        <x:v>Anklet</x:v>
      </x:c>
      <x:c r="E268" t="str">
        <x:v>Ironspur Anklet</x:v>
      </x:c>
      <x:c r="F268"/>
      <x:c r="G268"/>
      <x:c r="H268"/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1</x:v>
      </x:c>
      <x:c r="O268" t="n">
        <x:v>3</x:v>
      </x:c>
      <x:c r="P268" t="n">
        <x:v>0</x:v>
      </x:c>
      <x:c r="Q268" t="n">
        <x:v>1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str">
        <x:v>Battle Readiness</x:v>
      </x:c>
      <x:c r="Y268" t="n">
        <x:v>2</x:v>
      </x:c>
      <x:c r="Z268" t="n">
        <x:v>0</x:v>
      </x:c>
      <x:c r="AA268" t="str">
        <x:v>Iron Stance</x:v>
      </x:c>
      <x:c r="AB268" t="n">
        <x:v>3</x:v>
      </x:c>
      <x:c r="AC268" t="n">
        <x:v>0</x:v>
      </x:c>
      <x:c r="AD268" t="n">
        <x:v>1</x:v>
      </x:c>
      <x:c r="AE268" t="str">
        <x:v>Default: Iron Stance. A: Gain Minor Might Up for 2 turns. B: Gain Minor Might Up and Minor Guard Up for 2 turns.</x:v>
      </x:c>
      <x:c r="AF268"/>
      <x:c r="AG268" t="str">
        <x:v>Ailment Resistance: 0%</x:v>
      </x:c>
      <x:c r="AH268" t="str">
        <x:v>Restoration repairs only to normal maximum with a 1-turn cooldown. Fortify/Ward heal and overflow with 2-turn cooldowns; dual effects use 3 turns.</x:v>
      </x:c>
    </x:row>
    <x:row r="269">
      <x:c r="A269" t="str">
        <x:v>ACC-013</x:v>
      </x:c>
      <x:c r="B269" t="str">
        <x:v>Runeclasp Anklet</x:v>
      </x:c>
      <x:c r="C269" t="str">
        <x:v>Grey</x:v>
      </x:c>
      <x:c r="D269" t="str">
        <x:v>Anklet</x:v>
      </x:c>
      <x:c r="E269" t="str">
        <x:v>Runeclasp Anklet</x:v>
      </x:c>
      <x:c r="F269"/>
      <x:c r="G269"/>
      <x:c r="H269"/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1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str">
        <x:v>Rune Mend</x:v>
      </x:c>
      <x:c r="Y269" t="n">
        <x:v>2</x:v>
      </x:c>
      <x:c r="Z269" t="n">
        <x:v>0</x:v>
      </x:c>
      <x:c r="AA269" t="str">
        <x:v>Focused Ward</x:v>
      </x:c>
      <x:c r="AB269" t="n">
        <x:v>3</x:v>
      </x:c>
      <x:c r="AC269" t="n">
        <x:v>0</x:v>
      </x:c>
      <x:c r="AD269" t="n">
        <x:v>2</x:v>
      </x:c>
      <x:c r="AE269" t="str">
        <x:v>Default: None. A: Restore 4 Magic Armour. B: Gain 6 Ward Magic Armour (add 6 to current Magic Armour and temporary Maximum Magic Armour) and Minor Focus Up for 2 turns.</x:v>
      </x:c>
      <x:c r="AF269"/>
      <x:c r="AG269" t="str">
        <x:v>Ailment Resistance: 0%</x:v>
      </x:c>
      <x:c r="AH269" t="str">
        <x:v>Restoration repairs only to normal maximum with a 1-turn cooldown. Fortify/Ward heal and overflow with 2-turn cooldowns; dual effects use 3 turns.</x:v>
      </x:c>
    </x:row>
    <x:row r="270">
      <x:c r="A270" t="str">
        <x:v>ACC-014</x:v>
      </x:c>
      <x:c r="B270" t="str">
        <x:v>Sturdy Runeclasp Anklet</x:v>
      </x:c>
      <x:c r="C270" t="str">
        <x:v>Green</x:v>
      </x:c>
      <x:c r="D270" t="str">
        <x:v>Anklet</x:v>
      </x:c>
      <x:c r="E270" t="str">
        <x:v>Runeclasp Anklet</x:v>
      </x:c>
      <x:c r="F270"/>
      <x:c r="G270"/>
      <x:c r="H270"/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1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str">
        <x:v>Rune Mend</x:v>
      </x:c>
      <x:c r="Y270" t="n">
        <x:v>2</x:v>
      </x:c>
      <x:c r="Z270" t="n">
        <x:v>0</x:v>
      </x:c>
      <x:c r="AA270" t="str">
        <x:v>Focused Ward</x:v>
      </x:c>
      <x:c r="AB270" t="n">
        <x:v>3</x:v>
      </x:c>
      <x:c r="AC270" t="n">
        <x:v>0</x:v>
      </x:c>
      <x:c r="AD270" t="n">
        <x:v>2</x:v>
      </x:c>
      <x:c r="AE270" t="str">
        <x:v>Default: Rune Mend. A: Restore 4 Magic Armour. B: Gain 6 Ward Magic Armour (add 6 to current Magic Armour and temporary Maximum Magic Armour) and Minor Focus Up for 2 turns.</x:v>
      </x:c>
      <x:c r="AF270"/>
      <x:c r="AG270" t="str">
        <x:v>Ailment Resistance: 0%</x:v>
      </x:c>
      <x:c r="AH270" t="str">
        <x:v>Restoration repairs only to normal maximum with a 1-turn cooldown. Fortify/Ward heal and overflow with 2-turn cooldowns; dual effects use 3 turns.</x:v>
      </x:c>
    </x:row>
    <x:row r="271">
      <x:c r="A271" t="str">
        <x:v>ACC-015</x:v>
      </x:c>
      <x:c r="B271" t="str">
        <x:v>Tempered Runeclasp Anklet</x:v>
      </x:c>
      <x:c r="C271" t="str">
        <x:v>Blue</x:v>
      </x:c>
      <x:c r="D271" t="str">
        <x:v>Anklet</x:v>
      </x:c>
      <x:c r="E271" t="str">
        <x:v>Runeclasp Anklet</x:v>
      </x:c>
      <x:c r="F271"/>
      <x:c r="G271"/>
      <x:c r="H271"/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1</x:v>
      </x:c>
      <x:c r="S271" t="n">
        <x:v>1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str">
        <x:v>Rune Mend</x:v>
      </x:c>
      <x:c r="Y271" t="n">
        <x:v>2</x:v>
      </x:c>
      <x:c r="Z271" t="n">
        <x:v>0</x:v>
      </x:c>
      <x:c r="AA271" t="str">
        <x:v>Focused Ward</x:v>
      </x:c>
      <x:c r="AB271" t="n">
        <x:v>3</x:v>
      </x:c>
      <x:c r="AC271" t="n">
        <x:v>0</x:v>
      </x:c>
      <x:c r="AD271" t="n">
        <x:v>2</x:v>
      </x:c>
      <x:c r="AE271" t="str">
        <x:v>Default: Rune Mend. A: Restore 4 Magic Armour. B: Gain 6 Ward Magic Armour (add 6 to current Magic Armour and temporary Maximum Magic Armour) and Minor Focus Up for 2 turns.</x:v>
      </x:c>
      <x:c r="AF271"/>
      <x:c r="AG271" t="str">
        <x:v>Ailment Resistance: 0%</x:v>
      </x:c>
      <x:c r="AH271" t="str">
        <x:v>Restoration repairs only to normal maximum with a 1-turn cooldown. Fortify/Ward heal and overflow with 2-turn cooldowns; dual effects use 3 turns.</x:v>
      </x:c>
    </x:row>
    <x:row r="272">
      <x:c r="A272" t="str">
        <x:v>ACC-016</x:v>
      </x:c>
      <x:c r="B272" t="str">
        <x:v>Masterwork Runeclasp Anklet</x:v>
      </x:c>
      <x:c r="C272" t="str">
        <x:v>Purple</x:v>
      </x:c>
      <x:c r="D272" t="str">
        <x:v>Anklet</x:v>
      </x:c>
      <x:c r="E272" t="str">
        <x:v>Runeclasp Anklet</x:v>
      </x:c>
      <x:c r="F272"/>
      <x:c r="G272"/>
      <x:c r="H272"/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2</x:v>
      </x:c>
      <x:c r="S272" t="n">
        <x:v>1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str">
        <x:v>Rune Mend</x:v>
      </x:c>
      <x:c r="Y272" t="n">
        <x:v>2</x:v>
      </x:c>
      <x:c r="Z272" t="n">
        <x:v>0</x:v>
      </x:c>
      <x:c r="AA272" t="str">
        <x:v>Focused Ward</x:v>
      </x:c>
      <x:c r="AB272" t="n">
        <x:v>3</x:v>
      </x:c>
      <x:c r="AC272" t="n">
        <x:v>0</x:v>
      </x:c>
      <x:c r="AD272" t="n">
        <x:v>2</x:v>
      </x:c>
      <x:c r="AE272" t="str">
        <x:v>Default: Focused Ward. A: Restore 4 Magic Armour. B: Gain 6 Ward Magic Armour (add 6 to current Magic Armour and temporary Maximum Magic Armour) and Minor Focus Up for 2 turns.</x:v>
      </x:c>
      <x:c r="AF272"/>
      <x:c r="AG272" t="str">
        <x:v>Ailment Resistance: 0%</x:v>
      </x:c>
      <x:c r="AH272" t="str">
        <x:v>Restoration repairs only to normal maximum with a 1-turn cooldown. Fortify/Ward heal and overflow with 2-turn cooldowns; dual effects use 3 turns.</x:v>
      </x:c>
    </x:row>
    <x:row r="273">
      <x:c r="A273" t="str">
        <x:v>ACC-017</x:v>
      </x:c>
      <x:c r="B273" t="str">
        <x:v>Regal Runeclasp Anklet</x:v>
      </x:c>
      <x:c r="C273" t="str">
        <x:v>Gold</x:v>
      </x:c>
      <x:c r="D273" t="str">
        <x:v>Anklet</x:v>
      </x:c>
      <x:c r="E273" t="str">
        <x:v>Runeclasp Anklet</x:v>
      </x:c>
      <x:c r="F273"/>
      <x:c r="G273"/>
      <x:c r="H273"/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2</x:v>
      </x:c>
      <x:c r="S273" t="n">
        <x:v>1</x:v>
      </x:c>
      <x:c r="T273" t="n">
        <x:v>1</x:v>
      </x:c>
      <x:c r="U273" t="n">
        <x:v>0</x:v>
      </x:c>
      <x:c r="V273" t="n">
        <x:v>0</x:v>
      </x:c>
      <x:c r="W273" t="n">
        <x:v>0</x:v>
      </x:c>
      <x:c r="X273" t="str">
        <x:v>Rune Mend</x:v>
      </x:c>
      <x:c r="Y273" t="n">
        <x:v>2</x:v>
      </x:c>
      <x:c r="Z273" t="n">
        <x:v>0</x:v>
      </x:c>
      <x:c r="AA273" t="str">
        <x:v>Focused Ward</x:v>
      </x:c>
      <x:c r="AB273" t="n">
        <x:v>3</x:v>
      </x:c>
      <x:c r="AC273" t="n">
        <x:v>0</x:v>
      </x:c>
      <x:c r="AD273" t="n">
        <x:v>2</x:v>
      </x:c>
      <x:c r="AE273" t="str">
        <x:v>Default: Focused Ward. A: Restore 4 Magic Armour. B: Gain 6 Ward Magic Armour (add 6 to current Magic Armour and temporary Maximum Magic Armour) and Minor Focus Up for 2 turns.</x:v>
      </x:c>
      <x:c r="AF273"/>
      <x:c r="AG273" t="str">
        <x:v>Ailment Resistance: 0%</x:v>
      </x:c>
      <x:c r="AH273" t="str">
        <x:v>Restoration repairs only to normal maximum with a 1-turn cooldown. Fortify/Ward heal and overflow with 2-turn cooldowns; dual effects use 3 turns.</x:v>
      </x:c>
    </x:row>
    <x:row r="274">
      <x:c r="A274" t="str">
        <x:v>ACC-018</x:v>
      </x:c>
      <x:c r="B274" t="str">
        <x:v>Mythic Runeclasp Anklet</x:v>
      </x:c>
      <x:c r="C274" t="str">
        <x:v>Orange</x:v>
      </x:c>
      <x:c r="D274" t="str">
        <x:v>Anklet</x:v>
      </x:c>
      <x:c r="E274" t="str">
        <x:v>Runeclasp Anklet</x:v>
      </x:c>
      <x:c r="F274"/>
      <x:c r="G274"/>
      <x:c r="H274"/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3</x:v>
      </x:c>
      <x:c r="S274" t="n">
        <x:v>1</x:v>
      </x:c>
      <x:c r="T274" t="n">
        <x:v>1</x:v>
      </x:c>
      <x:c r="U274" t="n">
        <x:v>0</x:v>
      </x:c>
      <x:c r="V274" t="n">
        <x:v>0</x:v>
      </x:c>
      <x:c r="W274" t="n">
        <x:v>0</x:v>
      </x:c>
      <x:c r="X274" t="str">
        <x:v>Rune Mend</x:v>
      </x:c>
      <x:c r="Y274" t="n">
        <x:v>2</x:v>
      </x:c>
      <x:c r="Z274" t="n">
        <x:v>0</x:v>
      </x:c>
      <x:c r="AA274" t="str">
        <x:v>Focused Ward</x:v>
      </x:c>
      <x:c r="AB274" t="n">
        <x:v>3</x:v>
      </x:c>
      <x:c r="AC274" t="n">
        <x:v>0</x:v>
      </x:c>
      <x:c r="AD274" t="n">
        <x:v>2</x:v>
      </x:c>
      <x:c r="AE274" t="str">
        <x:v>Default: Focused Ward. A: Restore 4 Magic Armour. B: Gain 6 Ward Magic Armour (add 6 to current Magic Armour and temporary Maximum Magic Armour) and Minor Focus Up for 2 turns.</x:v>
      </x:c>
      <x:c r="AF274"/>
      <x:c r="AG274" t="str">
        <x:v>Ailment Resistance: 0%</x:v>
      </x:c>
      <x:c r="AH274" t="str">
        <x:v>Restoration repairs only to normal maximum with a 1-turn cooldown. Fortify/Ward heal and overflow with 2-turn cooldowns; dual effects use 3 turns.</x:v>
      </x:c>
    </x:row>
    <x:row r="275">
      <x:c r="A275" t="str">
        <x:v>ACC-019</x:v>
      </x:c>
      <x:c r="B275" t="str">
        <x:v>Heartloop Anklet</x:v>
      </x:c>
      <x:c r="C275" t="str">
        <x:v>Grey</x:v>
      </x:c>
      <x:c r="D275" t="str">
        <x:v>Anklet</x:v>
      </x:c>
      <x:c r="E275" t="str">
        <x:v>Heartloop Anklet</x:v>
      </x:c>
      <x:c r="F275"/>
      <x:c r="G275"/>
      <x:c r="H275"/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1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str">
        <x:v>Heartening Pulse</x:v>
      </x:c>
      <x:c r="Y275" t="n">
        <x:v>2</x:v>
      </x:c>
      <x:c r="Z275" t="n">
        <x:v>0</x:v>
      </x:c>
      <x:c r="AA275" t="str">
        <x:v>Enduring Rhythm</x:v>
      </x:c>
      <x:c r="AB275" t="n">
        <x:v>3</x:v>
      </x:c>
      <x:c r="AC275" t="n">
        <x:v>0</x:v>
      </x:c>
      <x:c r="AD275" t="n">
        <x:v>1</x:v>
      </x:c>
      <x:c r="AE275" t="str">
        <x:v>Default: None. A: Restore 4 to whichever protection pool is currently lower. B: Gain Minor Guard Up and Minor Resolve Up for 2 turns.</x:v>
      </x:c>
      <x:c r="AF275"/>
      <x:c r="AG275" t="str">
        <x:v>Ailment Resistance: 0%</x:v>
      </x:c>
      <x:c r="AH275" t="str">
        <x:v>Restoration repairs only to normal maximum with a 1-turn cooldown. Fortify/Ward heal and overflow with 2-turn cooldowns; dual effects use 3 turns.</x:v>
      </x:c>
    </x:row>
    <x:row r="276">
      <x:c r="A276" t="str">
        <x:v>ACC-020</x:v>
      </x:c>
      <x:c r="B276" t="str">
        <x:v>Sturdy Heartloop Anklet</x:v>
      </x:c>
      <x:c r="C276" t="str">
        <x:v>Green</x:v>
      </x:c>
      <x:c r="D276" t="str">
        <x:v>Anklet</x:v>
      </x:c>
      <x:c r="E276" t="str">
        <x:v>Heartloop Anklet</x:v>
      </x:c>
      <x:c r="F276"/>
      <x:c r="G276"/>
      <x:c r="H276"/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1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str">
        <x:v>Heartening Pulse</x:v>
      </x:c>
      <x:c r="Y276" t="n">
        <x:v>2</x:v>
      </x:c>
      <x:c r="Z276" t="n">
        <x:v>0</x:v>
      </x:c>
      <x:c r="AA276" t="str">
        <x:v>Enduring Rhythm</x:v>
      </x:c>
      <x:c r="AB276" t="n">
        <x:v>3</x:v>
      </x:c>
      <x:c r="AC276" t="n">
        <x:v>0</x:v>
      </x:c>
      <x:c r="AD276" t="n">
        <x:v>1</x:v>
      </x:c>
      <x:c r="AE276" t="str">
        <x:v>Default: Heartening Pulse. A: Restore 4 to whichever protection pool is currently lower. B: Gain Minor Guard Up and Minor Resolve Up for 2 turns.</x:v>
      </x:c>
      <x:c r="AF276"/>
      <x:c r="AG276" t="str">
        <x:v>Ailment Resistance: 0%</x:v>
      </x:c>
      <x:c r="AH276" t="str">
        <x:v>Restoration repairs only to normal maximum with a 1-turn cooldown. Fortify/Ward heal and overflow with 2-turn cooldowns; dual effects use 3 turns.</x:v>
      </x:c>
    </x:row>
    <x:row r="277">
      <x:c r="A277" t="str">
        <x:v>ACC-021</x:v>
      </x:c>
      <x:c r="B277" t="str">
        <x:v>Tempered Heartloop Anklet</x:v>
      </x:c>
      <x:c r="C277" t="str">
        <x:v>Blue</x:v>
      </x:c>
      <x:c r="D277" t="str">
        <x:v>Anklet</x:v>
      </x:c>
      <x:c r="E277" t="str">
        <x:v>Heartloop Anklet</x:v>
      </x:c>
      <x:c r="F277"/>
      <x:c r="G277"/>
      <x:c r="H277"/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1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1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str">
        <x:v>Heartening Pulse</x:v>
      </x:c>
      <x:c r="Y277" t="n">
        <x:v>2</x:v>
      </x:c>
      <x:c r="Z277" t="n">
        <x:v>0</x:v>
      </x:c>
      <x:c r="AA277" t="str">
        <x:v>Enduring Rhythm</x:v>
      </x:c>
      <x:c r="AB277" t="n">
        <x:v>3</x:v>
      </x:c>
      <x:c r="AC277" t="n">
        <x:v>0</x:v>
      </x:c>
      <x:c r="AD277" t="n">
        <x:v>1</x:v>
      </x:c>
      <x:c r="AE277" t="str">
        <x:v>Default: Heartening Pulse. A: Restore 4 to whichever protection pool is currently lower. B: Gain Minor Guard Up and Minor Resolve Up for 2 turns.</x:v>
      </x:c>
      <x:c r="AF277"/>
      <x:c r="AG277" t="str">
        <x:v>Ailment Resistance: 0%</x:v>
      </x:c>
      <x:c r="AH277" t="str">
        <x:v>Restoration repairs only to normal maximum with a 1-turn cooldown. Fortify/Ward heal and overflow with 2-turn cooldowns; dual effects use 3 turns.</x:v>
      </x:c>
    </x:row>
    <x:row r="278">
      <x:c r="A278" t="str">
        <x:v>ACC-022</x:v>
      </x:c>
      <x:c r="B278" t="str">
        <x:v>Masterwork Heartloop Anklet</x:v>
      </x:c>
      <x:c r="C278" t="str">
        <x:v>Purple</x:v>
      </x:c>
      <x:c r="D278" t="str">
        <x:v>Anklet</x:v>
      </x:c>
      <x:c r="E278" t="str">
        <x:v>Heartloop Anklet</x:v>
      </x:c>
      <x:c r="F278"/>
      <x:c r="G278"/>
      <x:c r="H278"/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2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1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str">
        <x:v>Heartening Pulse</x:v>
      </x:c>
      <x:c r="Y278" t="n">
        <x:v>2</x:v>
      </x:c>
      <x:c r="Z278" t="n">
        <x:v>0</x:v>
      </x:c>
      <x:c r="AA278" t="str">
        <x:v>Enduring Rhythm</x:v>
      </x:c>
      <x:c r="AB278" t="n">
        <x:v>3</x:v>
      </x:c>
      <x:c r="AC278" t="n">
        <x:v>0</x:v>
      </x:c>
      <x:c r="AD278" t="n">
        <x:v>1</x:v>
      </x:c>
      <x:c r="AE278" t="str">
        <x:v>Default: Enduring Rhythm. A: Restore 4 to whichever protection pool is currently lower. B: Gain Minor Guard Up and Minor Resolve Up for 2 turns.</x:v>
      </x:c>
      <x:c r="AF278"/>
      <x:c r="AG278" t="str">
        <x:v>Ailment Resistance: 0%</x:v>
      </x:c>
      <x:c r="AH278" t="str">
        <x:v>Restoration repairs only to normal maximum with a 1-turn cooldown. Fortify/Ward heal and overflow with 2-turn cooldowns; dual effects use 3 turns.</x:v>
      </x:c>
    </x:row>
    <x:row r="279">
      <x:c r="A279" t="str">
        <x:v>ACC-023</x:v>
      </x:c>
      <x:c r="B279" t="str">
        <x:v>Regal Heartloop Anklet</x:v>
      </x:c>
      <x:c r="C279" t="str">
        <x:v>Gold</x:v>
      </x:c>
      <x:c r="D279" t="str">
        <x:v>Anklet</x:v>
      </x:c>
      <x:c r="E279" t="str">
        <x:v>Heartloop Anklet</x:v>
      </x:c>
      <x:c r="F279"/>
      <x:c r="G279"/>
      <x:c r="H279"/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2</x:v>
      </x:c>
      <x:c r="O279" t="n">
        <x:v>0</x:v>
      </x:c>
      <x:c r="P279" t="n">
        <x:v>0</x:v>
      </x:c>
      <x:c r="Q279" t="n">
        <x:v>1</x:v>
      </x:c>
      <x:c r="R279" t="n">
        <x:v>0</x:v>
      </x:c>
      <x:c r="S279" t="n">
        <x:v>1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str">
        <x:v>Heartening Pulse</x:v>
      </x:c>
      <x:c r="Y279" t="n">
        <x:v>2</x:v>
      </x:c>
      <x:c r="Z279" t="n">
        <x:v>0</x:v>
      </x:c>
      <x:c r="AA279" t="str">
        <x:v>Enduring Rhythm</x:v>
      </x:c>
      <x:c r="AB279" t="n">
        <x:v>3</x:v>
      </x:c>
      <x:c r="AC279" t="n">
        <x:v>0</x:v>
      </x:c>
      <x:c r="AD279" t="n">
        <x:v>1</x:v>
      </x:c>
      <x:c r="AE279" t="str">
        <x:v>Default: Enduring Rhythm. A: Restore 4 to whichever protection pool is currently lower. B: Gain Minor Guard Up and Minor Resolve Up for 2 turns.</x:v>
      </x:c>
      <x:c r="AF279"/>
      <x:c r="AG279" t="str">
        <x:v>Ailment Resistance: 0%</x:v>
      </x:c>
      <x:c r="AH279" t="str">
        <x:v>Restoration repairs only to normal maximum with a 1-turn cooldown. Fortify/Ward heal and overflow with 2-turn cooldowns; dual effects use 3 turns.</x:v>
      </x:c>
    </x:row>
    <x:row r="280">
      <x:c r="A280" t="str">
        <x:v>ACC-024</x:v>
      </x:c>
      <x:c r="B280" t="str">
        <x:v>Mythic Heartloop Anklet</x:v>
      </x:c>
      <x:c r="C280" t="str">
        <x:v>Orange</x:v>
      </x:c>
      <x:c r="D280" t="str">
        <x:v>Anklet</x:v>
      </x:c>
      <x:c r="E280" t="str">
        <x:v>Heartloop Anklet</x:v>
      </x:c>
      <x:c r="F280"/>
      <x:c r="G280"/>
      <x:c r="H280"/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3</x:v>
      </x:c>
      <x:c r="O280" t="n">
        <x:v>0</x:v>
      </x:c>
      <x:c r="P280" t="n">
        <x:v>0</x:v>
      </x:c>
      <x:c r="Q280" t="n">
        <x:v>1</x:v>
      </x:c>
      <x:c r="R280" t="n">
        <x:v>0</x:v>
      </x:c>
      <x:c r="S280" t="n">
        <x:v>1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str">
        <x:v>Heartening Pulse</x:v>
      </x:c>
      <x:c r="Y280" t="n">
        <x:v>2</x:v>
      </x:c>
      <x:c r="Z280" t="n">
        <x:v>0</x:v>
      </x:c>
      <x:c r="AA280" t="str">
        <x:v>Enduring Rhythm</x:v>
      </x:c>
      <x:c r="AB280" t="n">
        <x:v>3</x:v>
      </x:c>
      <x:c r="AC280" t="n">
        <x:v>0</x:v>
      </x:c>
      <x:c r="AD280" t="n">
        <x:v>1</x:v>
      </x:c>
      <x:c r="AE280" t="str">
        <x:v>Default: Enduring Rhythm. A: Restore 4 to whichever protection pool is currently lower. B: Gain Minor Guard Up and Minor Resolve Up for 2 turns.</x:v>
      </x:c>
      <x:c r="AF280"/>
      <x:c r="AG280" t="str">
        <x:v>Ailment Resistance: 0%</x:v>
      </x:c>
      <x:c r="AH280" t="str">
        <x:v>Restoration repairs only to normal maximum with a 1-turn cooldown. Fortify/Ward heal and overflow with 2-turn cooldowns; dual effects use 3 turns.</x:v>
      </x:c>
    </x:row>
    <x:row r="281">
      <x:c r="A281" t="str">
        <x:v>ACC-025</x:v>
      </x:c>
      <x:c r="B281" t="str">
        <x:v>Talonmark Pendant</x:v>
      </x:c>
      <x:c r="C281" t="str">
        <x:v>Grey</x:v>
      </x:c>
      <x:c r="D281" t="str">
        <x:v>Necklace</x:v>
      </x:c>
      <x:c r="E281" t="str">
        <x:v>Talonmark Pendant</x:v>
      </x:c>
      <x:c r="F281"/>
      <x:c r="G281"/>
      <x:c r="H281"/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1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str">
        <x:v>Keen Edge</x:v>
      </x:c>
      <x:c r="Y281" t="n">
        <x:v>2</x:v>
      </x:c>
      <x:c r="Z281" t="n">
        <x:v>0</x:v>
      </x:c>
      <x:c r="AA281" t="str">
        <x:v>Marked Opening</x:v>
      </x:c>
      <x:c r="AB281" t="n">
        <x:v>3</x:v>
      </x:c>
      <x:c r="AC281" t="n">
        <x:v>0</x:v>
      </x:c>
      <x:c r="AD281" t="n">
        <x:v>1</x:v>
      </x:c>
      <x:c r="AE281" t="str">
        <x:v>Default: None. A: Gain Minor Dexterity Up for 2 turns. B: The next Finesse skill before the end of the next turn gains +15 Skill Power and +10 Precision.</x:v>
      </x:c>
      <x:c r="AF281"/>
      <x:c r="AG281" t="str">
        <x:v>Ailment Resistance: 0%</x:v>
      </x:c>
      <x:c r="AH281" t="str">
        <x:v>Restoration repairs only to normal maximum with a 1-turn cooldown. Fortify/Ward heal and overflow with 2-turn cooldowns; dual effects use 3 turns.</x:v>
      </x:c>
    </x:row>
    <x:row r="282">
      <x:c r="A282" t="str">
        <x:v>ACC-026</x:v>
      </x:c>
      <x:c r="B282" t="str">
        <x:v>Sturdy Talonmark Pendant</x:v>
      </x:c>
      <x:c r="C282" t="str">
        <x:v>Green</x:v>
      </x:c>
      <x:c r="D282" t="str">
        <x:v>Necklace</x:v>
      </x:c>
      <x:c r="E282" t="str">
        <x:v>Talonmark Pendant</x:v>
      </x:c>
      <x:c r="F282"/>
      <x:c r="G282"/>
      <x:c r="H282"/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1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str">
        <x:v>Keen Edge</x:v>
      </x:c>
      <x:c r="Y282" t="n">
        <x:v>2</x:v>
      </x:c>
      <x:c r="Z282" t="n">
        <x:v>0</x:v>
      </x:c>
      <x:c r="AA282" t="str">
        <x:v>Marked Opening</x:v>
      </x:c>
      <x:c r="AB282" t="n">
        <x:v>3</x:v>
      </x:c>
      <x:c r="AC282" t="n">
        <x:v>0</x:v>
      </x:c>
      <x:c r="AD282" t="n">
        <x:v>1</x:v>
      </x:c>
      <x:c r="AE282" t="str">
        <x:v>Default: Keen Edge. A: Gain Minor Dexterity Up for 2 turns. B: The next Finesse skill before the end of the next turn gains +15 Skill Power and +10 Precision.</x:v>
      </x:c>
      <x:c r="AF282"/>
      <x:c r="AG282" t="str">
        <x:v>Ailment Resistance: 0%</x:v>
      </x:c>
      <x:c r="AH282" t="str">
        <x:v>Restoration repairs only to normal maximum with a 1-turn cooldown. Fortify/Ward heal and overflow with 2-turn cooldowns; dual effects use 3 turns.</x:v>
      </x:c>
    </x:row>
    <x:row r="283">
      <x:c r="A283" t="str">
        <x:v>ACC-027</x:v>
      </x:c>
      <x:c r="B283" t="str">
        <x:v>Tempered Talonmark Pendant</x:v>
      </x:c>
      <x:c r="C283" t="str">
        <x:v>Blue</x:v>
      </x:c>
      <x:c r="D283" t="str">
        <x:v>Necklace</x:v>
      </x:c>
      <x:c r="E283" t="str">
        <x:v>Talonmark Pendant</x:v>
      </x:c>
      <x:c r="F283"/>
      <x:c r="G283"/>
      <x:c r="H283"/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1</x:v>
      </x:c>
      <x:c r="Q283" t="n">
        <x:v>0</x:v>
      </x:c>
      <x:c r="R283" t="n">
        <x:v>0</x:v>
      </x:c>
      <x:c r="S283" t="n">
        <x:v>0</x:v>
      </x:c>
      <x:c r="T283" t="n">
        <x:v>1</x:v>
      </x:c>
      <x:c r="U283" t="n">
        <x:v>1</x:v>
      </x:c>
      <x:c r="V283" t="n">
        <x:v>0</x:v>
      </x:c>
      <x:c r="W283" t="n">
        <x:v>0</x:v>
      </x:c>
      <x:c r="X283" t="str">
        <x:v>Keen Edge</x:v>
      </x:c>
      <x:c r="Y283" t="n">
        <x:v>2</x:v>
      </x:c>
      <x:c r="Z283" t="n">
        <x:v>0</x:v>
      </x:c>
      <x:c r="AA283" t="str">
        <x:v>Marked Opening</x:v>
      </x:c>
      <x:c r="AB283" t="n">
        <x:v>3</x:v>
      </x:c>
      <x:c r="AC283" t="n">
        <x:v>0</x:v>
      </x:c>
      <x:c r="AD283" t="n">
        <x:v>1</x:v>
      </x:c>
      <x:c r="AE283" t="str">
        <x:v>Default: Keen Edge. A: Gain Minor Dexterity Up for 2 turns. B: The next Finesse skill before the end of the next turn gains +15 Skill Power and +10 Precision.</x:v>
      </x:c>
      <x:c r="AF283"/>
      <x:c r="AG283" t="str">
        <x:v>Ailment Resistance: 0%</x:v>
      </x:c>
      <x:c r="AH283" t="str">
        <x:v>Restoration repairs only to normal maximum with a 1-turn cooldown. Fortify/Ward heal and overflow with 2-turn cooldowns; dual effects use 3 turns.</x:v>
      </x:c>
    </x:row>
    <x:row r="284">
      <x:c r="A284" t="str">
        <x:v>ACC-028</x:v>
      </x:c>
      <x:c r="B284" t="str">
        <x:v>Masterwork Talonmark Pendant</x:v>
      </x:c>
      <x:c r="C284" t="str">
        <x:v>Purple</x:v>
      </x:c>
      <x:c r="D284" t="str">
        <x:v>Necklace</x:v>
      </x:c>
      <x:c r="E284" t="str">
        <x:v>Talonmark Pendant</x:v>
      </x:c>
      <x:c r="F284"/>
      <x:c r="G284"/>
      <x:c r="H284"/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2</x:v>
      </x:c>
      <x:c r="Q284" t="n">
        <x:v>0</x:v>
      </x:c>
      <x:c r="R284" t="n">
        <x:v>0</x:v>
      </x:c>
      <x:c r="S284" t="n">
        <x:v>0</x:v>
      </x:c>
      <x:c r="T284" t="n">
        <x:v>1</x:v>
      </x:c>
      <x:c r="U284" t="n">
        <x:v>2</x:v>
      </x:c>
      <x:c r="V284" t="n">
        <x:v>0</x:v>
      </x:c>
      <x:c r="W284" t="n">
        <x:v>0</x:v>
      </x:c>
      <x:c r="X284" t="str">
        <x:v>Keen Edge</x:v>
      </x:c>
      <x:c r="Y284" t="n">
        <x:v>2</x:v>
      </x:c>
      <x:c r="Z284" t="n">
        <x:v>0</x:v>
      </x:c>
      <x:c r="AA284" t="str">
        <x:v>Marked Opening</x:v>
      </x:c>
      <x:c r="AB284" t="n">
        <x:v>3</x:v>
      </x:c>
      <x:c r="AC284" t="n">
        <x:v>0</x:v>
      </x:c>
      <x:c r="AD284" t="n">
        <x:v>1</x:v>
      </x:c>
      <x:c r="AE284" t="str">
        <x:v>Default: Marked Opening. A: Gain Minor Dexterity Up for 2 turns. B: The next Finesse skill before the end of the next turn gains +15 Skill Power and +10 Precision.</x:v>
      </x:c>
      <x:c r="AF284"/>
      <x:c r="AG284" t="str">
        <x:v>Ailment Resistance: 0%</x:v>
      </x:c>
      <x:c r="AH284" t="str">
        <x:v>Restoration repairs only to normal maximum with a 1-turn cooldown. Fortify/Ward heal and overflow with 2-turn cooldowns; dual effects use 3 turns.</x:v>
      </x:c>
    </x:row>
    <x:row r="285">
      <x:c r="A285" t="str">
        <x:v>ACC-029</x:v>
      </x:c>
      <x:c r="B285" t="str">
        <x:v>Regal Talonmark Pendant</x:v>
      </x:c>
      <x:c r="C285" t="str">
        <x:v>Gold</x:v>
      </x:c>
      <x:c r="D285" t="str">
        <x:v>Necklace</x:v>
      </x:c>
      <x:c r="E285" t="str">
        <x:v>Talonmark Pendant</x:v>
      </x:c>
      <x:c r="F285"/>
      <x:c r="G285"/>
      <x:c r="H285"/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1</x:v>
      </x:c>
      <x:c r="O285" t="n">
        <x:v>0</x:v>
      </x:c>
      <x:c r="P285" t="n">
        <x:v>2</x:v>
      </x:c>
      <x:c r="Q285" t="n">
        <x:v>0</x:v>
      </x:c>
      <x:c r="R285" t="n">
        <x:v>0</x:v>
      </x:c>
      <x:c r="S285" t="n">
        <x:v>0</x:v>
      </x:c>
      <x:c r="T285" t="n">
        <x:v>1</x:v>
      </x:c>
      <x:c r="U285" t="n">
        <x:v>3</x:v>
      </x:c>
      <x:c r="V285" t="n">
        <x:v>0</x:v>
      </x:c>
      <x:c r="W285" t="n">
        <x:v>0</x:v>
      </x:c>
      <x:c r="X285" t="str">
        <x:v>Keen Edge</x:v>
      </x:c>
      <x:c r="Y285" t="n">
        <x:v>2</x:v>
      </x:c>
      <x:c r="Z285" t="n">
        <x:v>0</x:v>
      </x:c>
      <x:c r="AA285" t="str">
        <x:v>Marked Opening</x:v>
      </x:c>
      <x:c r="AB285" t="n">
        <x:v>3</x:v>
      </x:c>
      <x:c r="AC285" t="n">
        <x:v>0</x:v>
      </x:c>
      <x:c r="AD285" t="n">
        <x:v>1</x:v>
      </x:c>
      <x:c r="AE285" t="str">
        <x:v>Default: Marked Opening. A: Gain Minor Dexterity Up for 2 turns. B: The next Finesse skill before the end of the next turn gains +15 Skill Power and +10 Precision.</x:v>
      </x:c>
      <x:c r="AF285"/>
      <x:c r="AG285" t="str">
        <x:v>Ailment Resistance: 0%</x:v>
      </x:c>
      <x:c r="AH285" t="str">
        <x:v>Restoration repairs only to normal maximum with a 1-turn cooldown. Fortify/Ward heal and overflow with 2-turn cooldowns; dual effects use 3 turns.</x:v>
      </x:c>
    </x:row>
    <x:row r="286">
      <x:c r="A286" t="str">
        <x:v>ACC-030</x:v>
      </x:c>
      <x:c r="B286" t="str">
        <x:v>Mythic Talonmark Pendant</x:v>
      </x:c>
      <x:c r="C286" t="str">
        <x:v>Orange</x:v>
      </x:c>
      <x:c r="D286" t="str">
        <x:v>Necklace</x:v>
      </x:c>
      <x:c r="E286" t="str">
        <x:v>Talonmark Pendant</x:v>
      </x:c>
      <x:c r="F286"/>
      <x:c r="G286"/>
      <x:c r="H286"/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1</x:v>
      </x:c>
      <x:c r="O286" t="n">
        <x:v>0</x:v>
      </x:c>
      <x:c r="P286" t="n">
        <x:v>3</x:v>
      </x:c>
      <x:c r="Q286" t="n">
        <x:v>0</x:v>
      </x:c>
      <x:c r="R286" t="n">
        <x:v>0</x:v>
      </x:c>
      <x:c r="S286" t="n">
        <x:v>0</x:v>
      </x:c>
      <x:c r="T286" t="n">
        <x:v>1</x:v>
      </x:c>
      <x:c r="U286" t="n">
        <x:v>4</x:v>
      </x:c>
      <x:c r="V286" t="n">
        <x:v>0</x:v>
      </x:c>
      <x:c r="W286" t="n">
        <x:v>0</x:v>
      </x:c>
      <x:c r="X286" t="str">
        <x:v>Keen Edge</x:v>
      </x:c>
      <x:c r="Y286" t="n">
        <x:v>2</x:v>
      </x:c>
      <x:c r="Z286" t="n">
        <x:v>0</x:v>
      </x:c>
      <x:c r="AA286" t="str">
        <x:v>Marked Opening</x:v>
      </x:c>
      <x:c r="AB286" t="n">
        <x:v>3</x:v>
      </x:c>
      <x:c r="AC286" t="n">
        <x:v>0</x:v>
      </x:c>
      <x:c r="AD286" t="n">
        <x:v>1</x:v>
      </x:c>
      <x:c r="AE286" t="str">
        <x:v>Default: Marked Opening. A: Gain Minor Dexterity Up for 2 turns. B: The next Finesse skill before the end of the next turn gains +15 Skill Power and +10 Precision.</x:v>
      </x:c>
      <x:c r="AF286"/>
      <x:c r="AG286" t="str">
        <x:v>Ailment Resistance: 0%</x:v>
      </x:c>
      <x:c r="AH286" t="str">
        <x:v>Restoration repairs only to normal maximum with a 1-turn cooldown. Fortify/Ward heal and overflow with 2-turn cooldowns; dual effects use 3 turns.</x:v>
      </x:c>
    </x:row>
    <x:row r="287">
      <x:c r="A287" t="str">
        <x:v>ACC-031</x:v>
      </x:c>
      <x:c r="B287" t="str">
        <x:v>Warcrest Torque</x:v>
      </x:c>
      <x:c r="C287" t="str">
        <x:v>Grey</x:v>
      </x:c>
      <x:c r="D287" t="str">
        <x:v>Necklace</x:v>
      </x:c>
      <x:c r="E287" t="str">
        <x:v>Warcrest Torque</x:v>
      </x:c>
      <x:c r="F287"/>
      <x:c r="G287"/>
      <x:c r="H287"/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1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str">
        <x:v>War Cry</x:v>
      </x:c>
      <x:c r="Y287" t="n">
        <x:v>2</x:v>
      </x:c>
      <x:c r="Z287" t="n">
        <x:v>0</x:v>
      </x:c>
      <x:c r="AA287" t="str">
        <x:v>Unbroken Crest</x:v>
      </x:c>
      <x:c r="AB287" t="n">
        <x:v>3</x:v>
      </x:c>
      <x:c r="AC287" t="n">
        <x:v>0</x:v>
      </x:c>
      <x:c r="AD287" t="n">
        <x:v>2</x:v>
      </x:c>
      <x:c r="AE287" t="str">
        <x:v>Default: None. A: Gain Minor Might Up for 2 turns. B: Gain 6 Fortified Armour (add 6 to current Armour and temporary Maximum Armour) and Minor Guard Up for 2 turns.</x:v>
      </x:c>
      <x:c r="AF287"/>
      <x:c r="AG287" t="str">
        <x:v>Ailment Resistance: 0%</x:v>
      </x:c>
      <x:c r="AH287" t="str">
        <x:v>Restoration repairs only to normal maximum with a 1-turn cooldown. Fortify/Ward heal and overflow with 2-turn cooldowns; dual effects use 3 turns.</x:v>
      </x:c>
    </x:row>
    <x:row r="288">
      <x:c r="A288" t="str">
        <x:v>ACC-032</x:v>
      </x:c>
      <x:c r="B288" t="str">
        <x:v>Sturdy Warcrest Torque</x:v>
      </x:c>
      <x:c r="C288" t="str">
        <x:v>Green</x:v>
      </x:c>
      <x:c r="D288" t="str">
        <x:v>Necklace</x:v>
      </x:c>
      <x:c r="E288" t="str">
        <x:v>Warcrest Torque</x:v>
      </x:c>
      <x:c r="F288"/>
      <x:c r="G288"/>
      <x:c r="H288"/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1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str">
        <x:v>War Cry</x:v>
      </x:c>
      <x:c r="Y288" t="n">
        <x:v>2</x:v>
      </x:c>
      <x:c r="Z288" t="n">
        <x:v>0</x:v>
      </x:c>
      <x:c r="AA288" t="str">
        <x:v>Unbroken Crest</x:v>
      </x:c>
      <x:c r="AB288" t="n">
        <x:v>3</x:v>
      </x:c>
      <x:c r="AC288" t="n">
        <x:v>0</x:v>
      </x:c>
      <x:c r="AD288" t="n">
        <x:v>2</x:v>
      </x:c>
      <x:c r="AE288" t="str">
        <x:v>Default: War Cry. A: Gain Minor Might Up for 2 turns. B: Gain 6 Fortified Armour (add 6 to current Armour and temporary Maximum Armour) and Minor Guard Up for 2 turns.</x:v>
      </x:c>
      <x:c r="AF288"/>
      <x:c r="AG288" t="str">
        <x:v>Ailment Resistance: 0%</x:v>
      </x:c>
      <x:c r="AH288" t="str">
        <x:v>Restoration repairs only to normal maximum with a 1-turn cooldown. Fortify/Ward heal and overflow with 2-turn cooldowns; dual effects use 3 turns.</x:v>
      </x:c>
    </x:row>
    <x:row r="289">
      <x:c r="A289" t="str">
        <x:v>ACC-033</x:v>
      </x:c>
      <x:c r="B289" t="str">
        <x:v>Tempered Warcrest Torque</x:v>
      </x:c>
      <x:c r="C289" t="str">
        <x:v>Blue</x:v>
      </x:c>
      <x:c r="D289" t="str">
        <x:v>Necklace</x:v>
      </x:c>
      <x:c r="E289" t="str">
        <x:v>Warcrest Torque</x:v>
      </x:c>
      <x:c r="F289"/>
      <x:c r="G289"/>
      <x:c r="H289"/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1</x:v>
      </x:c>
      <x:c r="O289" t="n">
        <x:v>1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str">
        <x:v>War Cry</x:v>
      </x:c>
      <x:c r="Y289" t="n">
        <x:v>2</x:v>
      </x:c>
      <x:c r="Z289" t="n">
        <x:v>0</x:v>
      </x:c>
      <x:c r="AA289" t="str">
        <x:v>Unbroken Crest</x:v>
      </x:c>
      <x:c r="AB289" t="n">
        <x:v>3</x:v>
      </x:c>
      <x:c r="AC289" t="n">
        <x:v>0</x:v>
      </x:c>
      <x:c r="AD289" t="n">
        <x:v>2</x:v>
      </x:c>
      <x:c r="AE289" t="str">
        <x:v>Default: War Cry. A: Gain Minor Might Up for 2 turns. B: Gain 6 Fortified Armour (add 6 to current Armour and temporary Maximum Armour) and Minor Guard Up for 2 turns.</x:v>
      </x:c>
      <x:c r="AF289"/>
      <x:c r="AG289" t="str">
        <x:v>Ailment Resistance: 0%</x:v>
      </x:c>
      <x:c r="AH289" t="str">
        <x:v>Restoration repairs only to normal maximum with a 1-turn cooldown. Fortify/Ward heal and overflow with 2-turn cooldowns; dual effects use 3 turns.</x:v>
      </x:c>
    </x:row>
    <x:row r="290">
      <x:c r="A290" t="str">
        <x:v>ACC-034</x:v>
      </x:c>
      <x:c r="B290" t="str">
        <x:v>Masterwork Warcrest Torque</x:v>
      </x:c>
      <x:c r="C290" t="str">
        <x:v>Purple</x:v>
      </x:c>
      <x:c r="D290" t="str">
        <x:v>Necklace</x:v>
      </x:c>
      <x:c r="E290" t="str">
        <x:v>Warcrest Torque</x:v>
      </x:c>
      <x:c r="F290"/>
      <x:c r="G290"/>
      <x:c r="H290"/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1</x:v>
      </x:c>
      <x:c r="O290" t="n">
        <x:v>2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str">
        <x:v>War Cry</x:v>
      </x:c>
      <x:c r="Y290" t="n">
        <x:v>2</x:v>
      </x:c>
      <x:c r="Z290" t="n">
        <x:v>0</x:v>
      </x:c>
      <x:c r="AA290" t="str">
        <x:v>Unbroken Crest</x:v>
      </x:c>
      <x:c r="AB290" t="n">
        <x:v>3</x:v>
      </x:c>
      <x:c r="AC290" t="n">
        <x:v>0</x:v>
      </x:c>
      <x:c r="AD290" t="n">
        <x:v>2</x:v>
      </x:c>
      <x:c r="AE290" t="str">
        <x:v>Default: Unbroken Crest. A: Gain Minor Might Up for 2 turns. B: Gain 6 Fortified Armour (add 6 to current Armour and temporary Maximum Armour) and Minor Guard Up for 2 turns.</x:v>
      </x:c>
      <x:c r="AF290"/>
      <x:c r="AG290" t="str">
        <x:v>Ailment Resistance: 0%</x:v>
      </x:c>
      <x:c r="AH290" t="str">
        <x:v>Restoration repairs only to normal maximum with a 1-turn cooldown. Fortify/Ward heal and overflow with 2-turn cooldowns; dual effects use 3 turns.</x:v>
      </x:c>
    </x:row>
    <x:row r="291">
      <x:c r="A291" t="str">
        <x:v>ACC-035</x:v>
      </x:c>
      <x:c r="B291" t="str">
        <x:v>Regal Warcrest Torque</x:v>
      </x:c>
      <x:c r="C291" t="str">
        <x:v>Gold</x:v>
      </x:c>
      <x:c r="D291" t="str">
        <x:v>Necklace</x:v>
      </x:c>
      <x:c r="E291" t="str">
        <x:v>Warcrest Torque</x:v>
      </x:c>
      <x:c r="F291"/>
      <x:c r="G291"/>
      <x:c r="H291"/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1</x:v>
      </x:c>
      <x:c r="O291" t="n">
        <x:v>2</x:v>
      </x:c>
      <x:c r="P291" t="n">
        <x:v>0</x:v>
      </x:c>
      <x:c r="Q291" t="n">
        <x:v>1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str">
        <x:v>War Cry</x:v>
      </x:c>
      <x:c r="Y291" t="n">
        <x:v>2</x:v>
      </x:c>
      <x:c r="Z291" t="n">
        <x:v>0</x:v>
      </x:c>
      <x:c r="AA291" t="str">
        <x:v>Unbroken Crest</x:v>
      </x:c>
      <x:c r="AB291" t="n">
        <x:v>3</x:v>
      </x:c>
      <x:c r="AC291" t="n">
        <x:v>0</x:v>
      </x:c>
      <x:c r="AD291" t="n">
        <x:v>2</x:v>
      </x:c>
      <x:c r="AE291" t="str">
        <x:v>Default: Unbroken Crest. A: Gain Minor Might Up for 2 turns. B: Gain 6 Fortified Armour (add 6 to current Armour and temporary Maximum Armour) and Minor Guard Up for 2 turns.</x:v>
      </x:c>
      <x:c r="AF291"/>
      <x:c r="AG291" t="str">
        <x:v>Ailment Resistance: 0%</x:v>
      </x:c>
      <x:c r="AH291" t="str">
        <x:v>Restoration repairs only to normal maximum with a 1-turn cooldown. Fortify/Ward heal and overflow with 2-turn cooldowns; dual effects use 3 turns.</x:v>
      </x:c>
    </x:row>
    <x:row r="292">
      <x:c r="A292" t="str">
        <x:v>ACC-036</x:v>
      </x:c>
      <x:c r="B292" t="str">
        <x:v>Mythic Warcrest Torque</x:v>
      </x:c>
      <x:c r="C292" t="str">
        <x:v>Orange</x:v>
      </x:c>
      <x:c r="D292" t="str">
        <x:v>Necklace</x:v>
      </x:c>
      <x:c r="E292" t="str">
        <x:v>Warcrest Torque</x:v>
      </x:c>
      <x:c r="F292"/>
      <x:c r="G292"/>
      <x:c r="H292"/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1</x:v>
      </x:c>
      <x:c r="O292" t="n">
        <x:v>3</x:v>
      </x:c>
      <x:c r="P292" t="n">
        <x:v>0</x:v>
      </x:c>
      <x:c r="Q292" t="n">
        <x:v>1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str">
        <x:v>War Cry</x:v>
      </x:c>
      <x:c r="Y292" t="n">
        <x:v>2</x:v>
      </x:c>
      <x:c r="Z292" t="n">
        <x:v>0</x:v>
      </x:c>
      <x:c r="AA292" t="str">
        <x:v>Unbroken Crest</x:v>
      </x:c>
      <x:c r="AB292" t="n">
        <x:v>3</x:v>
      </x:c>
      <x:c r="AC292" t="n">
        <x:v>0</x:v>
      </x:c>
      <x:c r="AD292" t="n">
        <x:v>2</x:v>
      </x:c>
      <x:c r="AE292" t="str">
        <x:v>Default: Unbroken Crest. A: Gain Minor Might Up for 2 turns. B: Gain 6 Fortified Armour (add 6 to current Armour and temporary Maximum Armour) and Minor Guard Up for 2 turns.</x:v>
      </x:c>
      <x:c r="AF292"/>
      <x:c r="AG292" t="str">
        <x:v>Ailment Resistance: 0%</x:v>
      </x:c>
      <x:c r="AH292" t="str">
        <x:v>Restoration repairs only to normal maximum with a 1-turn cooldown. Fortify/Ward heal and overflow with 2-turn cooldowns; dual effects use 3 turns.</x:v>
      </x:c>
    </x:row>
    <x:row r="293">
      <x:c r="A293" t="str">
        <x:v>ACC-037</x:v>
      </x:c>
      <x:c r="B293" t="str">
        <x:v>Runesong Locket</x:v>
      </x:c>
      <x:c r="C293" t="str">
        <x:v>Grey</x:v>
      </x:c>
      <x:c r="D293" t="str">
        <x:v>Necklace</x:v>
      </x:c>
      <x:c r="E293" t="str">
        <x:v>Runesong Locket</x:v>
      </x:c>
      <x:c r="F293"/>
      <x:c r="G293"/>
      <x:c r="H293"/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1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str">
        <x:v>Arcane Clarity</x:v>
      </x:c>
      <x:c r="Y293" t="n">
        <x:v>2</x:v>
      </x:c>
      <x:c r="Z293" t="n">
        <x:v>0</x:v>
      </x:c>
      <x:c r="AA293" t="str">
        <x:v>Runic Crescendo</x:v>
      </x:c>
      <x:c r="AB293" t="n">
        <x:v>3</x:v>
      </x:c>
      <x:c r="AC293" t="n">
        <x:v>0</x:v>
      </x:c>
      <x:c r="AD293" t="n">
        <x:v>2</x:v>
      </x:c>
      <x:c r="AE293" t="str">
        <x:v>Default: None. A: Gain Minor Focus Up for 2 turns. B: Gain 6 Ward Magic Armour (add 6 to current Magic Armour and temporary Maximum Magic Armour) and Minor Focus Up for 2 turns.</x:v>
      </x:c>
      <x:c r="AF293"/>
      <x:c r="AG293" t="str">
        <x:v>Ailment Resistance: 0%</x:v>
      </x:c>
      <x:c r="AH293" t="str">
        <x:v>Restoration repairs only to normal maximum with a 1-turn cooldown. Fortify/Ward heal and overflow with 2-turn cooldowns; dual effects use 3 turns.</x:v>
      </x:c>
    </x:row>
    <x:row r="294">
      <x:c r="A294" t="str">
        <x:v>ACC-038</x:v>
      </x:c>
      <x:c r="B294" t="str">
        <x:v>Sturdy Runesong Locket</x:v>
      </x:c>
      <x:c r="C294" t="str">
        <x:v>Green</x:v>
      </x:c>
      <x:c r="D294" t="str">
        <x:v>Necklace</x:v>
      </x:c>
      <x:c r="E294" t="str">
        <x:v>Runesong Locket</x:v>
      </x:c>
      <x:c r="F294"/>
      <x:c r="G294"/>
      <x:c r="H294"/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1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str">
        <x:v>Arcane Clarity</x:v>
      </x:c>
      <x:c r="Y294" t="n">
        <x:v>2</x:v>
      </x:c>
      <x:c r="Z294" t="n">
        <x:v>0</x:v>
      </x:c>
      <x:c r="AA294" t="str">
        <x:v>Runic Crescendo</x:v>
      </x:c>
      <x:c r="AB294" t="n">
        <x:v>3</x:v>
      </x:c>
      <x:c r="AC294" t="n">
        <x:v>0</x:v>
      </x:c>
      <x:c r="AD294" t="n">
        <x:v>2</x:v>
      </x:c>
      <x:c r="AE294" t="str">
        <x:v>Default: Arcane Clarity. A: Gain Minor Focus Up for 2 turns. B: Gain 6 Ward Magic Armour (add 6 to current Magic Armour and temporary Maximum Magic Armour) and Minor Focus Up for 2 turns.</x:v>
      </x:c>
      <x:c r="AF294"/>
      <x:c r="AG294" t="str">
        <x:v>Ailment Resistance: 0%</x:v>
      </x:c>
      <x:c r="AH294" t="str">
        <x:v>Restoration repairs only to normal maximum with a 1-turn cooldown. Fortify/Ward heal and overflow with 2-turn cooldowns; dual effects use 3 turns.</x:v>
      </x:c>
    </x:row>
    <x:row r="295">
      <x:c r="A295" t="str">
        <x:v>ACC-039</x:v>
      </x:c>
      <x:c r="B295" t="str">
        <x:v>Tempered Runesong Locket</x:v>
      </x:c>
      <x:c r="C295" t="str">
        <x:v>Blue</x:v>
      </x:c>
      <x:c r="D295" t="str">
        <x:v>Necklace</x:v>
      </x:c>
      <x:c r="E295" t="str">
        <x:v>Runesong Locket</x:v>
      </x:c>
      <x:c r="F295"/>
      <x:c r="G295"/>
      <x:c r="H295"/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1</x:v>
      </x:c>
      <x:c r="S295" t="n">
        <x:v>1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str">
        <x:v>Arcane Clarity</x:v>
      </x:c>
      <x:c r="Y295" t="n">
        <x:v>2</x:v>
      </x:c>
      <x:c r="Z295" t="n">
        <x:v>0</x:v>
      </x:c>
      <x:c r="AA295" t="str">
        <x:v>Runic Crescendo</x:v>
      </x:c>
      <x:c r="AB295" t="n">
        <x:v>3</x:v>
      </x:c>
      <x:c r="AC295" t="n">
        <x:v>0</x:v>
      </x:c>
      <x:c r="AD295" t="n">
        <x:v>2</x:v>
      </x:c>
      <x:c r="AE295" t="str">
        <x:v>Default: Arcane Clarity. A: Gain Minor Focus Up for 2 turns. B: Gain 6 Ward Magic Armour (add 6 to current Magic Armour and temporary Maximum Magic Armour) and Minor Focus Up for 2 turns.</x:v>
      </x:c>
      <x:c r="AF295"/>
      <x:c r="AG295" t="str">
        <x:v>Ailment Resistance: 0%</x:v>
      </x:c>
      <x:c r="AH295" t="str">
        <x:v>Restoration repairs only to normal maximum with a 1-turn cooldown. Fortify/Ward heal and overflow with 2-turn cooldowns; dual effects use 3 turns.</x:v>
      </x:c>
    </x:row>
    <x:row r="296">
      <x:c r="A296" t="str">
        <x:v>ACC-040</x:v>
      </x:c>
      <x:c r="B296" t="str">
        <x:v>Masterwork Runesong Locket</x:v>
      </x:c>
      <x:c r="C296" t="str">
        <x:v>Purple</x:v>
      </x:c>
      <x:c r="D296" t="str">
        <x:v>Necklace</x:v>
      </x:c>
      <x:c r="E296" t="str">
        <x:v>Runesong Locket</x:v>
      </x:c>
      <x:c r="F296"/>
      <x:c r="G296"/>
      <x:c r="H296"/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2</x:v>
      </x:c>
      <x:c r="S296" t="n">
        <x:v>1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str">
        <x:v>Arcane Clarity</x:v>
      </x:c>
      <x:c r="Y296" t="n">
        <x:v>2</x:v>
      </x:c>
      <x:c r="Z296" t="n">
        <x:v>0</x:v>
      </x:c>
      <x:c r="AA296" t="str">
        <x:v>Runic Crescendo</x:v>
      </x:c>
      <x:c r="AB296" t="n">
        <x:v>3</x:v>
      </x:c>
      <x:c r="AC296" t="n">
        <x:v>0</x:v>
      </x:c>
      <x:c r="AD296" t="n">
        <x:v>2</x:v>
      </x:c>
      <x:c r="AE296" t="str">
        <x:v>Default: Runic Crescendo. A: Gain Minor Focus Up for 2 turns. B: Gain 6 Ward Magic Armour (add 6 to current Magic Armour and temporary Maximum Magic Armour) and Minor Focus Up for 2 turns.</x:v>
      </x:c>
      <x:c r="AF296"/>
      <x:c r="AG296" t="str">
        <x:v>Ailment Resistance: 0%</x:v>
      </x:c>
      <x:c r="AH296" t="str">
        <x:v>Restoration repairs only to normal maximum with a 1-turn cooldown. Fortify/Ward heal and overflow with 2-turn cooldowns; dual effects use 3 turns.</x:v>
      </x:c>
    </x:row>
    <x:row r="297">
      <x:c r="A297" t="str">
        <x:v>ACC-041</x:v>
      </x:c>
      <x:c r="B297" t="str">
        <x:v>Regal Runesong Locket</x:v>
      </x:c>
      <x:c r="C297" t="str">
        <x:v>Gold</x:v>
      </x:c>
      <x:c r="D297" t="str">
        <x:v>Necklace</x:v>
      </x:c>
      <x:c r="E297" t="str">
        <x:v>Runesong Locket</x:v>
      </x:c>
      <x:c r="F297"/>
      <x:c r="G297"/>
      <x:c r="H297"/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1</x:v>
      </x:c>
      <x:c r="O297" t="n">
        <x:v>0</x:v>
      </x:c>
      <x:c r="P297" t="n">
        <x:v>0</x:v>
      </x:c>
      <x:c r="Q297" t="n">
        <x:v>0</x:v>
      </x:c>
      <x:c r="R297" t="n">
        <x:v>2</x:v>
      </x:c>
      <x:c r="S297" t="n">
        <x:v>1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str">
        <x:v>Arcane Clarity</x:v>
      </x:c>
      <x:c r="Y297" t="n">
        <x:v>2</x:v>
      </x:c>
      <x:c r="Z297" t="n">
        <x:v>0</x:v>
      </x:c>
      <x:c r="AA297" t="str">
        <x:v>Runic Crescendo</x:v>
      </x:c>
      <x:c r="AB297" t="n">
        <x:v>3</x:v>
      </x:c>
      <x:c r="AC297" t="n">
        <x:v>0</x:v>
      </x:c>
      <x:c r="AD297" t="n">
        <x:v>2</x:v>
      </x:c>
      <x:c r="AE297" t="str">
        <x:v>Default: Runic Crescendo. A: Gain Minor Focus Up for 2 turns. B: Gain 6 Ward Magic Armour (add 6 to current Magic Armour and temporary Maximum Magic Armour) and Minor Focus Up for 2 turns.</x:v>
      </x:c>
      <x:c r="AF297"/>
      <x:c r="AG297" t="str">
        <x:v>Ailment Resistance: 0%</x:v>
      </x:c>
      <x:c r="AH297" t="str">
        <x:v>Restoration repairs only to normal maximum with a 1-turn cooldown. Fortify/Ward heal and overflow with 2-turn cooldowns; dual effects use 3 turns.</x:v>
      </x:c>
    </x:row>
    <x:row r="298">
      <x:c r="A298" t="str">
        <x:v>ACC-042</x:v>
      </x:c>
      <x:c r="B298" t="str">
        <x:v>Mythic Runesong Locket</x:v>
      </x:c>
      <x:c r="C298" t="str">
        <x:v>Orange</x:v>
      </x:c>
      <x:c r="D298" t="str">
        <x:v>Necklace</x:v>
      </x:c>
      <x:c r="E298" t="str">
        <x:v>Runesong Locket</x:v>
      </x:c>
      <x:c r="F298"/>
      <x:c r="G298"/>
      <x:c r="H298"/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1</x:v>
      </x:c>
      <x:c r="O298" t="n">
        <x:v>0</x:v>
      </x:c>
      <x:c r="P298" t="n">
        <x:v>0</x:v>
      </x:c>
      <x:c r="Q298" t="n">
        <x:v>0</x:v>
      </x:c>
      <x:c r="R298" t="n">
        <x:v>3</x:v>
      </x:c>
      <x:c r="S298" t="n">
        <x:v>1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str">
        <x:v>Arcane Clarity</x:v>
      </x:c>
      <x:c r="Y298" t="n">
        <x:v>2</x:v>
      </x:c>
      <x:c r="Z298" t="n">
        <x:v>0</x:v>
      </x:c>
      <x:c r="AA298" t="str">
        <x:v>Runic Crescendo</x:v>
      </x:c>
      <x:c r="AB298" t="n">
        <x:v>3</x:v>
      </x:c>
      <x:c r="AC298" t="n">
        <x:v>0</x:v>
      </x:c>
      <x:c r="AD298" t="n">
        <x:v>2</x:v>
      </x:c>
      <x:c r="AE298" t="str">
        <x:v>Default: Runic Crescendo. A: Gain Minor Focus Up for 2 turns. B: Gain 6 Ward Magic Armour (add 6 to current Magic Armour and temporary Maximum Magic Armour) and Minor Focus Up for 2 turns.</x:v>
      </x:c>
      <x:c r="AF298"/>
      <x:c r="AG298" t="str">
        <x:v>Ailment Resistance: 0%</x:v>
      </x:c>
      <x:c r="AH298" t="str">
        <x:v>Restoration repairs only to normal maximum with a 1-turn cooldown. Fortify/Ward heal and overflow with 2-turn cooldowns; dual effects use 3 turns.</x:v>
      </x:c>
    </x:row>
    <x:row r="299">
      <x:c r="A299" t="str">
        <x:v>ACC-043</x:v>
      </x:c>
      <x:c r="B299" t="str">
        <x:v>Aegis Charm</x:v>
      </x:c>
      <x:c r="C299" t="str">
        <x:v>Grey</x:v>
      </x:c>
      <x:c r="D299" t="str">
        <x:v>Necklace</x:v>
      </x:c>
      <x:c r="E299" t="str">
        <x:v>Aegis Charm</x:v>
      </x:c>
      <x:c r="F299"/>
      <x:c r="G299"/>
      <x:c r="H299"/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1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str">
        <x:v>Balance Armour</x:v>
      </x:c>
      <x:c r="Y299" t="n">
        <x:v>2</x:v>
      </x:c>
      <x:c r="Z299" t="n">
        <x:v>0</x:v>
      </x:c>
      <x:c r="AA299" t="str">
        <x:v>Dual Aegis</x:v>
      </x:c>
      <x:c r="AB299" t="n">
        <x:v>3</x:v>
      </x:c>
      <x:c r="AC299" t="n">
        <x:v>0</x:v>
      </x:c>
      <x:c r="AD299" t="n">
        <x:v>3</x:v>
      </x:c>
      <x:c r="AE299" t="str">
        <x:v>Default: None.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299"/>
      <x:c r="AG299" t="str">
        <x:v>Ailment Resistance: 0%</x:v>
      </x:c>
      <x:c r="AH299" t="str">
        <x:v>Restoration repairs only to normal maximum with a 1-turn cooldown. Fortify/Ward heal and overflow with 2-turn cooldowns; dual effects use 3 turns.</x:v>
      </x:c>
    </x:row>
    <x:row r="300">
      <x:c r="A300" t="str">
        <x:v>ACC-044</x:v>
      </x:c>
      <x:c r="B300" t="str">
        <x:v>Sturdy Aegis Charm</x:v>
      </x:c>
      <x:c r="C300" t="str">
        <x:v>Green</x:v>
      </x:c>
      <x:c r="D300" t="str">
        <x:v>Necklace</x:v>
      </x:c>
      <x:c r="E300" t="str">
        <x:v>Aegis Charm</x:v>
      </x:c>
      <x:c r="F300"/>
      <x:c r="G300"/>
      <x:c r="H300"/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1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str">
        <x:v>Balance Armour</x:v>
      </x:c>
      <x:c r="Y300" t="n">
        <x:v>2</x:v>
      </x:c>
      <x:c r="Z300" t="n">
        <x:v>0</x:v>
      </x:c>
      <x:c r="AA300" t="str">
        <x:v>Dual Aegis</x:v>
      </x:c>
      <x:c r="AB300" t="n">
        <x:v>3</x:v>
      </x:c>
      <x:c r="AC300" t="n">
        <x:v>0</x:v>
      </x:c>
      <x:c r="AD300" t="n">
        <x:v>3</x:v>
      </x:c>
      <x:c r="AE300" t="str">
        <x:v>Default: Balance Armour.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300"/>
      <x:c r="AG300" t="str">
        <x:v>Ailment Resistance: 0%</x:v>
      </x:c>
      <x:c r="AH300" t="str">
        <x:v>Restoration repairs only to normal maximum with a 1-turn cooldown. Fortify/Ward heal and overflow with 2-turn cooldowns; dual effects use 3 turns.</x:v>
      </x:c>
    </x:row>
    <x:row r="301">
      <x:c r="A301" t="str">
        <x:v>ACC-045</x:v>
      </x:c>
      <x:c r="B301" t="str">
        <x:v>Tempered Aegis Charm</x:v>
      </x:c>
      <x:c r="C301" t="str">
        <x:v>Blue</x:v>
      </x:c>
      <x:c r="D301" t="str">
        <x:v>Necklace</x:v>
      </x:c>
      <x:c r="E301" t="str">
        <x:v>Aegis Charm</x:v>
      </x:c>
      <x:c r="F301"/>
      <x:c r="G301"/>
      <x:c r="H301"/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1</x:v>
      </x:c>
      <x:c r="R301" t="n">
        <x:v>0</x:v>
      </x:c>
      <x:c r="S301" t="n">
        <x:v>1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str">
        <x:v>Balance Armour</x:v>
      </x:c>
      <x:c r="Y301" t="n">
        <x:v>2</x:v>
      </x:c>
      <x:c r="Z301" t="n">
        <x:v>0</x:v>
      </x:c>
      <x:c r="AA301" t="str">
        <x:v>Dual Aegis</x:v>
      </x:c>
      <x:c r="AB301" t="n">
        <x:v>3</x:v>
      </x:c>
      <x:c r="AC301" t="n">
        <x:v>0</x:v>
      </x:c>
      <x:c r="AD301" t="n">
        <x:v>3</x:v>
      </x:c>
      <x:c r="AE301" t="str">
        <x:v>Default: Balance Armour.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301"/>
      <x:c r="AG301" t="str">
        <x:v>Ailment Resistance: 5%</x:v>
      </x:c>
      <x:c r="AH301" t="str">
        <x:v>Restoration repairs only to normal maximum with a 1-turn cooldown. Fortify/Ward heal and overflow with 2-turn cooldowns; dual effects use 3 turns.</x:v>
      </x:c>
    </x:row>
    <x:row r="302">
      <x:c r="A302" t="str">
        <x:v>ACC-046</x:v>
      </x:c>
      <x:c r="B302" t="str">
        <x:v>Masterwork Aegis Charm</x:v>
      </x:c>
      <x:c r="C302" t="str">
        <x:v>Purple</x:v>
      </x:c>
      <x:c r="D302" t="str">
        <x:v>Necklace</x:v>
      </x:c>
      <x:c r="E302" t="str">
        <x:v>Aegis Charm</x:v>
      </x:c>
      <x:c r="F302"/>
      <x:c r="G302"/>
      <x:c r="H302"/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2</x:v>
      </x:c>
      <x:c r="R302" t="n">
        <x:v>0</x:v>
      </x:c>
      <x:c r="S302" t="n">
        <x:v>1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str">
        <x:v>Balance Armour</x:v>
      </x:c>
      <x:c r="Y302" t="n">
        <x:v>2</x:v>
      </x:c>
      <x:c r="Z302" t="n">
        <x:v>0</x:v>
      </x:c>
      <x:c r="AA302" t="str">
        <x:v>Dual Aegis</x:v>
      </x:c>
      <x:c r="AB302" t="n">
        <x:v>3</x:v>
      </x:c>
      <x:c r="AC302" t="n">
        <x:v>0</x:v>
      </x:c>
      <x:c r="AD302" t="n">
        <x:v>3</x:v>
      </x:c>
      <x:c r="AE302" t="str">
        <x:v>Default: Dual Aegis.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302"/>
      <x:c r="AG302" t="str">
        <x:v>Ailment Resistance: 10%</x:v>
      </x:c>
      <x:c r="AH302" t="str">
        <x:v>Restoration repairs only to normal maximum with a 1-turn cooldown. Fortify/Ward heal and overflow with 2-turn cooldowns; dual effects use 3 turns.</x:v>
      </x:c>
    </x:row>
    <x:row r="303">
      <x:c r="A303" t="str">
        <x:v>ACC-047</x:v>
      </x:c>
      <x:c r="B303" t="str">
        <x:v>Regal Aegis Charm</x:v>
      </x:c>
      <x:c r="C303" t="str">
        <x:v>Gold</x:v>
      </x:c>
      <x:c r="D303" t="str">
        <x:v>Necklace</x:v>
      </x:c>
      <x:c r="E303" t="str">
        <x:v>Aegis Charm</x:v>
      </x:c>
      <x:c r="F303"/>
      <x:c r="G303"/>
      <x:c r="H303"/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1</x:v>
      </x:c>
      <x:c r="O303" t="n">
        <x:v>0</x:v>
      </x:c>
      <x:c r="P303" t="n">
        <x:v>0</x:v>
      </x:c>
      <x:c r="Q303" t="n">
        <x:v>2</x:v>
      </x:c>
      <x:c r="R303" t="n">
        <x:v>0</x:v>
      </x:c>
      <x:c r="S303" t="n">
        <x:v>1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str">
        <x:v>Balance Armour</x:v>
      </x:c>
      <x:c r="Y303" t="n">
        <x:v>2</x:v>
      </x:c>
      <x:c r="Z303" t="n">
        <x:v>0</x:v>
      </x:c>
      <x:c r="AA303" t="str">
        <x:v>Dual Aegis</x:v>
      </x:c>
      <x:c r="AB303" t="n">
        <x:v>3</x:v>
      </x:c>
      <x:c r="AC303" t="n">
        <x:v>0</x:v>
      </x:c>
      <x:c r="AD303" t="n">
        <x:v>3</x:v>
      </x:c>
      <x:c r="AE303" t="str">
        <x:v>Default: Dual Aegis.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303"/>
      <x:c r="AG303" t="str">
        <x:v>Ailment Resistance: 15%</x:v>
      </x:c>
      <x:c r="AH303" t="str">
        <x:v>Restoration repairs only to normal maximum with a 1-turn cooldown. Fortify/Ward heal and overflow with 2-turn cooldowns; dual effects use 3 turns.</x:v>
      </x:c>
    </x:row>
    <x:row r="304">
      <x:c r="A304" t="str">
        <x:v>ACC-048</x:v>
      </x:c>
      <x:c r="B304" t="str">
        <x:v>Mythic Aegis Charm</x:v>
      </x:c>
      <x:c r="C304" t="str">
        <x:v>Orange</x:v>
      </x:c>
      <x:c r="D304" t="str">
        <x:v>Necklace</x:v>
      </x:c>
      <x:c r="E304" t="str">
        <x:v>Aegis Charm</x:v>
      </x:c>
      <x:c r="F304"/>
      <x:c r="G304"/>
      <x:c r="H304"/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1</x:v>
      </x:c>
      <x:c r="O304" t="n">
        <x:v>0</x:v>
      </x:c>
      <x:c r="P304" t="n">
        <x:v>0</x:v>
      </x:c>
      <x:c r="Q304" t="n">
        <x:v>3</x:v>
      </x:c>
      <x:c r="R304" t="n">
        <x:v>0</x:v>
      </x:c>
      <x:c r="S304" t="n">
        <x:v>1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str">
        <x:v>Balance Armour</x:v>
      </x:c>
      <x:c r="Y304" t="n">
        <x:v>2</x:v>
      </x:c>
      <x:c r="Z304" t="n">
        <x:v>0</x:v>
      </x:c>
      <x:c r="AA304" t="str">
        <x:v>Dual Aegis</x:v>
      </x:c>
      <x:c r="AB304" t="n">
        <x:v>3</x:v>
      </x:c>
      <x:c r="AC304" t="n">
        <x:v>0</x:v>
      </x:c>
      <x:c r="AD304" t="n">
        <x:v>3</x:v>
      </x:c>
      <x:c r="AE304" t="str">
        <x:v>Default: Dual Aegis.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304"/>
      <x:c r="AG304" t="str">
        <x:v>Ailment Resistance: 20%</x:v>
      </x:c>
      <x:c r="AH304" t="str">
        <x:v>Restoration repairs only to normal maximum with a 1-turn cooldown. Fortify/Ward heal and overflow with 2-turn cooldowns; dual effects use 3 turns.</x:v>
      </x:c>
    </x:row>
    <x:row r="305">
      <x:c r="A305" s="41" t="str">
        <x:v>WPN-B01</x:v>
      </x:c>
      <x:c r="B305" s="41" t="str">
        <x:v>Tail Wand</x:v>
      </x:c>
      <x:c r="C305" s="41" t="str">
        <x:v>Basic</x:v>
      </x:c>
      <x:c r="D305" s="41" t="str">
        <x:v>Weapon</x:v>
      </x:c>
      <x:c r="E305" s="41" t="str">
        <x:v>Tail Wand</x:v>
      </x:c>
      <x:c r="F305" s="41" t="str">
        <x:v>1H</x:v>
      </x:c>
      <x:c r="G305" s="41" t="str">
        <x:v>Mage and Siren</x:v>
      </x:c>
      <x:c r="H305" s="41" t="str">
        <x:v>Magical</x:v>
      </x:c>
      <x:c r="I305" s="41" t="str">
        <x:v>Focus</x:v>
      </x:c>
      <x:c r="J305" s="41" t="n">
        <x:v>1</x:v>
      </x:c>
      <x:c r="K305" s="41" t="n">
        <x:v>2</x:v>
      </x:c>
      <x:c r="L305" s="41" t="n">
        <x:v>0</x:v>
      </x:c>
      <x:c r="M305" s="41" t="n">
        <x:v>0</x:v>
      </x:c>
      <x:c r="N305" s="41" t="n">
        <x:v>0</x:v>
      </x:c>
      <x:c r="O305" s="41" t="n">
        <x:v>0</x:v>
      </x:c>
      <x:c r="P305" s="41" t="n">
        <x:v>0</x:v>
      </x:c>
      <x:c r="Q305" s="41" t="n">
        <x:v>0</x:v>
      </x:c>
      <x:c r="R305" s="41" t="n">
        <x:v>0</x:v>
      </x:c>
      <x:c r="S305" s="41" t="n">
        <x:v>0</x:v>
      </x:c>
      <x:c r="T305" s="41" t="n">
        <x:v>0</x:v>
      </x:c>
      <x:c r="U305" s="41" t="n">
        <x:v>0</x:v>
      </x:c>
      <x:c r="V305" s="41" t="n">
        <x:v>0</x:v>
      </x:c>
      <x:c r="W305" s="41" t="n">
        <x:v>0</x:v>
      </x:c>
      <x:c r="X305" s="41" t="str">
        <x:v>Basic Attack</x:v>
      </x:c>
      <x:c r="Y305" s="41" t="n">
        <x:v>1</x:v>
      </x:c>
      <x:c r="Z305" s="41" t="n">
        <x:v>100</x:v>
      </x:c>
      <x:c r="AA305" s="41"/>
      <x:c r="AB305" s="41"/>
      <x:c r="AC305" s="41"/>
      <x:c r="AD305" s="41" t="n">
        <x:v>0</x:v>
      </x:c>
      <x:c r="AE305" s="41" t="str">
        <x:v>Deal 100% Magic weapon damage using Focus.</x:v>
      </x:c>
      <x:c r="AF305" s="41"/>
      <x:c r="AG305" s="41" t="str">
        <x:v>Starter magical implement.</x:v>
      </x:c>
      <x:c r="AH305" s="41" t="str">
        <x:v>Starting weapon. Grants no extra weapon skills. Its Basic Attack replaces the universal basic attack and costs 1 EN, using 100% of the weapon's damage range plus the listed scaling stat.</x:v>
      </x:c>
    </x:row>
    <x:row r="306">
      <x:c r="A306" s="41" t="str">
        <x:v>WPN-B02</x:v>
      </x:c>
      <x:c r="B306" s="41" t="str">
        <x:v>Beak Stab</x:v>
      </x:c>
      <x:c r="C306" s="41" t="str">
        <x:v>Basic</x:v>
      </x:c>
      <x:c r="D306" s="41" t="str">
        <x:v>Weapon</x:v>
      </x:c>
      <x:c r="E306" s="41" t="str">
        <x:v>Beak Stab</x:v>
      </x:c>
      <x:c r="F306" s="41" t="str">
        <x:v>Natural</x:v>
      </x:c>
      <x:c r="G306" s="41" t="str">
        <x:v>Knight and Brute</x:v>
      </x:c>
      <x:c r="H306" s="41" t="str">
        <x:v>Physical Strength</x:v>
      </x:c>
      <x:c r="I306" s="41" t="str">
        <x:v>Might</x:v>
      </x:c>
      <x:c r="J306" s="41" t="n">
        <x:v>2</x:v>
      </x:c>
      <x:c r="K306" s="41" t="n">
        <x:v>3</x:v>
      </x:c>
      <x:c r="L306" s="41" t="n">
        <x:v>0</x:v>
      </x:c>
      <x:c r="M306" s="41" t="n">
        <x:v>0</x:v>
      </x:c>
      <x:c r="N306" s="41" t="n">
        <x:v>0</x:v>
      </x:c>
      <x:c r="O306" s="41" t="n">
        <x:v>0</x:v>
      </x:c>
      <x:c r="P306" s="41" t="n">
        <x:v>0</x:v>
      </x:c>
      <x:c r="Q306" s="41" t="n">
        <x:v>0</x:v>
      </x:c>
      <x:c r="R306" s="41" t="n">
        <x:v>0</x:v>
      </x:c>
      <x:c r="S306" s="41" t="n">
        <x:v>0</x:v>
      </x:c>
      <x:c r="T306" s="41" t="n">
        <x:v>0</x:v>
      </x:c>
      <x:c r="U306" s="41" t="n">
        <x:v>0</x:v>
      </x:c>
      <x:c r="V306" s="41" t="n">
        <x:v>0</x:v>
      </x:c>
      <x:c r="W306" s="41" t="n">
        <x:v>0</x:v>
      </x:c>
      <x:c r="X306" s="41" t="str">
        <x:v>Basic Attack</x:v>
      </x:c>
      <x:c r="Y306" s="41" t="n">
        <x:v>1</x:v>
      </x:c>
      <x:c r="Z306" s="41" t="n">
        <x:v>100</x:v>
      </x:c>
      <x:c r="AA306" s="41"/>
      <x:c r="AB306" s="41"/>
      <x:c r="AC306" s="41"/>
      <x:c r="AD306" s="41" t="n">
        <x:v>0</x:v>
      </x:c>
      <x:c r="AE306" s="41" t="str">
        <x:v>Deal 100% Strength weapon damage using Might.</x:v>
      </x:c>
      <x:c r="AF306" s="41"/>
      <x:c r="AG306" s="41" t="str">
        <x:v>Starter heavy physical strike.</x:v>
      </x:c>
      <x:c r="AH306" s="41" t="str">
        <x:v>Starting weapon. Grants no extra weapon skills. Its Basic Attack replaces the universal basic attack and costs 1 EN, using 100% of the weapon's damage range plus the listed scaling stat.</x:v>
      </x:c>
    </x:row>
    <x:row r="307">
      <x:c r="A307" s="41" t="str">
        <x:v>WPN-B03</x:v>
      </x:c>
      <x:c r="B307" s="41" t="str">
        <x:v>Broken Song</x:v>
      </x:c>
      <x:c r="C307" s="41" t="str">
        <x:v>Basic</x:v>
      </x:c>
      <x:c r="D307" s="41" t="str">
        <x:v>Weapon</x:v>
      </x:c>
      <x:c r="E307" s="41" t="str">
        <x:v>Broken Song</x:v>
      </x:c>
      <x:c r="F307" s="41" t="str">
        <x:v>Natural</x:v>
      </x:c>
      <x:c r="G307" s="41" t="str">
        <x:v>Bard only</x:v>
      </x:c>
      <x:c r="H307" s="41" t="str">
        <x:v>Magical</x:v>
      </x:c>
      <x:c r="I307" s="41" t="str">
        <x:v>Focus</x:v>
      </x:c>
      <x:c r="J307" s="41" t="n">
        <x:v>1</x:v>
      </x:c>
      <x:c r="K307" s="41" t="n">
        <x:v>2</x:v>
      </x:c>
      <x:c r="L307" s="41" t="n">
        <x:v>0</x:v>
      </x:c>
      <x:c r="M307" s="41" t="n">
        <x:v>0</x:v>
      </x:c>
      <x:c r="N307" s="41" t="n">
        <x:v>0</x:v>
      </x:c>
      <x:c r="O307" s="41" t="n">
        <x:v>0</x:v>
      </x:c>
      <x:c r="P307" s="41" t="n">
        <x:v>0</x:v>
      </x:c>
      <x:c r="Q307" s="41" t="n">
        <x:v>0</x:v>
      </x:c>
      <x:c r="R307" s="41" t="n">
        <x:v>0</x:v>
      </x:c>
      <x:c r="S307" s="41" t="n">
        <x:v>0</x:v>
      </x:c>
      <x:c r="T307" s="41" t="n">
        <x:v>0</x:v>
      </x:c>
      <x:c r="U307" s="41" t="n">
        <x:v>0</x:v>
      </x:c>
      <x:c r="V307" s="41" t="n">
        <x:v>0</x:v>
      </x:c>
      <x:c r="W307" s="41" t="n">
        <x:v>0</x:v>
      </x:c>
      <x:c r="X307" s="41" t="str">
        <x:v>Basic Attack</x:v>
      </x:c>
      <x:c r="Y307" s="41" t="n">
        <x:v>1</x:v>
      </x:c>
      <x:c r="Z307" s="41" t="n">
        <x:v>100</x:v>
      </x:c>
      <x:c r="AA307" s="41"/>
      <x:c r="AB307" s="41"/>
      <x:c r="AC307" s="41"/>
      <x:c r="AD307" s="41" t="n">
        <x:v>0</x:v>
      </x:c>
      <x:c r="AE307" s="41" t="str">
        <x:v>Deal 100% Magic weapon damage using Focus.</x:v>
      </x:c>
      <x:c r="AF307" s="41"/>
      <x:c r="AG307" s="41" t="str">
        <x:v>Starter resonant attack.</x:v>
      </x:c>
      <x:c r="AH307" s="41" t="str">
        <x:v>Starting weapon. Grants no extra weapon skills. Its Basic Attack replaces the universal basic attack and costs 1 EN, using 100% of the weapon's damage range plus the listed scaling stat.</x:v>
      </x:c>
    </x:row>
    <x:row r="308">
      <x:c r="A308" s="41" t="str">
        <x:v>WPN-B04</x:v>
      </x:c>
      <x:c r="B308" s="41" t="str">
        <x:v>Talon Scratch</x:v>
      </x:c>
      <x:c r="C308" s="41" t="str">
        <x:v>Basic</x:v>
      </x:c>
      <x:c r="D308" s="41" t="str">
        <x:v>Weapon</x:v>
      </x:c>
      <x:c r="E308" s="41" t="str">
        <x:v>Talon Scratch</x:v>
      </x:c>
      <x:c r="F308" s="41" t="str">
        <x:v>Natural</x:v>
      </x:c>
      <x:c r="G308" s="41" t="str">
        <x:v>Rogue only</x:v>
      </x:c>
      <x:c r="H308" s="41" t="str">
        <x:v>Physical Finesse</x:v>
      </x:c>
      <x:c r="I308" s="41" t="str">
        <x:v>Dexterity</x:v>
      </x:c>
      <x:c r="J308" s="41" t="n">
        <x:v>1</x:v>
      </x:c>
      <x:c r="K308" s="41" t="n">
        <x:v>2</x:v>
      </x:c>
      <x:c r="L308" s="41" t="n">
        <x:v>0</x:v>
      </x:c>
      <x:c r="M308" s="41" t="n">
        <x:v>0</x:v>
      </x:c>
      <x:c r="N308" s="41" t="n">
        <x:v>0</x:v>
      </x:c>
      <x:c r="O308" s="41" t="n">
        <x:v>0</x:v>
      </x:c>
      <x:c r="P308" s="41" t="n">
        <x:v>0</x:v>
      </x:c>
      <x:c r="Q308" s="41" t="n">
        <x:v>0</x:v>
      </x:c>
      <x:c r="R308" s="41" t="n">
        <x:v>0</x:v>
      </x:c>
      <x:c r="S308" s="41" t="n">
        <x:v>0</x:v>
      </x:c>
      <x:c r="T308" s="41" t="n">
        <x:v>0</x:v>
      </x:c>
      <x:c r="U308" s="41" t="n">
        <x:v>0</x:v>
      </x:c>
      <x:c r="V308" s="41" t="n">
        <x:v>0</x:v>
      </x:c>
      <x:c r="W308" s="41" t="n">
        <x:v>0</x:v>
      </x:c>
      <x:c r="X308" s="41" t="str">
        <x:v>Basic Attack</x:v>
      </x:c>
      <x:c r="Y308" s="41" t="n">
        <x:v>1</x:v>
      </x:c>
      <x:c r="Z308" s="41" t="n">
        <x:v>100</x:v>
      </x:c>
      <x:c r="AA308" s="41"/>
      <x:c r="AB308" s="41"/>
      <x:c r="AC308" s="41"/>
      <x:c r="AD308" s="41" t="n">
        <x:v>0</x:v>
      </x:c>
      <x:c r="AE308" s="41" t="str">
        <x:v>Deal 100% Finesse weapon damage using Dexterity.</x:v>
      </x:c>
      <x:c r="AF308" s="41"/>
      <x:c r="AG308" s="41" t="str">
        <x:v>Starter finesse attack.</x:v>
      </x:c>
      <x:c r="AH308" s="41" t="str">
        <x:v>Starting weapon. Grants no extra weapon skills. Its Basic Attack replaces the universal basic attack and costs 1 EN, using 100% of the weapon's damage range plus the listed scaling stat.</x:v>
      </x:c>
    </x:row>
    <x:row r="309">
      <x:c r="A309" s="41" t="str">
        <x:v>WPN-B05</x:v>
      </x:c>
      <x:c r="B309" s="41" t="str">
        <x:v>Plume Syphon</x:v>
      </x:c>
      <x:c r="C309" s="41" t="str">
        <x:v>Basic</x:v>
      </x:c>
      <x:c r="D309" s="41" t="str">
        <x:v>Weapon</x:v>
      </x:c>
      <x:c r="E309" s="41" t="str">
        <x:v>Plume Syphon</x:v>
      </x:c>
      <x:c r="F309" s="41" t="str">
        <x:v>Natural</x:v>
      </x:c>
      <x:c r="G309" s="41" t="str">
        <x:v>Inquisitor only</x:v>
      </x:c>
      <x:c r="H309" s="41" t="str">
        <x:v>Magical</x:v>
      </x:c>
      <x:c r="I309" s="41" t="str">
        <x:v>Focus</x:v>
      </x:c>
      <x:c r="J309" s="41" t="n">
        <x:v>1</x:v>
      </x:c>
      <x:c r="K309" s="41" t="n">
        <x:v>2</x:v>
      </x:c>
      <x:c r="L309" s="41" t="n">
        <x:v>0</x:v>
      </x:c>
      <x:c r="M309" s="41" t="n">
        <x:v>0</x:v>
      </x:c>
      <x:c r="N309" s="41" t="n">
        <x:v>0</x:v>
      </x:c>
      <x:c r="O309" s="41" t="n">
        <x:v>0</x:v>
      </x:c>
      <x:c r="P309" s="41" t="n">
        <x:v>0</x:v>
      </x:c>
      <x:c r="Q309" s="41" t="n">
        <x:v>0</x:v>
      </x:c>
      <x:c r="R309" s="41" t="n">
        <x:v>0</x:v>
      </x:c>
      <x:c r="S309" s="41" t="n">
        <x:v>0</x:v>
      </x:c>
      <x:c r="T309" s="41" t="n">
        <x:v>0</x:v>
      </x:c>
      <x:c r="U309" s="41" t="n">
        <x:v>0</x:v>
      </x:c>
      <x:c r="V309" s="41" t="n">
        <x:v>0</x:v>
      </x:c>
      <x:c r="W309" s="41" t="n">
        <x:v>0</x:v>
      </x:c>
      <x:c r="X309" s="41" t="str">
        <x:v>Basic Attack</x:v>
      </x:c>
      <x:c r="Y309" s="41" t="n">
        <x:v>1</x:v>
      </x:c>
      <x:c r="Z309" s="41" t="n">
        <x:v>100</x:v>
      </x:c>
      <x:c r="AA309" s="41"/>
      <x:c r="AB309" s="41"/>
      <x:c r="AC309" s="41"/>
      <x:c r="AD309" s="41" t="n">
        <x:v>0</x:v>
      </x:c>
      <x:c r="AE309" s="41" t="str">
        <x:v>Deal 100% Magic weapon damage using Focus.</x:v>
      </x:c>
      <x:c r="AF309" s="41"/>
      <x:c r="AG309" s="41" t="str">
        <x:v>Starter siphoning attack.</x:v>
      </x:c>
      <x:c r="AH309" s="41" t="str">
        <x:v>Starting weapon. Grants no extra weapon skills. Its Basic Attack replaces the universal basic attack and costs 1 EN, using 100% of the weapon's damage range plus the listed scaling stat.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sheetData>
    <x:row r="1">
      <x:c r="A1" t="str">
        <x:v>Weapon Damage Calculator</x:v>
      </x:c>
      <x:c r="B1"/>
      <x:c r="C1"/>
      <x:c r="D1"/>
      <x:c r="E1"/>
      <x:c r="F1"/>
    </x:row>
    <x:row r="2">
      <x:c r="A2"/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Input</x:v>
      </x:c>
      <x:c r="B4" t="str">
        <x:v>Value</x:v>
      </x:c>
      <x:c r="C4"/>
      <x:c r="D4" t="str">
        <x:v>Output</x:v>
      </x:c>
      <x:c r="E4" t="str">
        <x:v>Formula</x:v>
      </x:c>
      <x:c r="F4" t="str">
        <x:v>Result</x:v>
      </x:c>
    </x:row>
    <x:row r="5">
      <x:c r="A5" t="str">
        <x:v>Weapon Minimum</x:v>
      </x:c>
      <x:c r="B5" t="n">
        <x:v>2</x:v>
      </x:c>
      <x:c r="C5"/>
      <x:c r="D5" t="str">
        <x:v>Stat Damage Rating</x:v>
      </x:c>
      <x:c r="E5" t="str">
        <x:v>Scaling Stat × 2.5%</x:v>
      </x:c>
      <x:c r="F5" t="n">
        <x:f>B8*2.5%</x:f>
        <x:v>0.30000000000000004</x:v>
      </x:c>
    </x:row>
    <x:row r="6">
      <x:c r="A6" t="str">
        <x:v>Weapon Maximum</x:v>
      </x:c>
      <x:c r="B6" t="n">
        <x:v>3</x:v>
      </x:c>
      <x:c r="C6"/>
      <x:c r="D6" t="str">
        <x:v>Total Weapon Percentage</x:v>
      </x:c>
      <x:c r="E6" t="str">
        <x:v>Skill Power + Stat Rating</x:v>
      </x:c>
      <x:c r="F6" t="n">
        <x:f>(B7+F5*100)/100</x:f>
        <x:v>1.2</x:v>
      </x:c>
    </x:row>
    <x:row r="7">
      <x:c r="A7" t="str">
        <x:v>Skill Power %</x:v>
      </x:c>
      <x:c r="B7" t="n">
        <x:v>90</x:v>
      </x:c>
      <x:c r="C7"/>
      <x:c r="D7" t="str">
        <x:v>Raw Minimum Damage</x:v>
      </x:c>
      <x:c r="E7" t="str">
        <x:v>Weapon Min × Total %</x:v>
      </x:c>
      <x:c r="F7" t="n">
        <x:f>B5*F6</x:f>
        <x:v>2.4</x:v>
      </x:c>
    </x:row>
    <x:row r="8">
      <x:c r="A8" t="str">
        <x:v>Scaling Stat</x:v>
      </x:c>
      <x:c r="B8" t="n">
        <x:v>12</x:v>
      </x:c>
      <x:c r="C8"/>
      <x:c r="D8" t="str">
        <x:v>Raw Maximum Damage</x:v>
      </x:c>
      <x:c r="E8" t="str">
        <x:v>Weapon Max × Total %</x:v>
      </x:c>
      <x:c r="F8" t="n">
        <x:f>B6*F6</x:f>
        <x:v>3.5999999999999996</x:v>
      </x:c>
    </x:row>
    <x:row r="9">
      <x:c r="A9" t="str">
        <x:v>Affinity Multiplier</x:v>
      </x:c>
      <x:c r="B9" t="n">
        <x:v>1</x:v>
      </x:c>
      <x:c r="C9"/>
      <x:c r="D9" t="str">
        <x:v>Effective Defence</x:v>
      </x:c>
      <x:c r="E9" t="str">
        <x:v>MAX(0, Defence − Penetration)</x:v>
      </x:c>
      <x:c r="F9" t="n">
        <x:f>MAX(0,B11-B12)</x:f>
        <x:v>8</x:v>
      </x:c>
    </x:row>
    <x:row r="10">
      <x:c r="A10" t="str">
        <x:v>Critical Multiplier</x:v>
      </x:c>
      <x:c r="B10" t="n">
        <x:v>1</x:v>
      </x:c>
      <x:c r="C10"/>
      <x:c r="D10" t="str">
        <x:v>Mitigation Rating</x:v>
      </x:c>
      <x:c r="E10" t="str">
        <x:v>Effective Defence × 2.5</x:v>
      </x:c>
      <x:c r="F10" t="n">
        <x:f>F9*2.5</x:f>
        <x:v>20</x:v>
      </x:c>
    </x:row>
    <x:row r="11">
      <x:c r="A11" t="str">
        <x:v>Defensive Stat</x:v>
      </x:c>
      <x:c r="B11" t="n">
        <x:v>8</x:v>
      </x:c>
      <x:c r="C11"/>
      <x:c r="D11" t="str">
        <x:v>Mitigation %</x:v>
      </x:c>
      <x:c r="E11" t="str">
        <x:v>MIN(75%, Rating ÷ (100 + Rating))</x:v>
      </x:c>
      <x:c r="F11" t="n">
        <x:f>MIN(75%,F10/(100+F10))</x:f>
        <x:v>0.16666666666666666</x:v>
      </x:c>
    </x:row>
    <x:row r="12">
      <x:c r="A12" t="str">
        <x:v>Flat Penetration</x:v>
      </x:c>
      <x:c r="B12" t="n">
        <x:v>0</x:v>
      </x:c>
      <x:c r="C12"/>
      <x:c r="D12" t="str">
        <x:v>Post-Mitigation Minimum</x:v>
      </x:c>
      <x:c r="E12" t="str">
        <x:v>Raw Min × Affinity × Crit × (1 − Mitigation)</x:v>
      </x:c>
      <x:c r="F12" t="n">
        <x:f>F7*B9*B10*(1-F11)</x:f>
        <x:v>2</x:v>
      </x:c>
    </x:row>
    <x:row r="13">
      <x:c r="A13" t="str">
        <x:v>Current Matching Armour</x:v>
      </x:c>
      <x:c r="B13" t="n">
        <x:v>4</x:v>
      </x:c>
      <x:c r="C13"/>
      <x:c r="D13" t="str">
        <x:v>Post-Mitigation Maximum</x:v>
      </x:c>
      <x:c r="E13" t="str">
        <x:v>Raw Max × Affinity × Crit × (1 − Mitigation)</x:v>
      </x:c>
      <x:c r="F13" t="n">
        <x:f>F8*B9*B10*(1-F11)</x:f>
        <x:v>3</x:v>
      </x:c>
    </x:row>
    <x:row r="14">
      <x:c r="A14" t="str">
        <x:v>Current Health</x:v>
      </x:c>
      <x:c r="B14" t="n">
        <x:v>12</x:v>
      </x:c>
      <x:c r="C14"/>
      <x:c r="D14" t="str">
        <x:v>Minimum Health Damage</x:v>
      </x:c>
      <x:c r="E14" t="str">
        <x:v>MAX(0, Post-Min − Matching Armour)</x:v>
      </x:c>
      <x:c r="F14" t="n">
        <x:f>MAX(0,F12-B13)</x:f>
        <x:v>0</x:v>
      </x:c>
    </x:row>
    <x:row r="15">
      <x:c r="A15"/>
      <x:c r="B15"/>
      <x:c r="C15"/>
      <x:c r="D15" t="str">
        <x:v>Maximum Health Damage</x:v>
      </x:c>
      <x:c r="E15" t="str">
        <x:v>MAX(0, Post-Max − Matching Armour)</x:v>
      </x:c>
      <x:c r="F15" t="n">
        <x:f>MAX(0,F13-B13)</x:f>
        <x:v>0</x:v>
      </x:c>
    </x:row>
    <x:row r="16">
      <x:c r="A16"/>
      <x:c r="B16"/>
      <x:c r="C16"/>
      <x:c r="D16" t="str">
        <x:v>Ailment Roll Permitted?</x:v>
      </x:c>
      <x:c r="E16" t="str">
        <x:v>Yes if pool is zero or maximum hit overflows</x:v>
      </x:c>
      <x:c r="F16" t="str">
        <x:f>IF(OR(B13=0,F13&gt;B13),"Yes","No")</x:f>
        <x:v>No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sheetData>
    <x:row r="1">
      <x:c r="A1" t="str">
        <x:v>Armour, Magic Armour and Ailment-Gate Simulator</x:v>
      </x:c>
      <x:c r="B1"/>
      <x:c r="C1"/>
      <x:c r="D1"/>
      <x:c r="E1"/>
      <x:c r="F1"/>
    </x:row>
    <x:row r="2">
      <x:c r="A2"/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Input</x:v>
      </x:c>
      <x:c r="B4" t="str">
        <x:v>Value</x:v>
      </x:c>
      <x:c r="C4"/>
      <x:c r="D4" t="str">
        <x:v>Output</x:v>
      </x:c>
      <x:c r="E4" t="str">
        <x:v>Formula</x:v>
      </x:c>
      <x:c r="F4" t="str">
        <x:v>Result</x:v>
      </x:c>
    </x:row>
    <x:row r="5">
      <x:c r="A5" t="str">
        <x:v>Damage Type</x:v>
      </x:c>
      <x:c r="B5" t="str">
        <x:v>Physical</x:v>
      </x:c>
      <x:c r="C5"/>
      <x:c r="D5" t="str">
        <x:v>Effective Defence</x:v>
      </x:c>
      <x:c r="E5" t="str">
        <x:v>Guard or Resolve after matching penetration</x:v>
      </x:c>
      <x:c r="F5" t="n">
        <x:f>IF(B5="Physical",MAX(0,B7-B9),MAX(0,B8-B10))</x:f>
        <x:v>8</x:v>
      </x:c>
    </x:row>
    <x:row r="6">
      <x:c r="A6" t="str">
        <x:v>Incoming Raw Damage</x:v>
      </x:c>
      <x:c r="B6" t="n">
        <x:v>8</x:v>
      </x:c>
      <x:c r="C6"/>
      <x:c r="D6" t="str">
        <x:v>Mitigation %</x:v>
      </x:c>
      <x:c r="E6" t="str">
        <x:v>Diminishing-return mitigation</x:v>
      </x:c>
      <x:c r="F6" t="n">
        <x:f>MIN(75%,(F5*2.5)/(100+F5*2.5))</x:f>
        <x:v>0.16666666666666666</x:v>
      </x:c>
    </x:row>
    <x:row r="7">
      <x:c r="A7" t="str">
        <x:v>Guard</x:v>
      </x:c>
      <x:c r="B7" t="n">
        <x:v>8</x:v>
      </x:c>
      <x:c r="C7"/>
      <x:c r="D7" t="str">
        <x:v>Post-Mitigation Damage</x:v>
      </x:c>
      <x:c r="E7" t="str">
        <x:v>Raw × (1 − Mitigation)</x:v>
      </x:c>
      <x:c r="F7" t="n">
        <x:f>B6*(1-F6)</x:f>
        <x:v>6.666666666666667</x:v>
      </x:c>
    </x:row>
    <x:row r="8">
      <x:c r="A8" t="str">
        <x:v>Resolve</x:v>
      </x:c>
      <x:c r="B8" t="n">
        <x:v>4</x:v>
      </x:c>
      <x:c r="C8"/>
      <x:c r="D8" t="str">
        <x:v>Matching Pool Before</x:v>
      </x:c>
      <x:c r="E8" t="str">
        <x:v>Armour for Physical; Magic Armour for Magical</x:v>
      </x:c>
      <x:c r="F8" t="n">
        <x:f>IF(B5="Physical",B11,B12)</x:f>
        <x:v>8</x:v>
      </x:c>
    </x:row>
    <x:row r="9">
      <x:c r="A9" t="str">
        <x:v>Physical Penetration</x:v>
      </x:c>
      <x:c r="B9" t="n">
        <x:v>0</x:v>
      </x:c>
      <x:c r="C9"/>
      <x:c r="D9" t="str">
        <x:v>Matching Pool After</x:v>
      </x:c>
      <x:c r="E9" t="str">
        <x:v>MAX(0, Pool − Damage)</x:v>
      </x:c>
      <x:c r="F9" t="n">
        <x:f>MAX(0,F8-F7)</x:f>
        <x:v>1.333333333333333</x:v>
      </x:c>
    </x:row>
    <x:row r="10">
      <x:c r="A10" t="str">
        <x:v>Magic Penetration</x:v>
      </x:c>
      <x:c r="B10" t="n">
        <x:v>0</x:v>
      </x:c>
      <x:c r="C10"/>
      <x:c r="D10" t="str">
        <x:v>Health Damage</x:v>
      </x:c>
      <x:c r="E10" t="str">
        <x:v>MAX(0, Damage − Pool)</x:v>
      </x:c>
      <x:c r="F10" t="n">
        <x:f>MAX(0,F7-F8)</x:f>
        <x:v>0</x:v>
      </x:c>
    </x:row>
    <x:row r="11">
      <x:c r="A11" t="str">
        <x:v>Current Armour</x:v>
      </x:c>
      <x:c r="B11" t="n">
        <x:v>8</x:v>
      </x:c>
      <x:c r="C11"/>
      <x:c r="D11" t="str">
        <x:v>Health After</x:v>
      </x:c>
      <x:c r="E11" t="str">
        <x:v>MAX(0, Health − Health Damage)</x:v>
      </x:c>
      <x:c r="F11" t="n">
        <x:f>MAX(0,B13-F10)</x:f>
        <x:v>15</x:v>
      </x:c>
    </x:row>
    <x:row r="12">
      <x:c r="A12" t="str">
        <x:v>Current Magic Armour</x:v>
      </x:c>
      <x:c r="B12" t="n">
        <x:v>2</x:v>
      </x:c>
      <x:c r="C12"/>
      <x:c r="D12" t="str">
        <x:v>Ailment Gate</x:v>
      </x:c>
      <x:c r="E12" t="str">
        <x:v>Permitted only if damage reaches Health</x:v>
      </x:c>
      <x:c r="F12" t="str">
        <x:f>IF(F10&gt;0,"Permitted","Blocked")</x:f>
        <x:v>Blocked</x:v>
      </x:c>
    </x:row>
    <x:row r="13">
      <x:c r="A13" t="str">
        <x:v>Current Health</x:v>
      </x:c>
      <x:c r="B13" t="n">
        <x:v>15</x:v>
      </x:c>
      <x:c r="C13"/>
      <x:c r="D13" t="str">
        <x:v>Physical Armour After</x:v>
      </x:c>
      <x:c r="E13" t="str">
        <x:v>Updated physical pool</x:v>
      </x:c>
      <x:c r="F13" t="n">
        <x:f>IF(B5="Physical",F9,B11)</x:f>
        <x:v>1.333333333333333</x:v>
      </x:c>
    </x:row>
    <x:row r="14">
      <x:c r="A14" t="str">
        <x:v>Ailment Type</x:v>
      </x:c>
      <x:c r="B14" t="str">
        <x:v>Bleed</x:v>
      </x:c>
      <x:c r="C14"/>
      <x:c r="D14" t="str">
        <x:v>Magic Armour After</x:v>
      </x:c>
      <x:c r="E14" t="str">
        <x:v>Updated magical pool</x:v>
      </x:c>
      <x:c r="F14" t="n">
        <x:f>IF(B5="Magical",F9,B12)</x:f>
        <x:v>2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sheetData>
    <x:row r="1">
      <x:c r="A1" t="str">
        <x:v>Skill Rules — Weapon Skills, Restoration, Fortify and Ward v1.2</x:v>
      </x:c>
      <x:c r="B1"/>
      <x:c r="C1"/>
      <x:c r="D1"/>
      <x:c r="E1"/>
      <x:c r="F1"/>
      <x:c r="G1"/>
      <x:c r="H1"/>
      <x:c r="I1"/>
      <x:c r="J1"/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t="str">
        <x:v>Area</x:v>
      </x:c>
      <x:c r="B4" t="str">
        <x:v>Rule</x:v>
      </x:c>
      <x:c r="C4" t="str">
        <x:v>EN</x:v>
      </x:c>
      <x:c r="D4" t="str">
        <x:v>Cooldown</x:v>
      </x:c>
      <x:c r="E4" t="str">
        <x:v>Skill Power Guidance</x:v>
      </x:c>
      <x:c r="F4" t="str">
        <x:v>Armour Interaction</x:v>
      </x:c>
      <x:c r="G4" t="str">
        <x:v>Duration</x:v>
      </x:c>
      <x:c r="H4" t="str">
        <x:v>Expiry</x:v>
      </x:c>
      <x:c r="I4" t="str">
        <x:v>Example</x:v>
      </x:c>
      <x:c r="J4" t="str">
        <x:v>Status</x:v>
      </x:c>
    </x:row>
    <x:row r="5">
      <x:c r="A5" t="str">
        <x:v>Basic Attack</x:v>
      </x:c>
      <x:c r="B5" t="str">
        <x:v>The equipped weapon supplies the basic attack. Starting Basic weapons grant only this attack; later weapons replace it and may also grant extra skills.</x:v>
      </x:c>
      <x:c r="C5" t="str">
        <x:v>1</x:v>
      </x:c>
      <x:c r="D5" t="str">
        <x:v>None</x:v>
      </x:c>
      <x:c r="E5" t="str">
        <x:v>100% of equipped weapon damage</x:v>
      </x:c>
      <x:c r="F5" t="str">
        <x:v>Normal damage resolution</x:v>
      </x:c>
      <x:c r="G5" t="str">
        <x:v>—</x:v>
      </x:c>
      <x:c r="H5" t="str">
        <x:v>—</x:v>
      </x:c>
      <x:c r="I5" t="str">
        <x:v>Tail Wand uses its 1–2 damage range plus Focus scaling.</x:v>
      </x:c>
      <x:c r="J5" t="str">
        <x:v>Confirmed</x:v>
      </x:c>
    </x:row>
    <x:row r="6">
      <x:c r="A6" t="str">
        <x:v>Weapon Skill 1</x:v>
      </x:c>
      <x:c r="B6" t="str">
        <x:v>Non-Basic weapons may grant a reliable first technique in addition to the equipped Basic Attack.</x:v>
      </x:c>
      <x:c r="C6" t="str">
        <x:v>2</x:v>
      </x:c>
      <x:c r="D6" t="str">
        <x:v>None</x:v>
      </x:c>
      <x:c r="E6" t="str">
        <x:v>Pure damage 100–120%; utility skills proportionally lower</x:v>
      </x:c>
      <x:c r="F6" t="str">
        <x:v>May restore Armour/Magic Armour or include limited utility</x:v>
      </x:c>
      <x:c r="G6" t="str">
        <x:v>As stated</x:v>
      </x:c>
      <x:c r="H6" t="str">
        <x:v>As stated</x:v>
      </x:c>
      <x:c r="I6" t="str">
        <x:v>Talon Cut: 110% Finesse weapon damage.</x:v>
      </x:c>
      <x:c r="J6" t="str">
        <x:v>Confirmed</x:v>
      </x:c>
    </x:row>
    <x:row r="7">
      <x:c r="A7" t="str">
        <x:v>Weapon Skill 2</x:v>
      </x:c>
      <x:c r="B7" t="str">
        <x:v>Non-Basic weapons may grant a stronger or utility second technique in addition to the equipped Basic Attack.</x:v>
      </x:c>
      <x:c r="C7" t="str">
        <x:v>3</x:v>
      </x:c>
      <x:c r="D7" t="str">
        <x:v>1 turn normally; 2 turns for Fortify/Ward; 3 turns for dual Bastion/Aegis</x:v>
      </x:c>
      <x:c r="E7" t="str">
        <x:v>Pure damage 130–150%; utility skills proportionally lower</x:v>
      </x:c>
      <x:c r="F7" t="str">
        <x:v>May grant restoration, Fortify, Ward, buffs, debuffs or ailments; overflow defence uses longer cooldowns</x:v>
      </x:c>
      <x:c r="G7" t="str">
        <x:v>As stated</x:v>
      </x:c>
      <x:c r="H7" t="str">
        <x:v>As stated</x:v>
      </x:c>
      <x:c r="I7" t="str">
        <x:v>Fortifying Slam: 85% damage + 6 Fortified Armour, 2-turn cooldown.</x:v>
      </x:c>
      <x:c r="J7" t="str">
        <x:v>Confirmed</x:v>
      </x:c>
    </x:row>
    <x:row r="8">
      <x:c r="A8" t="str">
        <x:v>No 4 EN weapon skill</x:v>
      </x:c>
      <x:c r="B8" t="str">
        <x:v>Weapon-granted Skill 2 is not a 4 EN skill.</x:v>
      </x:c>
      <x:c r="C8" t="str">
        <x:v>—</x:v>
      </x:c>
      <x:c r="D8" t="str">
        <x:v>—</x:v>
      </x:c>
      <x:c r="E8" t="str">
        <x:v>4 EN remains outside the standard weapon-granted pair.</x:v>
      </x:c>
      <x:c r="F8" t="str">
        <x:v>—</x:v>
      </x:c>
      <x:c r="G8" t="str">
        <x:v>—</x:v>
      </x:c>
      <x:c r="H8" t="str">
        <x:v>—</x:v>
      </x:c>
      <x:c r="I8" t="str">
        <x:v>Weapon catalogue uses only 2 EN and 3 EN skills.</x:v>
      </x:c>
      <x:c r="J8" t="str">
        <x:v>Confirmed</x:v>
      </x:c>
    </x:row>
    <x:row r="9">
      <x:c r="A9" t="str">
        <x:v>Armour restoration</x:v>
      </x:c>
      <x:c r="B9" t="str">
        <x:v>Restore current Armour up to normal Maximum Armour; cannot exceed it.</x:v>
      </x:c>
      <x:c r="C9" t="str">
        <x:v>Usually 2</x:v>
      </x:c>
      <x:c r="D9" t="str">
        <x:v>1 turn</x:v>
      </x:c>
      <x:c r="E9" t="str">
        <x:v>No damage unless stated</x:v>
      </x:c>
      <x:c r="F9" t="str">
        <x:v>Does not exceed normal maximum</x:v>
      </x:c>
      <x:c r="G9" t="str">
        <x:v>Permanent until damaged</x:v>
      </x:c>
      <x:c r="H9" t="str">
        <x:v>No expiry</x:v>
      </x:c>
      <x:c r="I9" t="str">
        <x:v>18/24 + Restore 8 = 24/24.</x:v>
      </x:c>
      <x:c r="J9" t="str">
        <x:v>Confirmed</x:v>
      </x:c>
    </x:row>
    <x:row r="10">
      <x:c r="A10" t="str">
        <x:v>Magic Armour restoration</x:v>
      </x:c>
      <x:c r="B10" t="str">
        <x:v>Restore current Magic Armour up to normal Maximum Magic Armour; cannot exceed it.</x:v>
      </x:c>
      <x:c r="C10" t="str">
        <x:v>Usually 2</x:v>
      </x:c>
      <x:c r="D10" t="str">
        <x:v>1 turn</x:v>
      </x:c>
      <x:c r="E10" t="str">
        <x:v>No damage unless stated</x:v>
      </x:c>
      <x:c r="F10" t="str">
        <x:v>Does not exceed normal maximum</x:v>
      </x:c>
      <x:c r="G10" t="str">
        <x:v>Permanent until damaged</x:v>
      </x:c>
      <x:c r="H10" t="str">
        <x:v>No expiry</x:v>
      </x:c>
      <x:c r="I10" t="str">
        <x:v>10/18 + Restore 6 = 16/18.</x:v>
      </x:c>
      <x:c r="J10" t="str">
        <x:v>Confirmed</x:v>
      </x:c>
    </x:row>
    <x:row r="11">
      <x:c r="A11" t="str">
        <x:v>Fortify</x:v>
      </x:c>
      <x:c r="B11" t="str">
        <x:v>Add the Fortify value to current Armour and temporary Maximum Armour for the duration.</x:v>
      </x:c>
      <x:c r="C11" t="str">
        <x:v>Usually 3</x:v>
      </x:c>
      <x:c r="D11" t="str">
        <x:v>2 turns</x:v>
      </x:c>
      <x:c r="E11" t="str">
        <x:v>Utility consumes direct damage budget</x:v>
      </x:c>
      <x:c r="F11" t="str">
        <x:v>Heals missing Armour, may exceed normal maximum, and blocks physical ailments while Armour remains</x:v>
      </x:c>
      <x:c r="G11" t="str">
        <x:v>Usually 2 turns</x:v>
      </x:c>
      <x:c r="H11" t="str">
        <x:v>MIN(Current Armour, Normal Maximum Armour)</x:v>
      </x:c>
      <x:c r="I11" t="str">
        <x:v>20/24 + Fortify 12 = 32/36; expiry at 27/36 becomes 24/24.</x:v>
      </x:c>
      <x:c r="J11" t="str">
        <x:v>Confirmed</x:v>
      </x:c>
    </x:row>
    <x:row r="12">
      <x:c r="A12" t="str">
        <x:v>Ward</x:v>
      </x:c>
      <x:c r="B12" t="str">
        <x:v>Add the Ward value to current Magic Armour and temporary Maximum Magic Armour for the duration.</x:v>
      </x:c>
      <x:c r="C12" t="str">
        <x:v>Usually 3</x:v>
      </x:c>
      <x:c r="D12" t="str">
        <x:v>2 turns</x:v>
      </x:c>
      <x:c r="E12" t="str">
        <x:v>Utility consumes direct damage budget</x:v>
      </x:c>
      <x:c r="F12" t="str">
        <x:v>Heals missing Magic Armour, may exceed normal maximum, and blocks magical ailments while Magic Armour remains</x:v>
      </x:c>
      <x:c r="G12" t="str">
        <x:v>Usually 2 turns</x:v>
      </x:c>
      <x:c r="H12" t="str">
        <x:v>MIN(Current Magic Armour, Normal Maximum Magic Armour)</x:v>
      </x:c>
      <x:c r="I12" t="str">
        <x:v>15/18 + Ward 8 = 23/26; expiry at 21/26 becomes 18/18.</x:v>
      </x:c>
      <x:c r="J12" t="str">
        <x:v>Confirmed</x:v>
      </x:c>
    </x:row>
    <x:row r="13">
      <x:c r="A13" t="str">
        <x:v>Dual Bastion / Aegis</x:v>
      </x:c>
      <x:c r="B13" t="str">
        <x:v>Rare effects add to both current protection pools and both temporary maximums.</x:v>
      </x:c>
      <x:c r="C13" t="str">
        <x:v>3</x:v>
      </x:c>
      <x:c r="D13" t="str">
        <x:v>3 turns</x:v>
      </x:c>
      <x:c r="E13" t="str">
        <x:v>Amounts are lower than specialised Fortify or Ward</x:v>
      </x:c>
      <x:c r="F13" t="str">
        <x:v>Both pools can exceed normal maximum during the effect</x:v>
      </x:c>
      <x:c r="G13" t="str">
        <x:v>1–2 turns</x:v>
      </x:c>
      <x:c r="H13" t="str">
        <x:v>Each pool separately returns to its normal maximum</x:v>
      </x:c>
      <x:c r="I13" t="str">
        <x:v>Gain 5 Fortified Armour and 5 Ward Magic Armour for 2 turns; 3-turn cooldown.</x:v>
      </x:c>
      <x:c r="J13" t="str">
        <x:v>Confirmed</x:v>
      </x:c>
    </x:row>
    <x:row r="14">
      <x:c r="A14" t="str">
        <x:v>Fortify stacking</x:v>
      </x:c>
      <x:c r="B14" t="str">
        <x:v>Fortify does not stack with itself. Reapplication uses the greater active bonus and refreshes duration.</x:v>
      </x:c>
      <x:c r="C14" t="str">
        <x:v>—</x:v>
      </x:c>
      <x:c r="D14" t="str">
        <x:v>—</x:v>
      </x:c>
      <x:c r="E14" t="str">
        <x:v>—</x:v>
      </x:c>
      <x:c r="F14" t="str">
        <x:v>Same rule for Ward</x:v>
      </x:c>
      <x:c r="G14" t="str">
        <x:v>—</x:v>
      </x:c>
      <x:c r="H14" t="str">
        <x:v>Normal maximum is unchanged</x:v>
      </x:c>
      <x:c r="I14" t="str">
        <x:v>Fortify 8 followed by Fortify 12 becomes Fortify 12.</x:v>
      </x:c>
      <x:c r="J14" t="str">
        <x:v>Confirmed</x:v>
      </x:c>
    </x:row>
    <x:row r="15">
      <x:c r="A15" t="str">
        <x:v>Barrier migration</x:v>
      </x:c>
      <x:c r="B15" t="str">
        <x:v>Barrier is not an active protection pool.</x:v>
      </x:c>
      <x:c r="C15" t="str">
        <x:v>—</x:v>
      </x:c>
      <x:c r="D15" t="str">
        <x:v>—</x:v>
      </x:c>
      <x:c r="E15" t="str">
        <x:v>—</x:v>
      </x:c>
      <x:c r="F15" t="str">
        <x:v>Physical Barrier → Armour/Fortify; Magical Barrier → Magic Armour/Ward</x:v>
      </x:c>
      <x:c r="G15" t="str">
        <x:v>—</x:v>
      </x:c>
      <x:c r="H15" t="str">
        <x:v>—</x:v>
      </x:c>
      <x:c r="I15" t="str">
        <x:v>All active skills specify Armour, Magic Armour, Fortify or Ward.</x:v>
      </x:c>
      <x:c r="J15" t="str">
        <x:v>Confirmed</x:v>
      </x:c>
    </x:row>
    <x:row r="16">
      <x:c r="A16" t="str">
        <x:v>Ailment protection</x:v>
      </x:c>
      <x:c r="B16" t="str">
        <x:v>Temporary Armour and Magic Armour protect against corresponding ailments.</x:v>
      </x:c>
      <x:c r="C16" t="str">
        <x:v>—</x:v>
      </x:c>
      <x:c r="D16" t="str">
        <x:v>—</x:v>
      </x:c>
      <x:c r="E16" t="str">
        <x:v>—</x:v>
      </x:c>
      <x:c r="F16" t="str">
        <x:v>Ailment roll requires the matching pool to be zero and the hit to damage Health</x:v>
      </x:c>
      <x:c r="G16" t="str">
        <x:v>While pool remains</x:v>
      </x:c>
      <x:c r="H16" t="str">
        <x:v>—</x:v>
      </x:c>
      <x:c r="I16" t="str">
        <x:v>Fortify can temporarily block Bleed again.</x:v>
      </x:c>
      <x:c r="J16" t="str">
        <x:v>Confirmed</x:v>
      </x:c>
    </x:row>
    <x:row r="17">
      <x:c r="A17" t="str">
        <x:v>Multi-hit power</x:v>
      </x:c>
      <x:c r="B17" t="str">
        <x:v>Skill Power is the total across all hits.</x:v>
      </x:c>
      <x:c r="C17" t="str">
        <x:v>2 or 3</x:v>
      </x:c>
      <x:c r="D17" t="str">
        <x:v>By EN</x:v>
      </x:c>
      <x:c r="E17" t="str">
        <x:v>Split the stated total between hits</x:v>
      </x:c>
      <x:c r="F17" t="str">
        <x:v>Each hit resolves protection normally</x:v>
      </x:c>
      <x:c r="G17" t="str">
        <x:v>—</x:v>
      </x:c>
      <x:c r="H17" t="str">
        <x:v>—</x:v>
      </x:c>
      <x:c r="I17" t="str">
        <x:v>120% total may be 60% + 60%.</x:v>
      </x:c>
      <x:c r="J17" t="str">
        <x:v>Confirmed</x:v>
      </x:c>
    </x:row>
    <x:row r="18">
      <x:c r="A18" t="str">
        <x:v>Equipment skill availability</x:v>
      </x:c>
      <x:c r="B18" t="str">
        <x:v>Grey grants no bonus equipment skill; Green/Blue default to Pool A; Purple/Gold/Orange default to Pool B. Loot variants may roll either eligible pool skill where allowed.</x:v>
      </x:c>
      <x:c r="C18" t="str">
        <x:v>—</x:v>
      </x:c>
      <x:c r="D18" t="str">
        <x:v>By skill</x:v>
      </x:c>
      <x:c r="E18" t="str">
        <x:v>Equipment utility uses the same 2 EN/3 EN structure</x:v>
      </x:c>
      <x:c r="F18" t="str">
        <x:v>Defined by each skill</x:v>
      </x:c>
      <x:c r="G18" t="str">
        <x:v>As stated</x:v>
      </x:c>
      <x:c r="H18" t="str">
        <x:v>As stated</x:v>
      </x:c>
      <x:c r="I18" t="str">
        <x:v>Shadowplume may roll Featherstep or Vanishing Plumage.</x:v>
      </x:c>
      <x:c r="J18" t="str">
        <x:v>New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sheetData>
    <x:row r="1">
      <x:c r="A1" t="str">
        <x:v>Weapon Skill Library — 36 Granted Weapon Skills v1.2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 t="str">
        <x:v>Skill ID</x:v>
      </x:c>
      <x:c r="B4" t="str">
        <x:v>Weapon Family</x:v>
      </x:c>
      <x:c r="C4" t="str">
        <x:v>Skill Slot</x:v>
      </x:c>
      <x:c r="D4" t="str">
        <x:v>Skill Name</x:v>
      </x:c>
      <x:c r="E4" t="str">
        <x:v>EN</x:v>
      </x:c>
      <x:c r="F4" t="str">
        <x:v>Cooldown</x:v>
      </x:c>
      <x:c r="G4" t="str">
        <x:v>Skill Power %</x:v>
      </x:c>
      <x:c r="H4" t="str">
        <x:v>Damage Category</x:v>
      </x:c>
      <x:c r="I4" t="str">
        <x:v>Scaling Stat</x:v>
      </x:c>
      <x:c r="J4" t="str">
        <x:v>Skill Type</x:v>
      </x:c>
      <x:c r="K4" t="str">
        <x:v>Armour / Ailment Interaction</x:v>
      </x:c>
      <x:c r="L4" t="str">
        <x:v>Full Effect</x:v>
      </x:c>
      <x:c r="M4" t="str">
        <x:v>Power Audit</x:v>
      </x:c>
      <x:c r="N4" t="str">
        <x:v>Status</x:v>
      </x:c>
    </x:row>
    <x:row r="5">
      <x:c r="A5" t="str">
        <x:v>WSK-001</x:v>
      </x:c>
      <x:c r="B5" t="str">
        <x:v>Dagger Pinion</x:v>
      </x:c>
      <x:c r="C5" t="str">
        <x:v>Skill 1</x:v>
      </x:c>
      <x:c r="D5" t="str">
        <x:v>Quick Pinion</x:v>
      </x:c>
      <x:c r="E5" t="n">
        <x:v>2</x:v>
      </x:c>
      <x:c r="F5" t="n">
        <x:v>0</x:v>
      </x:c>
      <x:c r="G5" t="n">
        <x:v>110</x:v>
      </x:c>
      <x:c r="H5" t="str">
        <x:v>Physical Finesse</x:v>
      </x:c>
      <x:c r="I5" t="str">
        <x:v>Dexterity</x:v>
      </x:c>
      <x:c r="J5" t="str">
        <x:v>Pure Damage</x:v>
      </x:c>
      <x:c r="K5" t="str">
        <x:v>Normal weapon damage and protection resolution.</x:v>
      </x:c>
      <x:c r="L5" t="str">
        <x:v>Deal 110% Finesse weapon damage. Gain +10 Precision if the user has higher Agility than the target.</x:v>
      </x:c>
      <x:c r="M5" t="str">
        <x:v>PASS</x:v>
      </x:c>
      <x:c r="N5" t="str">
        <x:v>Active</x:v>
      </x:c>
    </x:row>
    <x:row r="6">
      <x:c r="A6" t="str">
        <x:v>WSK-002</x:v>
      </x:c>
      <x:c r="B6" t="str">
        <x:v>Dagger Pinion</x:v>
      </x:c>
      <x:c r="C6" t="str">
        <x:v>Skill 2</x:v>
      </x:c>
      <x:c r="D6" t="str">
        <x:v>Pinion Flurry</x:v>
      </x:c>
      <x:c r="E6" t="n">
        <x:v>3</x:v>
      </x:c>
      <x:c r="F6" t="n">
        <x:v>1</x:v>
      </x:c>
      <x:c r="G6" t="n">
        <x:v>120</x:v>
      </x:c>
      <x:c r="H6" t="str">
        <x:v>Physical Finesse</x:v>
      </x:c>
      <x:c r="I6" t="str">
        <x:v>Dexterity</x:v>
      </x:c>
      <x:c r="J6" t="str">
        <x:v>Damage + Utility</x:v>
      </x:c>
      <x:c r="K6" t="str">
        <x:v>Bleed roll only after Armour is broken and Health is damaged.</x:v>
      </x:c>
      <x:c r="L6" t="str">
        <x:v>Strike twice for 60% weapon damage per hit. If both hits damage Health, roll a 50% chance to apply Bleed.</x:v>
      </x:c>
      <x:c r="M6" t="str">
        <x:v>PASS</x:v>
      </x:c>
      <x:c r="N6" t="str">
        <x:v>Active</x:v>
      </x:c>
    </x:row>
    <x:row r="7">
      <x:c r="A7" t="str">
        <x:v>WSK-003</x:v>
      </x:c>
      <x:c r="B7" t="str">
        <x:v>Talon Blade</x:v>
      </x:c>
      <x:c r="C7" t="str">
        <x:v>Skill 1</x:v>
      </x:c>
      <x:c r="D7" t="str">
        <x:v>Talon Cut</x:v>
      </x:c>
      <x:c r="E7" t="n">
        <x:v>2</x:v>
      </x:c>
      <x:c r="F7" t="n">
        <x:v>0</x:v>
      </x:c>
      <x:c r="G7" t="n">
        <x:v>110</x:v>
      </x:c>
      <x:c r="H7" t="str">
        <x:v>Physical Finesse</x:v>
      </x:c>
      <x:c r="I7" t="str">
        <x:v>Dexterity</x:v>
      </x:c>
      <x:c r="J7" t="str">
        <x:v>Pure Damage</x:v>
      </x:c>
      <x:c r="K7" t="str">
        <x:v>Normal weapon damage and protection resolution.</x:v>
      </x:c>
      <x:c r="L7" t="str">
        <x:v>Deal 110% Finesse weapon damage.</x:v>
      </x:c>
      <x:c r="M7" t="str">
        <x:v>PASS</x:v>
      </x:c>
      <x:c r="N7" t="str">
        <x:v>Active</x:v>
      </x:c>
    </x:row>
    <x:row r="8">
      <x:c r="A8" t="str">
        <x:v>WSK-004</x:v>
      </x:c>
      <x:c r="B8" t="str">
        <x:v>Talon Blade</x:v>
      </x:c>
      <x:c r="C8" t="str">
        <x:v>Skill 2</x:v>
      </x:c>
      <x:c r="D8" t="str">
        <x:v>Rending Talon</x:v>
      </x:c>
      <x:c r="E8" t="n">
        <x:v>3</x:v>
      </x:c>
      <x:c r="F8" t="n">
        <x:v>1</x:v>
      </x:c>
      <x:c r="G8" t="n">
        <x:v>120</x:v>
      </x:c>
      <x:c r="H8" t="str">
        <x:v>Physical Finesse</x:v>
      </x:c>
      <x:c r="I8" t="str">
        <x:v>Dexterity</x:v>
      </x:c>
      <x:c r="J8" t="str">
        <x:v>Damage + Utility</x:v>
      </x:c>
      <x:c r="K8" t="str">
        <x:v>Bleed roll only after Armour is broken and Health is damaged.</x:v>
      </x:c>
      <x:c r="L8" t="str">
        <x:v>Deal 120% Finesse weapon damage. If Armour is broken and Health is damaged, roll a 50% chance to apply Bleed.</x:v>
      </x:c>
      <x:c r="M8" t="str">
        <x:v>PASS</x:v>
      </x:c>
      <x:c r="N8" t="str">
        <x:v>Active</x:v>
      </x:c>
    </x:row>
    <x:row r="9">
      <x:c r="A9" t="str">
        <x:v>WSK-005</x:v>
      </x:c>
      <x:c r="B9" t="str">
        <x:v>Duel Sabre</x:v>
      </x:c>
      <x:c r="C9" t="str">
        <x:v>Skill 1</x:v>
      </x:c>
      <x:c r="D9" t="str">
        <x:v>Riposte Slash</x:v>
      </x:c>
      <x:c r="E9" t="n">
        <x:v>2</x:v>
      </x:c>
      <x:c r="F9" t="n">
        <x:v>0</x:v>
      </x:c>
      <x:c r="G9" t="n">
        <x:v>100</x:v>
      </x:c>
      <x:c r="H9" t="str">
        <x:v>Physical Finesse</x:v>
      </x:c>
      <x:c r="I9" t="str">
        <x:v>Dexterity</x:v>
      </x:c>
      <x:c r="J9" t="str">
        <x:v>Pure Damage</x:v>
      </x:c>
      <x:c r="K9" t="str">
        <x:v>Normal weapon damage and protection resolution.</x:v>
      </x:c>
      <x:c r="L9" t="str">
        <x:v>Deal 100% Finesse weapon damage. Gain +20 Skill Power if the user Dodged the opponent’s previous attack.</x:v>
      </x:c>
      <x:c r="M9" t="str">
        <x:v>PASS</x:v>
      </x:c>
      <x:c r="N9" t="str">
        <x:v>Active</x:v>
      </x:c>
    </x:row>
    <x:row r="10">
      <x:c r="A10" t="str">
        <x:v>WSK-006</x:v>
      </x:c>
      <x:c r="B10" t="str">
        <x:v>Duel Sabre</x:v>
      </x:c>
      <x:c r="C10" t="str">
        <x:v>Skill 2</x:v>
      </x:c>
      <x:c r="D10" t="str">
        <x:v>Duellist’s Tempo</x:v>
      </x:c>
      <x:c r="E10" t="n">
        <x:v>3</x:v>
      </x:c>
      <x:c r="F10" t="n">
        <x:v>1</x:v>
      </x:c>
      <x:c r="G10" t="n">
        <x:v>115</x:v>
      </x:c>
      <x:c r="H10" t="str">
        <x:v>Physical Finesse</x:v>
      </x:c>
      <x:c r="I10" t="str">
        <x:v>Dexterity</x:v>
      </x:c>
      <x:c r="J10" t="str">
        <x:v>Damage + Utility</x:v>
      </x:c>
      <x:c r="K10" t="str">
        <x:v>Normal weapon damage and protection resolution.</x:v>
      </x:c>
      <x:c r="L10" t="str">
        <x:v>Deal 115% Finesse weapon damage. On hit, gain Minor Agility Up for 2 turns.</x:v>
      </x:c>
      <x:c r="M10" t="str">
        <x:v>PASS</x:v>
      </x:c>
      <x:c r="N10" t="str">
        <x:v>Active</x:v>
      </x:c>
    </x:row>
    <x:row r="11">
      <x:c r="A11" t="str">
        <x:v>WSK-007</x:v>
      </x:c>
      <x:c r="B11" t="str">
        <x:v>Hand Crossbow</x:v>
      </x:c>
      <x:c r="C11" t="str">
        <x:v>Skill 1</x:v>
      </x:c>
      <x:c r="D11" t="str">
        <x:v>Snap Bolt</x:v>
      </x:c>
      <x:c r="E11" t="n">
        <x:v>2</x:v>
      </x:c>
      <x:c r="F11" t="n">
        <x:v>0</x:v>
      </x:c>
      <x:c r="G11" t="n">
        <x:v>110</x:v>
      </x:c>
      <x:c r="H11" t="str">
        <x:v>Physical Finesse</x:v>
      </x:c>
      <x:c r="I11" t="str">
        <x:v>Dexterity</x:v>
      </x:c>
      <x:c r="J11" t="str">
        <x:v>Pure Damage</x:v>
      </x:c>
      <x:c r="K11" t="str">
        <x:v>Normal weapon damage and protection resolution.</x:v>
      </x:c>
      <x:c r="L11" t="str">
        <x:v>Deal 110% Finesse weapon damage.</x:v>
      </x:c>
      <x:c r="M11" t="str">
        <x:v>PASS</x:v>
      </x:c>
      <x:c r="N11" t="str">
        <x:v>Active</x:v>
      </x:c>
    </x:row>
    <x:row r="12">
      <x:c r="A12" t="str">
        <x:v>WSK-008</x:v>
      </x:c>
      <x:c r="B12" t="str">
        <x:v>Hand Crossbow</x:v>
      </x:c>
      <x:c r="C12" t="str">
        <x:v>Skill 2</x:v>
      </x:c>
      <x:c r="D12" t="str">
        <x:v>Barbed Bolt</x:v>
      </x:c>
      <x:c r="E12" t="n">
        <x:v>3</x:v>
      </x:c>
      <x:c r="F12" t="n">
        <x:v>1</x:v>
      </x:c>
      <x:c r="G12" t="n">
        <x:v>115</x:v>
      </x:c>
      <x:c r="H12" t="str">
        <x:v>Physical Finesse</x:v>
      </x:c>
      <x:c r="I12" t="str">
        <x:v>Dexterity</x:v>
      </x:c>
      <x:c r="J12" t="str">
        <x:v>Damage + Utility</x:v>
      </x:c>
      <x:c r="K12" t="str">
        <x:v>Bleed roll only after Armour is broken and Health is damaged.</x:v>
      </x:c>
      <x:c r="L12" t="str">
        <x:v>Deal 115% Finesse weapon damage. If Armour is broken and Health is damaged, roll a 50% chance to apply Bleed.</x:v>
      </x:c>
      <x:c r="M12" t="str">
        <x:v>PASS</x:v>
      </x:c>
      <x:c r="N12" t="str">
        <x:v>Active</x:v>
      </x:c>
    </x:row>
    <x:row r="13">
      <x:c r="A13" t="str">
        <x:v>WSK-009</x:v>
      </x:c>
      <x:c r="B13" t="str">
        <x:v>Beak Hammer</x:v>
      </x:c>
      <x:c r="C13" t="str">
        <x:v>Skill 1</x:v>
      </x:c>
      <x:c r="D13" t="str">
        <x:v>Crushing Peck</x:v>
      </x:c>
      <x:c r="E13" t="n">
        <x:v>2</x:v>
      </x:c>
      <x:c r="F13" t="n">
        <x:v>0</x:v>
      </x:c>
      <x:c r="G13" t="n">
        <x:v>100</x:v>
      </x:c>
      <x:c r="H13" t="str">
        <x:v>Physical Strength</x:v>
      </x:c>
      <x:c r="I13" t="str">
        <x:v>Might</x:v>
      </x:c>
      <x:c r="J13" t="str">
        <x:v>Damage + Ailment</x:v>
      </x:c>
      <x:c r="K13" t="str">
        <x:v>Dazed applies only after Armour is broken and Health is damaged.</x:v>
      </x:c>
      <x:c r="L13" t="str">
        <x:v>Deal 100% Strength weapon damage. If Armour is broken and Health is damaged, apply 1 Dazed stack.</x:v>
      </x:c>
      <x:c r="M13" t="str">
        <x:v>PASS</x:v>
      </x:c>
      <x:c r="N13" t="str">
        <x:v>Active</x:v>
      </x:c>
    </x:row>
    <x:row r="14">
      <x:c r="A14" t="str">
        <x:v>WSK-010</x:v>
      </x:c>
      <x:c r="B14" t="str">
        <x:v>Beak Hammer</x:v>
      </x:c>
      <x:c r="C14" t="str">
        <x:v>Skill 2</x:v>
      </x:c>
      <x:c r="D14" t="str">
        <x:v>Fortifying Slam</x:v>
      </x:c>
      <x:c r="E14" t="n">
        <x:v>3</x:v>
      </x:c>
      <x:c r="F14" t="n">
        <x:v>2</x:v>
      </x:c>
      <x:c r="G14" t="n">
        <x:v>85</x:v>
      </x:c>
      <x:c r="H14" t="str">
        <x:v>Physical Strength</x:v>
      </x:c>
      <x:c r="I14" t="str">
        <x:v>Might</x:v>
      </x:c>
      <x:c r="J14" t="str">
        <x:v>Damage + Utility</x:v>
      </x:c>
      <x:c r="K14" t="str">
        <x:v>Adds to current Armour and temporary Maximum Armour; blocks physical ailments while Armour remains.</x:v>
      </x:c>
      <x:c r="L14" t="str">
        <x:v>Deal 85% Strength weapon damage and gain 6 Fortified Armour (add 6 to current Armour and temporary Maximum Armour) for 2 turns.</x:v>
      </x:c>
      <x:c r="M14" t="str">
        <x:v>PASS</x:v>
      </x:c>
      <x:c r="N14" t="str">
        <x:v>Active</x:v>
      </x:c>
    </x:row>
    <x:row r="15">
      <x:c r="A15" t="str">
        <x:v>WSK-011</x:v>
      </x:c>
      <x:c r="B15" t="str">
        <x:v>Wand</x:v>
      </x:c>
      <x:c r="C15" t="str">
        <x:v>Skill 1</x:v>
      </x:c>
      <x:c r="D15" t="str">
        <x:v>Arc Bolt</x:v>
      </x:c>
      <x:c r="E15" t="n">
        <x:v>2</x:v>
      </x:c>
      <x:c r="F15" t="n">
        <x:v>0</x:v>
      </x:c>
      <x:c r="G15" t="n">
        <x:v>110</x:v>
      </x:c>
      <x:c r="H15" t="str">
        <x:v>Magical</x:v>
      </x:c>
      <x:c r="I15" t="str">
        <x:v>Focus</x:v>
      </x:c>
      <x:c r="J15" t="str">
        <x:v>Pure Damage</x:v>
      </x:c>
      <x:c r="K15" t="str">
        <x:v>Normal weapon damage and protection resolution.</x:v>
      </x:c>
      <x:c r="L15" t="str">
        <x:v>Deal 110% Magic weapon damage.</x:v>
      </x:c>
      <x:c r="M15" t="str">
        <x:v>PASS</x:v>
      </x:c>
      <x:c r="N15" t="str">
        <x:v>Active</x:v>
      </x:c>
    </x:row>
    <x:row r="16">
      <x:c r="A16" t="str">
        <x:v>WSK-012</x:v>
      </x:c>
      <x:c r="B16" t="str">
        <x:v>Wand</x:v>
      </x:c>
      <x:c r="C16" t="str">
        <x:v>Skill 2</x:v>
      </x:c>
      <x:c r="D16" t="str">
        <x:v>Arcane Ward</x:v>
      </x:c>
      <x:c r="E16" t="n">
        <x:v>3</x:v>
      </x:c>
      <x:c r="F16" t="n">
        <x:v>2</x:v>
      </x:c>
      <x:c r="G16" t="n">
        <x:v>0</x:v>
      </x:c>
      <x:c r="H16" t="str">
        <x:v>Magical</x:v>
      </x:c>
      <x:c r="I16" t="str">
        <x:v>Focus</x:v>
      </x:c>
      <x:c r="J16" t="str">
        <x:v>Utility</x:v>
      </x:c>
      <x:c r="K16" t="str">
        <x:v>Adds to current Magic Armour and temporary Maximum Magic Armour; blocks magical ailments while Magic Armour remains.</x:v>
      </x:c>
      <x:c r="L16" t="str">
        <x:v>Gain 8 Ward Magic Armour (add 8 to current Magic Armour and temporary Maximum Magic Armour) for 2 turns. Ward heals missing Magic Armour and may exceed normal Maximum Magic Armour.</x:v>
      </x:c>
      <x:c r="M16" t="str">
        <x:v>PASS</x:v>
      </x:c>
      <x:c r="N16" t="str">
        <x:v>Active</x:v>
      </x:c>
    </x:row>
    <x:row r="17">
      <x:c r="A17" t="str">
        <x:v>WSK-013</x:v>
      </x:c>
      <x:c r="B17" t="str">
        <x:v>Hexwood Wand</x:v>
      </x:c>
      <x:c r="C17" t="str">
        <x:v>Skill 1</x:v>
      </x:c>
      <x:c r="D17" t="str">
        <x:v>Hex Needle</x:v>
      </x:c>
      <x:c r="E17" t="n">
        <x:v>2</x:v>
      </x:c>
      <x:c r="F17" t="n">
        <x:v>0</x:v>
      </x:c>
      <x:c r="G17" t="n">
        <x:v>90</x:v>
      </x:c>
      <x:c r="H17" t="str">
        <x:v>Magical</x:v>
      </x:c>
      <x:c r="I17" t="str">
        <x:v>Focus</x:v>
      </x:c>
      <x:c r="J17" t="str">
        <x:v>Damage + Utility</x:v>
      </x:c>
      <x:c r="K17" t="str">
        <x:v>Magical rider requires Magic Armour broken and Health damaged unless the effect is self-targeted.</x:v>
      </x:c>
      <x:c r="L17" t="str">
        <x:v>Deal 90% Magic weapon damage. If Magic Armour is broken and Health is damaged, roll the weapon’s magical ailment chance.</x:v>
      </x:c>
      <x:c r="M17" t="str">
        <x:v>PASS</x:v>
      </x:c>
      <x:c r="N17" t="str">
        <x:v>Active</x:v>
      </x:c>
    </x:row>
    <x:row r="18">
      <x:c r="A18" t="str">
        <x:v>WSK-014</x:v>
      </x:c>
      <x:c r="B18" t="str">
        <x:v>Hexwood Wand</x:v>
      </x:c>
      <x:c r="C18" t="str">
        <x:v>Skill 2</x:v>
      </x:c>
      <x:c r="D18" t="str">
        <x:v>Withering Hex</x:v>
      </x:c>
      <x:c r="E18" t="n">
        <x:v>3</x:v>
      </x:c>
      <x:c r="F18" t="n">
        <x:v>1</x:v>
      </x:c>
      <x:c r="G18" t="n">
        <x:v>75</x:v>
      </x:c>
      <x:c r="H18" t="str">
        <x:v>Magical</x:v>
      </x:c>
      <x:c r="I18" t="str">
        <x:v>Focus</x:v>
      </x:c>
      <x:c r="J18" t="str">
        <x:v>Damage + Utility</x:v>
      </x:c>
      <x:c r="K18" t="str">
        <x:v>Magical rider requires Magic Armour broken and Health damaged unless the effect is self-targeted.</x:v>
      </x:c>
      <x:c r="L18" t="str">
        <x:v>Deal 75% Magic weapon damage. If Magic Armour is broken and Health is damaged, apply Minor Focus Down for 2 turns.</x:v>
      </x:c>
      <x:c r="M18" t="str">
        <x:v>PASS</x:v>
      </x:c>
      <x:c r="N18" t="str">
        <x:v>Active</x:v>
      </x:c>
    </x:row>
    <x:row r="19">
      <x:c r="A19" t="str">
        <x:v>WSK-015</x:v>
      </x:c>
      <x:c r="B19" t="str">
        <x:v>Focus Orb</x:v>
      </x:c>
      <x:c r="C19" t="str">
        <x:v>Skill 1</x:v>
      </x:c>
      <x:c r="D19" t="str">
        <x:v>Orb Pulse</x:v>
      </x:c>
      <x:c r="E19" t="n">
        <x:v>2</x:v>
      </x:c>
      <x:c r="F19" t="n">
        <x:v>0</x:v>
      </x:c>
      <x:c r="G19" t="n">
        <x:v>80</x:v>
      </x:c>
      <x:c r="H19" t="str">
        <x:v>Magical</x:v>
      </x:c>
      <x:c r="I19" t="str">
        <x:v>Focus</x:v>
      </x:c>
      <x:c r="J19" t="str">
        <x:v>Damage + Utility</x:v>
      </x:c>
      <x:c r="K19" t="str">
        <x:v>Magical rider requires Magic Armour broken and Health damaged unless the effect is self-targeted.</x:v>
      </x:c>
      <x:c r="L19" t="str">
        <x:v>Deal 80% Magic weapon damage. If Magic Armour is broken and Health is damaged, roll a 60% chance to apply 1 stack of the Orb’s ailment.</x:v>
      </x:c>
      <x:c r="M19" t="str">
        <x:v>PASS</x:v>
      </x:c>
      <x:c r="N19" t="str">
        <x:v>Active</x:v>
      </x:c>
    </x:row>
    <x:row r="20">
      <x:c r="A20" t="str">
        <x:v>WSK-016</x:v>
      </x:c>
      <x:c r="B20" t="str">
        <x:v>Focus Orb</x:v>
      </x:c>
      <x:c r="C20" t="str">
        <x:v>Skill 2</x:v>
      </x:c>
      <x:c r="D20" t="str">
        <x:v>Orb Ward</x:v>
      </x:c>
      <x:c r="E20" t="n">
        <x:v>3</x:v>
      </x:c>
      <x:c r="F20" t="n">
        <x:v>2</x:v>
      </x:c>
      <x:c r="G20" t="n">
        <x:v>0</x:v>
      </x:c>
      <x:c r="H20" t="str">
        <x:v>Magical</x:v>
      </x:c>
      <x:c r="I20" t="str">
        <x:v>Focus</x:v>
      </x:c>
      <x:c r="J20" t="str">
        <x:v>Utility</x:v>
      </x:c>
      <x:c r="K20" t="str">
        <x:v>Adds to current Magic Armour and temporary Maximum Magic Armour; blocks magical ailments while Magic Armour remains.</x:v>
      </x:c>
      <x:c r="L20" t="str">
        <x:v>Gain 8 Ward Magic Armour (add 8 to current Magic Armour and temporary Maximum Magic Armour) for 2 turns and reduce application chance of the Orb’s matching ailment by 10 percentage points while active.</x:v>
      </x:c>
      <x:c r="M20" t="str">
        <x:v>PASS</x:v>
      </x:c>
      <x:c r="N20" t="str">
        <x:v>Active</x:v>
      </x:c>
    </x:row>
    <x:row r="21">
      <x:c r="A21" t="str">
        <x:v>WSK-017</x:v>
      </x:c>
      <x:c r="B21" t="str">
        <x:v>Bell Sceptre</x:v>
      </x:c>
      <x:c r="C21" t="str">
        <x:v>Skill 1</x:v>
      </x:c>
      <x:c r="D21" t="str">
        <x:v>Resonant Toll</x:v>
      </x:c>
      <x:c r="E21" t="n">
        <x:v>2</x:v>
      </x:c>
      <x:c r="F21" t="n">
        <x:v>0</x:v>
      </x:c>
      <x:c r="G21" t="n">
        <x:v>110</x:v>
      </x:c>
      <x:c r="H21" t="str">
        <x:v>Magical</x:v>
      </x:c>
      <x:c r="I21" t="str">
        <x:v>Focus</x:v>
      </x:c>
      <x:c r="J21" t="str">
        <x:v>Pure Damage</x:v>
      </x:c>
      <x:c r="K21" t="str">
        <x:v>Normal weapon damage and protection resolution.</x:v>
      </x:c>
      <x:c r="L21" t="str">
        <x:v>Deal 110% Magic weapon damage.</x:v>
      </x:c>
      <x:c r="M21" t="str">
        <x:v>PASS</x:v>
      </x:c>
      <x:c r="N21" t="str">
        <x:v>Active</x:v>
      </x:c>
    </x:row>
    <x:row r="22">
      <x:c r="A22" t="str">
        <x:v>WSK-018</x:v>
      </x:c>
      <x:c r="B22" t="str">
        <x:v>Bell Sceptre</x:v>
      </x:c>
      <x:c r="C22" t="str">
        <x:v>Skill 2</x:v>
      </x:c>
      <x:c r="D22" t="str">
        <x:v>Harmonic Renewal</x:v>
      </x:c>
      <x:c r="E22" t="n">
        <x:v>3</x:v>
      </x:c>
      <x:c r="F22" t="n">
        <x:v>1</x:v>
      </x:c>
      <x:c r="G22" t="n">
        <x:v>0</x:v>
      </x:c>
      <x:c r="H22" t="str">
        <x:v>Magical</x:v>
      </x:c>
      <x:c r="I22" t="str">
        <x:v>Focus</x:v>
      </x:c>
      <x:c r="J22" t="str">
        <x:v>Utility</x:v>
      </x:c>
      <x:c r="K22" t="str">
        <x:v>Restoration cannot exceed the normal maximum unless the text says Fortify or Ward.</x:v>
      </x:c>
      <x:c r="L22" t="str">
        <x:v>Restore 5 Armour and 5 Magic Armour, each capped at its normal maximum.</x:v>
      </x:c>
      <x:c r="M22" t="str">
        <x:v>PASS</x:v>
      </x:c>
      <x:c r="N22" t="str">
        <x:v>Active</x:v>
      </x:c>
    </x:row>
    <x:row r="23">
      <x:c r="A23" t="str">
        <x:v>WSK-019</x:v>
      </x:c>
      <x:c r="B23" t="str">
        <x:v>Bow</x:v>
      </x:c>
      <x:c r="C23" t="str">
        <x:v>Skill 1</x:v>
      </x:c>
      <x:c r="D23" t="str">
        <x:v>Pinion Shot</x:v>
      </x:c>
      <x:c r="E23" t="n">
        <x:v>2</x:v>
      </x:c>
      <x:c r="F23" t="n">
        <x:v>0</x:v>
      </x:c>
      <x:c r="G23" t="n">
        <x:v>115</x:v>
      </x:c>
      <x:c r="H23" t="str">
        <x:v>Physical Finesse</x:v>
      </x:c>
      <x:c r="I23" t="str">
        <x:v>Dexterity</x:v>
      </x:c>
      <x:c r="J23" t="str">
        <x:v>Pure Damage</x:v>
      </x:c>
      <x:c r="K23" t="str">
        <x:v>Normal weapon damage and protection resolution.</x:v>
      </x:c>
      <x:c r="L23" t="str">
        <x:v>Deal 115% Finesse weapon damage.</x:v>
      </x:c>
      <x:c r="M23" t="str">
        <x:v>PASS</x:v>
      </x:c>
      <x:c r="N23" t="str">
        <x:v>Active</x:v>
      </x:c>
    </x:row>
    <x:row r="24">
      <x:c r="A24" t="str">
        <x:v>WSK-020</x:v>
      </x:c>
      <x:c r="B24" t="str">
        <x:v>Bow</x:v>
      </x:c>
      <x:c r="C24" t="str">
        <x:v>Skill 2</x:v>
      </x:c>
      <x:c r="D24" t="str">
        <x:v>Crippling Shot</x:v>
      </x:c>
      <x:c r="E24" t="n">
        <x:v>3</x:v>
      </x:c>
      <x:c r="F24" t="n">
        <x:v>1</x:v>
      </x:c>
      <x:c r="G24" t="n">
        <x:v>95</x:v>
      </x:c>
      <x:c r="H24" t="str">
        <x:v>Physical Finesse</x:v>
      </x:c>
      <x:c r="I24" t="str">
        <x:v>Dexterity</x:v>
      </x:c>
      <x:c r="J24" t="str">
        <x:v>Damage + Ailment</x:v>
      </x:c>
      <x:c r="K24" t="str">
        <x:v>Crippled applies only after Armour is broken and Health is damaged.</x:v>
      </x:c>
      <x:c r="L24" t="str">
        <x:v>Deal 95% Finesse weapon damage. If Armour is broken and Health is damaged, apply 2 Crippled stacks.</x:v>
      </x:c>
      <x:c r="M24" t="str">
        <x:v>PASS</x:v>
      </x:c>
      <x:c r="N24" t="str">
        <x:v>Active</x:v>
      </x:c>
    </x:row>
    <x:row r="25">
      <x:c r="A25" t="str">
        <x:v>WSK-021</x:v>
      </x:c>
      <x:c r="B25" t="str">
        <x:v>Lance</x:v>
      </x:c>
      <x:c r="C25" t="str">
        <x:v>Skill 1</x:v>
      </x:c>
      <x:c r="D25" t="str">
        <x:v>Skyward Thrust</x:v>
      </x:c>
      <x:c r="E25" t="n">
        <x:v>2</x:v>
      </x:c>
      <x:c r="F25" t="n">
        <x:v>0</x:v>
      </x:c>
      <x:c r="G25" t="n">
        <x:v>120</x:v>
      </x:c>
      <x:c r="H25" t="str">
        <x:v>Physical Strength</x:v>
      </x:c>
      <x:c r="I25" t="str">
        <x:v>Might</x:v>
      </x:c>
      <x:c r="J25" t="str">
        <x:v>Pure Damage</x:v>
      </x:c>
      <x:c r="K25" t="str">
        <x:v>Normal weapon damage and protection resolution.</x:v>
      </x:c>
      <x:c r="L25" t="str">
        <x:v>Deal 120% Strength weapon damage.</x:v>
      </x:c>
      <x:c r="M25" t="str">
        <x:v>PASS</x:v>
      </x:c>
      <x:c r="N25" t="str">
        <x:v>Active</x:v>
      </x:c>
    </x:row>
    <x:row r="26">
      <x:c r="A26" t="str">
        <x:v>WSK-022</x:v>
      </x:c>
      <x:c r="B26" t="str">
        <x:v>Lance</x:v>
      </x:c>
      <x:c r="C26" t="str">
        <x:v>Skill 2</x:v>
      </x:c>
      <x:c r="D26" t="str">
        <x:v>Piercing Charge</x:v>
      </x:c>
      <x:c r="E26" t="n">
        <x:v>3</x:v>
      </x:c>
      <x:c r="F26" t="n">
        <x:v>1</x:v>
      </x:c>
      <x:c r="G26" t="n">
        <x:v>135</x:v>
      </x:c>
      <x:c r="H26" t="str">
        <x:v>Physical Strength</x:v>
      </x:c>
      <x:c r="I26" t="str">
        <x:v>Might</x:v>
      </x:c>
      <x:c r="J26" t="str">
        <x:v>Damage + Utility</x:v>
      </x:c>
      <x:c r="K26" t="str">
        <x:v>Normal weapon damage and protection resolution.</x:v>
      </x:c>
      <x:c r="L26" t="str">
        <x:v>Deal 135% Strength weapon damage and ignore 4 Guard for this attack.</x:v>
      </x:c>
      <x:c r="M26" t="str">
        <x:v>PASS</x:v>
      </x:c>
      <x:c r="N26" t="str">
        <x:v>Active</x:v>
      </x:c>
    </x:row>
    <x:row r="27">
      <x:c r="A27" t="str">
        <x:v>WSK-023</x:v>
      </x:c>
      <x:c r="B27" t="str">
        <x:v>Staff</x:v>
      </x:c>
      <x:c r="C27" t="str">
        <x:v>Skill 1</x:v>
      </x:c>
      <x:c r="D27" t="str">
        <x:v>Runic Sweep</x:v>
      </x:c>
      <x:c r="E27" t="n">
        <x:v>2</x:v>
      </x:c>
      <x:c r="F27" t="n">
        <x:v>0</x:v>
      </x:c>
      <x:c r="G27" t="n">
        <x:v>110</x:v>
      </x:c>
      <x:c r="H27" t="str">
        <x:v>Magical</x:v>
      </x:c>
      <x:c r="I27" t="str">
        <x:v>Focus</x:v>
      </x:c>
      <x:c r="J27" t="str">
        <x:v>Pure Damage</x:v>
      </x:c>
      <x:c r="K27" t="str">
        <x:v>Normal weapon damage and protection resolution.</x:v>
      </x:c>
      <x:c r="L27" t="str">
        <x:v>Deal 110% Magic weapon damage.</x:v>
      </x:c>
      <x:c r="M27" t="str">
        <x:v>PASS</x:v>
      </x:c>
      <x:c r="N27" t="str">
        <x:v>Active</x:v>
      </x:c>
    </x:row>
    <x:row r="28">
      <x:c r="A28" t="str">
        <x:v>WSK-024</x:v>
      </x:c>
      <x:c r="B28" t="str">
        <x:v>Staff</x:v>
      </x:c>
      <x:c r="C28" t="str">
        <x:v>Skill 2</x:v>
      </x:c>
      <x:c r="D28" t="str">
        <x:v>Grand Ward</x:v>
      </x:c>
      <x:c r="E28" t="n">
        <x:v>3</x:v>
      </x:c>
      <x:c r="F28" t="n">
        <x:v>2</x:v>
      </x:c>
      <x:c r="G28" t="n">
        <x:v>0</x:v>
      </x:c>
      <x:c r="H28" t="str">
        <x:v>Magical</x:v>
      </x:c>
      <x:c r="I28" t="str">
        <x:v>Focus</x:v>
      </x:c>
      <x:c r="J28" t="str">
        <x:v>Utility</x:v>
      </x:c>
      <x:c r="K28" t="str">
        <x:v>Adds to current Magic Armour and temporary Maximum Magic Armour; blocks magical ailments while Magic Armour remains.</x:v>
      </x:c>
      <x:c r="L28" t="str">
        <x:v>Gain 10 Ward Magic Armour (add 10 to current Magic Armour and temporary Maximum Magic Armour) for 2 turns.</x:v>
      </x:c>
      <x:c r="M28" t="str">
        <x:v>PASS</x:v>
      </x:c>
      <x:c r="N28" t="str">
        <x:v>Active</x:v>
      </x:c>
    </x:row>
    <x:row r="29">
      <x:c r="A29" t="str">
        <x:v>WSK-025</x:v>
      </x:c>
      <x:c r="B29" t="str">
        <x:v>Greatblade</x:v>
      </x:c>
      <x:c r="C29" t="str">
        <x:v>Skill 1</x:v>
      </x:c>
      <x:c r="D29" t="str">
        <x:v>Greatwing Slash</x:v>
      </x:c>
      <x:c r="E29" t="n">
        <x:v>2</x:v>
      </x:c>
      <x:c r="F29" t="n">
        <x:v>0</x:v>
      </x:c>
      <x:c r="G29" t="n">
        <x:v>120</x:v>
      </x:c>
      <x:c r="H29" t="str">
        <x:v>Physical Strength</x:v>
      </x:c>
      <x:c r="I29" t="str">
        <x:v>Might</x:v>
      </x:c>
      <x:c r="J29" t="str">
        <x:v>Pure Damage</x:v>
      </x:c>
      <x:c r="K29" t="str">
        <x:v>Normal weapon damage and protection resolution.</x:v>
      </x:c>
      <x:c r="L29" t="str">
        <x:v>Deal 120% Strength weapon damage.</x:v>
      </x:c>
      <x:c r="M29" t="str">
        <x:v>PASS</x:v>
      </x:c>
      <x:c r="N29" t="str">
        <x:v>Active</x:v>
      </x:c>
    </x:row>
    <x:row r="30">
      <x:c r="A30" t="str">
        <x:v>WSK-026</x:v>
      </x:c>
      <x:c r="B30" t="str">
        <x:v>Greatblade</x:v>
      </x:c>
      <x:c r="C30" t="str">
        <x:v>Skill 2</x:v>
      </x:c>
      <x:c r="D30" t="str">
        <x:v>Sundering Wing</x:v>
      </x:c>
      <x:c r="E30" t="n">
        <x:v>3</x:v>
      </x:c>
      <x:c r="F30" t="n">
        <x:v>1</x:v>
      </x:c>
      <x:c r="G30" t="n">
        <x:v>125</x:v>
      </x:c>
      <x:c r="H30" t="str">
        <x:v>Physical Strength</x:v>
      </x:c>
      <x:c r="I30" t="str">
        <x:v>Might</x:v>
      </x:c>
      <x:c r="J30" t="str">
        <x:v>Damage + Ailment</x:v>
      </x:c>
      <x:c r="K30" t="str">
        <x:v>Fracture applies only after Armour is broken and Health is damaged.</x:v>
      </x:c>
      <x:c r="L30" t="str">
        <x:v>Deal 125% Strength weapon damage. If Armour is broken and Health is damaged, apply 2 Fracture stacks.</x:v>
      </x:c>
      <x:c r="M30" t="str">
        <x:v>PASS</x:v>
      </x:c>
      <x:c r="N30" t="str">
        <x:v>Active</x:v>
      </x:c>
    </x:row>
    <x:row r="31">
      <x:c r="A31" t="str">
        <x:v>WSK-027</x:v>
      </x:c>
      <x:c r="B31" t="str">
        <x:v>Greatbow</x:v>
      </x:c>
      <x:c r="C31" t="str">
        <x:v>Skill 1</x:v>
      </x:c>
      <x:c r="D31" t="str">
        <x:v>Piercing Flight</x:v>
      </x:c>
      <x:c r="E31" t="n">
        <x:v>2</x:v>
      </x:c>
      <x:c r="F31" t="n">
        <x:v>0</x:v>
      </x:c>
      <x:c r="G31" t="n">
        <x:v>120</x:v>
      </x:c>
      <x:c r="H31" t="str">
        <x:v>Physical Finesse</x:v>
      </x:c>
      <x:c r="I31" t="str">
        <x:v>Dexterity</x:v>
      </x:c>
      <x:c r="J31" t="str">
        <x:v>Pure Damage</x:v>
      </x:c>
      <x:c r="K31" t="str">
        <x:v>Normal weapon damage and protection resolution.</x:v>
      </x:c>
      <x:c r="L31" t="str">
        <x:v>Deal 120% Finesse weapon damage.</x:v>
      </x:c>
      <x:c r="M31" t="str">
        <x:v>PASS</x:v>
      </x:c>
      <x:c r="N31" t="str">
        <x:v>Active</x:v>
      </x:c>
    </x:row>
    <x:row r="32">
      <x:c r="A32" t="str">
        <x:v>WSK-028</x:v>
      </x:c>
      <x:c r="B32" t="str">
        <x:v>Greatbow</x:v>
      </x:c>
      <x:c r="C32" t="str">
        <x:v>Skill 2</x:v>
      </x:c>
      <x:c r="D32" t="str">
        <x:v>Raptor’s Draw</x:v>
      </x:c>
      <x:c r="E32" t="n">
        <x:v>3</x:v>
      </x:c>
      <x:c r="F32" t="n">
        <x:v>1</x:v>
      </x:c>
      <x:c r="G32" t="n">
        <x:v>140</x:v>
      </x:c>
      <x:c r="H32" t="str">
        <x:v>Physical Finesse</x:v>
      </x:c>
      <x:c r="I32" t="str">
        <x:v>Dexterity</x:v>
      </x:c>
      <x:c r="J32" t="str">
        <x:v>Pure Damage</x:v>
      </x:c>
      <x:c r="K32" t="str">
        <x:v>Normal weapon damage and protection resolution.</x:v>
      </x:c>
      <x:c r="L32" t="str">
        <x:v>Deal 140% Finesse weapon damage with +10 Precision.</x:v>
      </x:c>
      <x:c r="M32" t="str">
        <x:v>PASS</x:v>
      </x:c>
      <x:c r="N32" t="str">
        <x:v>Active</x:v>
      </x:c>
    </x:row>
    <x:row r="33">
      <x:c r="A33" t="str">
        <x:v>WSK-029</x:v>
      </x:c>
      <x:c r="B33" t="str">
        <x:v>War Scythe</x:v>
      </x:c>
      <x:c r="C33" t="str">
        <x:v>Skill 1</x:v>
      </x:c>
      <x:c r="D33" t="str">
        <x:v>Reaping Arc</x:v>
      </x:c>
      <x:c r="E33" t="n">
        <x:v>2</x:v>
      </x:c>
      <x:c r="F33" t="n">
        <x:v>0</x:v>
      </x:c>
      <x:c r="G33" t="n">
        <x:v>100</x:v>
      </x:c>
      <x:c r="H33" t="str">
        <x:v>Physical Strength</x:v>
      </x:c>
      <x:c r="I33" t="str">
        <x:v>Might</x:v>
      </x:c>
      <x:c r="J33" t="str">
        <x:v>Damage + Utility</x:v>
      </x:c>
      <x:c r="K33" t="str">
        <x:v>Normal weapon damage and protection resolution.</x:v>
      </x:c>
      <x:c r="L33" t="str">
        <x:v>Deal 100% Strength weapon damage and heal Health equal to 20% of Health damage dealt.</x:v>
      </x:c>
      <x:c r="M33" t="str">
        <x:v>PASS</x:v>
      </x:c>
      <x:c r="N33" t="str">
        <x:v>Active</x:v>
      </x:c>
    </x:row>
    <x:row r="34">
      <x:c r="A34" t="str">
        <x:v>WSK-030</x:v>
      </x:c>
      <x:c r="B34" t="str">
        <x:v>War Scythe</x:v>
      </x:c>
      <x:c r="C34" t="str">
        <x:v>Skill 2</x:v>
      </x:c>
      <x:c r="D34" t="str">
        <x:v>Death’s Harvest</x:v>
      </x:c>
      <x:c r="E34" t="n">
        <x:v>3</x:v>
      </x:c>
      <x:c r="F34" t="n">
        <x:v>1</x:v>
      </x:c>
      <x:c r="G34" t="n">
        <x:v>125</x:v>
      </x:c>
      <x:c r="H34" t="str">
        <x:v>Physical Strength</x:v>
      </x:c>
      <x:c r="I34" t="str">
        <x:v>Might</x:v>
      </x:c>
      <x:c r="J34" t="str">
        <x:v>Pure Damage</x:v>
      </x:c>
      <x:c r="K34" t="str">
        <x:v>Normal weapon damage and protection resolution.</x:v>
      </x:c>
      <x:c r="L34" t="str">
        <x:v>Deal 125% Strength weapon damage. Gain +20 Skill Power if the target is below 30% Health.</x:v>
      </x:c>
      <x:c r="M34" t="str">
        <x:v>PASS</x:v>
      </x:c>
      <x:c r="N34" t="str">
        <x:v>Active</x:v>
      </x:c>
    </x:row>
    <x:row r="35">
      <x:c r="A35" t="str">
        <x:v>WSK-031</x:v>
      </x:c>
      <x:c r="B35" t="str">
        <x:v>Runic Grimoire</x:v>
      </x:c>
      <x:c r="C35" t="str">
        <x:v>Skill 1</x:v>
      </x:c>
      <x:c r="D35" t="str">
        <x:v>Inscribed Burst</x:v>
      </x:c>
      <x:c r="E35" t="n">
        <x:v>2</x:v>
      </x:c>
      <x:c r="F35" t="n">
        <x:v>0</x:v>
      </x:c>
      <x:c r="G35" t="n">
        <x:v>100</x:v>
      </x:c>
      <x:c r="H35" t="str">
        <x:v>Magical</x:v>
      </x:c>
      <x:c r="I35" t="str">
        <x:v>Focus</x:v>
      </x:c>
      <x:c r="J35" t="str">
        <x:v>Pure Damage</x:v>
      </x:c>
      <x:c r="K35" t="str">
        <x:v>Normal weapon damage and protection resolution.</x:v>
      </x:c>
      <x:c r="L35" t="str">
        <x:v>Deal 100% Magic weapon damage and resolve the Grimoire’s selected rune rider.</x:v>
      </x:c>
      <x:c r="M35" t="str">
        <x:v>PASS</x:v>
      </x:c>
      <x:c r="N35" t="str">
        <x:v>Active</x:v>
      </x:c>
    </x:row>
    <x:row r="36">
      <x:c r="A36" t="str">
        <x:v>WSK-032</x:v>
      </x:c>
      <x:c r="B36" t="str">
        <x:v>Runic Grimoire</x:v>
      </x:c>
      <x:c r="C36" t="str">
        <x:v>Skill 2</x:v>
      </x:c>
      <x:c r="D36" t="str">
        <x:v>Runic Bastion</x:v>
      </x:c>
      <x:c r="E36" t="n">
        <x:v>3</x:v>
      </x:c>
      <x:c r="F36" t="n">
        <x:v>3</x:v>
      </x:c>
      <x:c r="G36" t="n">
        <x:v>0</x:v>
      </x:c>
      <x:c r="H36" t="str">
        <x:v>Magical</x:v>
      </x:c>
      <x:c r="I36" t="str">
        <x:v>Focus</x:v>
      </x:c>
      <x:c r="J36" t="str">
        <x:v>Utility</x:v>
      </x:c>
      <x:c r="K36" t="str">
        <x:v>Adds to both current pools and temporary maximums; both pools block their matching ailments.</x:v>
      </x:c>
      <x:c r="L36" t="str">
        <x:v>Gain 5 Fortified Armour (add 5 to current Armour and temporary Maximum Armour) and 7 Ward Magic Armour (add 7 to current Magic Armour and temporary Maximum Magic Armour) for 2 turns.</x:v>
      </x:c>
      <x:c r="M36" t="str">
        <x:v>PASS</x:v>
      </x:c>
      <x:c r="N36" t="str">
        <x:v>Active</x:v>
      </x:c>
    </x:row>
    <x:row r="37">
      <x:c r="A37" t="str">
        <x:v>WSK-033</x:v>
      </x:c>
      <x:c r="B37" t="str">
        <x:v>Bard Song</x:v>
      </x:c>
      <x:c r="C37" t="str">
        <x:v>Skill 1</x:v>
      </x:c>
      <x:c r="D37" t="str">
        <x:v>Rallying Chorus</x:v>
      </x:c>
      <x:c r="E37" t="n">
        <x:v>2</x:v>
      </x:c>
      <x:c r="F37" t="n">
        <x:v>0</x:v>
      </x:c>
      <x:c r="G37" t="n">
        <x:v>70</x:v>
      </x:c>
      <x:c r="H37" t="str">
        <x:v>Magical</x:v>
      </x:c>
      <x:c r="I37" t="str">
        <x:v>Focus</x:v>
      </x:c>
      <x:c r="J37" t="str">
        <x:v>Damage + Utility</x:v>
      </x:c>
      <x:c r="K37" t="str">
        <x:v>Normal weapon damage and protection resolution.</x:v>
      </x:c>
      <x:c r="L37" t="str">
        <x:v>Deal 70% Magic weapon damage, then choose Might, Dexterity, or Focus and gain Minor Up for 2 turns.</x:v>
      </x:c>
      <x:c r="M37" t="str">
        <x:v>PASS</x:v>
      </x:c>
      <x:c r="N37" t="str">
        <x:v>Active</x:v>
      </x:c>
    </x:row>
    <x:row r="38">
      <x:c r="A38" t="str">
        <x:v>WSK-034</x:v>
      </x:c>
      <x:c r="B38" t="str">
        <x:v>Bard Song</x:v>
      </x:c>
      <x:c r="C38" t="str">
        <x:v>Skill 2</x:v>
      </x:c>
      <x:c r="D38" t="str">
        <x:v>Resonant Refrain</x:v>
      </x:c>
      <x:c r="E38" t="n">
        <x:v>3</x:v>
      </x:c>
      <x:c r="F38" t="n">
        <x:v>1</x:v>
      </x:c>
      <x:c r="G38" t="n">
        <x:v>90</x:v>
      </x:c>
      <x:c r="H38" t="str">
        <x:v>Magical</x:v>
      </x:c>
      <x:c r="I38" t="str">
        <x:v>Focus</x:v>
      </x:c>
      <x:c r="J38" t="str">
        <x:v>Damage + Utility</x:v>
      </x:c>
      <x:c r="K38" t="str">
        <x:v>Normal weapon damage and protection resolution.</x:v>
      </x:c>
      <x:c r="L38" t="str">
        <x:v>Deal 90% Magic weapon damage, restore 4 Magic Armour, and gain Minor Resolve Up for 2 turns.</x:v>
      </x:c>
      <x:c r="M38" t="str">
        <x:v>PASS</x:v>
      </x:c>
      <x:c r="N38" t="str">
        <x:v>Active</x:v>
      </x:c>
    </x:row>
    <x:row r="39">
      <x:c r="A39" t="str">
        <x:v>WSK-035</x:v>
      </x:c>
      <x:c r="B39" t="str">
        <x:v>Lament Song</x:v>
      </x:c>
      <x:c r="C39" t="str">
        <x:v>Skill 1</x:v>
      </x:c>
      <x:c r="D39" t="str">
        <x:v>Mourning Note</x:v>
      </x:c>
      <x:c r="E39" t="n">
        <x:v>2</x:v>
      </x:c>
      <x:c r="F39" t="n">
        <x:v>0</x:v>
      </x:c>
      <x:c r="G39" t="n">
        <x:v>85</x:v>
      </x:c>
      <x:c r="H39" t="str">
        <x:v>Magical</x:v>
      </x:c>
      <x:c r="I39" t="str">
        <x:v>Focus</x:v>
      </x:c>
      <x:c r="J39" t="str">
        <x:v>Damage + Utility</x:v>
      </x:c>
      <x:c r="K39" t="str">
        <x:v>Magical rider requires Magic Armour broken and Health damaged unless the effect is self-targeted.</x:v>
      </x:c>
      <x:c r="L39" t="str">
        <x:v>Deal 85% Magic weapon damage. If Magic Armour is broken and Health is damaged, apply Minor Resolve Down for 2 turns.</x:v>
      </x:c>
      <x:c r="M39" t="str">
        <x:v>PASS</x:v>
      </x:c>
      <x:c r="N39" t="str">
        <x:v>Active</x:v>
      </x:c>
    </x:row>
    <x:row r="40">
      <x:c r="A40" t="str">
        <x:v>WSK-036</x:v>
      </x:c>
      <x:c r="B40" t="str">
        <x:v>Lament Song</x:v>
      </x:c>
      <x:c r="C40" t="str">
        <x:v>Skill 2</x:v>
      </x:c>
      <x:c r="D40" t="str">
        <x:v>Dirge of Fracture</x:v>
      </x:c>
      <x:c r="E40" t="n">
        <x:v>3</x:v>
      </x:c>
      <x:c r="F40" t="n">
        <x:v>1</x:v>
      </x:c>
      <x:c r="G40" t="n">
        <x:v>100</x:v>
      </x:c>
      <x:c r="H40" t="str">
        <x:v>Magical</x:v>
      </x:c>
      <x:c r="I40" t="str">
        <x:v>Focus</x:v>
      </x:c>
      <x:c r="J40" t="str">
        <x:v>Damage + Utility</x:v>
      </x:c>
      <x:c r="K40" t="str">
        <x:v>Magical rider requires Magic Armour broken and Health damaged unless the effect is self-targeted.</x:v>
      </x:c>
      <x:c r="L40" t="str">
        <x:v>Deal 100% Magic weapon damage. If Magic Armour is broken and Health is damaged, apply Moderate Resolve Down for 1 turn.</x:v>
      </x:c>
      <x:c r="M40" t="str">
        <x:v>PASS</x:v>
      </x:c>
      <x:c r="N40" t="str">
        <x:v>Active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sheetData>
    <x:row r="1">
      <x:c r="A1" t="str">
        <x:v>Equipment Skill Library — 64 Armour, Helmet, Shield and Accessory Skills v1.2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</x:row>
    <x:row r="4">
      <x:c r="A4" t="str">
        <x:v>Skill ID</x:v>
      </x:c>
      <x:c r="B4" t="str">
        <x:v>Source Type</x:v>
      </x:c>
      <x:c r="C4" t="str">
        <x:v>Family / Set</x:v>
      </x:c>
      <x:c r="D4" t="str">
        <x:v>Slot</x:v>
      </x:c>
      <x:c r="E4" t="str">
        <x:v>Pool</x:v>
      </x:c>
      <x:c r="F4" t="str">
        <x:v>Skill Name</x:v>
      </x:c>
      <x:c r="G4" t="str">
        <x:v>EN</x:v>
      </x:c>
      <x:c r="H4" t="str">
        <x:v>Cooldown</x:v>
      </x:c>
      <x:c r="I4" t="str">
        <x:v>Skill Type</x:v>
      </x:c>
      <x:c r="J4" t="str">
        <x:v>Armour Change</x:v>
      </x:c>
      <x:c r="K4" t="str">
        <x:v>Magic Armour Change</x:v>
      </x:c>
      <x:c r="L4" t="str">
        <x:v>Duration</x:v>
      </x:c>
      <x:c r="M4" t="str">
        <x:v>Full Effect</x:v>
      </x:c>
      <x:c r="N4" t="str">
        <x:v>Minimum Rarity</x:v>
      </x:c>
      <x:c r="O4" t="str">
        <x:v>Status</x:v>
      </x:c>
    </x:row>
    <x:row r="5">
      <x:c r="A5" t="str">
        <x:v>ESK-001</x:v>
      </x:c>
      <x:c r="B5" t="str">
        <x:v>Defensive Set</x:v>
      </x:c>
      <x:c r="C5" t="str">
        <x:v>Ironfeather Bastion</x:v>
      </x:c>
      <x:c r="D5" t="str">
        <x:v>Armour/Plumage</x:v>
      </x:c>
      <x:c r="E5" t="str">
        <x:v>A</x:v>
      </x:c>
      <x:c r="F5" t="str">
        <x:v>Reinforce Plumage</x:v>
      </x:c>
      <x:c r="G5" t="n">
        <x:v>2</x:v>
      </x:c>
      <x:c r="H5" t="n">
        <x:v>1</x:v>
      </x:c>
      <x:c r="I5" t="str">
        <x:v>Restoration</x:v>
      </x:c>
      <x:c r="J5" t="str">
        <x:v>Restore to normal maximum</x:v>
      </x:c>
      <x:c r="K5" t="str">
        <x:v>—</x:v>
      </x:c>
      <x:c r="L5" t="str">
        <x:v>As stated</x:v>
      </x:c>
      <x:c r="M5" t="str">
        <x:v>Restore 4 Armour, capped at normal Maximum Armour.</x:v>
      </x:c>
      <x:c r="N5" t="str">
        <x:v>Green</x:v>
      </x:c>
      <x:c r="O5" t="str">
        <x:v>Active</x:v>
      </x:c>
    </x:row>
    <x:row r="6">
      <x:c r="A6" t="str">
        <x:v>ESK-002</x:v>
      </x:c>
      <x:c r="B6" t="str">
        <x:v>Defensive Set</x:v>
      </x:c>
      <x:c r="C6" t="str">
        <x:v>Ironfeather Bastion</x:v>
      </x:c>
      <x:c r="D6" t="str">
        <x:v>Armour/Plumage</x:v>
      </x:c>
      <x:c r="E6" t="str">
        <x:v>B</x:v>
      </x:c>
      <x:c r="F6" t="str">
        <x:v>Iron Fortify</x:v>
      </x:c>
      <x:c r="G6" t="n">
        <x:v>3</x:v>
      </x:c>
      <x:c r="H6" t="n">
        <x:v>2</x:v>
      </x:c>
      <x:c r="I6" t="str">
        <x:v>Fortify</x:v>
      </x:c>
      <x:c r="J6" t="str">
        <x:v>Heal current Armour + temporary overflow (Fortify)</x:v>
      </x:c>
      <x:c r="K6" t="str">
        <x:v>—</x:v>
      </x:c>
      <x:c r="L6" t="str">
        <x:v>2 turns</x:v>
      </x:c>
      <x:c r="M6" t="str">
        <x:v>Gain 8 Fortified Armour (add 8 to current Armour and temporary Maximum Armour) for 2 turns.</x:v>
      </x:c>
      <x:c r="N6" t="str">
        <x:v>Purple</x:v>
      </x:c>
      <x:c r="O6" t="str">
        <x:v>Active</x:v>
      </x:c>
    </x:row>
    <x:row r="7">
      <x:c r="A7" t="str">
        <x:v>ESK-003</x:v>
      </x:c>
      <x:c r="B7" t="str">
        <x:v>Defensive Set</x:v>
      </x:c>
      <x:c r="C7" t="str">
        <x:v>Ironfeather Bastion</x:v>
      </x:c>
      <x:c r="D7" t="str">
        <x:v>Helmet</x:v>
      </x:c>
      <x:c r="E7" t="str">
        <x:v>A</x:v>
      </x:c>
      <x:c r="F7" t="str">
        <x:v>Braced Brow</x:v>
      </x:c>
      <x:c r="G7" t="n">
        <x:v>2</x:v>
      </x:c>
      <x:c r="H7" t="n">
        <x:v>0</x:v>
      </x:c>
      <x:c r="I7" t="str">
        <x:v>Buff + Physical Cleanse</x:v>
      </x:c>
      <x:c r="J7" t="str">
        <x:v>—</x:v>
      </x:c>
      <x:c r="K7" t="str">
        <x:v>—</x:v>
      </x:c>
      <x:c r="L7" t="str">
        <x:v>2 turns</x:v>
      </x:c>
      <x:c r="M7" t="str">
        <x:v>Gain Minor Guard Up for 2 turns and remove 1 Dazed stack. Does not remove Concussed.</x:v>
      </x:c>
      <x:c r="N7" t="str">
        <x:v>Green</x:v>
      </x:c>
      <x:c r="O7" t="str">
        <x:v>Active</x:v>
      </x:c>
    </x:row>
    <x:row r="8">
      <x:c r="A8" t="str">
        <x:v>ESK-004</x:v>
      </x:c>
      <x:c r="B8" t="str">
        <x:v>Defensive Set</x:v>
      </x:c>
      <x:c r="C8" t="str">
        <x:v>Ironfeather Bastion</x:v>
      </x:c>
      <x:c r="D8" t="str">
        <x:v>Helmet</x:v>
      </x:c>
      <x:c r="E8" t="str">
        <x:v>B</x:v>
      </x:c>
      <x:c r="F8" t="str">
        <x:v>Unyielding Crest</x:v>
      </x:c>
      <x:c r="G8" t="n">
        <x:v>3</x:v>
      </x:c>
      <x:c r="H8" t="n">
        <x:v>2</x:v>
      </x:c>
      <x:c r="I8" t="str">
        <x:v>Fortify + Buff</x:v>
      </x:c>
      <x:c r="J8" t="str">
        <x:v>Heal current Armour + temporary overflow (Fortify)</x:v>
      </x:c>
      <x:c r="K8" t="str">
        <x:v>—</x:v>
      </x:c>
      <x:c r="L8" t="str">
        <x:v>2 turns</x:v>
      </x:c>
      <x:c r="M8" t="str">
        <x:v>Gain 5 Fortified Armour (add 5 to current Armour and temporary Maximum Armour) and Minor Guard Up for 2 turns.</x:v>
      </x:c>
      <x:c r="N8" t="str">
        <x:v>Purple</x:v>
      </x:c>
      <x:c r="O8" t="str">
        <x:v>Active</x:v>
      </x:c>
    </x:row>
    <x:row r="9">
      <x:c r="A9" t="str">
        <x:v>ESK-005</x:v>
      </x:c>
      <x:c r="B9" t="str">
        <x:v>Defensive Set</x:v>
      </x:c>
      <x:c r="C9" t="str">
        <x:v>Ironfeather Bastion</x:v>
      </x:c>
      <x:c r="D9" t="str">
        <x:v>Shield</x:v>
      </x:c>
      <x:c r="E9" t="str">
        <x:v>A</x:v>
      </x:c>
      <x:c r="F9" t="str">
        <x:v>Guarded Wing</x:v>
      </x:c>
      <x:c r="G9" t="n">
        <x:v>2</x:v>
      </x:c>
      <x:c r="H9" t="n">
        <x:v>1</x:v>
      </x:c>
      <x:c r="I9" t="str">
        <x:v>Restoration</x:v>
      </x:c>
      <x:c r="J9" t="str">
        <x:v>Restore to normal maximum</x:v>
      </x:c>
      <x:c r="K9" t="str">
        <x:v>—</x:v>
      </x:c>
      <x:c r="L9" t="str">
        <x:v>As stated</x:v>
      </x:c>
      <x:c r="M9" t="str">
        <x:v>Restore 5 Armour, capped at normal Maximum Armour.</x:v>
      </x:c>
      <x:c r="N9" t="str">
        <x:v>Green</x:v>
      </x:c>
      <x:c r="O9" t="str">
        <x:v>Active</x:v>
      </x:c>
    </x:row>
    <x:row r="10">
      <x:c r="A10" t="str">
        <x:v>ESK-006</x:v>
      </x:c>
      <x:c r="B10" t="str">
        <x:v>Defensive Set</x:v>
      </x:c>
      <x:c r="C10" t="str">
        <x:v>Ironfeather Bastion</x:v>
      </x:c>
      <x:c r="D10" t="str">
        <x:v>Shield</x:v>
      </x:c>
      <x:c r="E10" t="str">
        <x:v>B</x:v>
      </x:c>
      <x:c r="F10" t="str">
        <x:v>Bastion Stance</x:v>
      </x:c>
      <x:c r="G10" t="n">
        <x:v>3</x:v>
      </x:c>
      <x:c r="H10" t="n">
        <x:v>2</x:v>
      </x:c>
      <x:c r="I10" t="str">
        <x:v>Fortify</x:v>
      </x:c>
      <x:c r="J10" t="str">
        <x:v>Heal current Armour + temporary overflow (Fortify)</x:v>
      </x:c>
      <x:c r="K10" t="str">
        <x:v>—</x:v>
      </x:c>
      <x:c r="L10" t="str">
        <x:v>2 turns</x:v>
      </x:c>
      <x:c r="M10" t="str">
        <x:v>Gain 10 Fortified Armour (add 10 to current Armour and temporary Maximum Armour) for 2 turns.</x:v>
      </x:c>
      <x:c r="N10" t="str">
        <x:v>Purple</x:v>
      </x:c>
      <x:c r="O10" t="str">
        <x:v>Active</x:v>
      </x:c>
    </x:row>
    <x:row r="11">
      <x:c r="A11" t="str">
        <x:v>ESK-007</x:v>
      </x:c>
      <x:c r="B11" t="str">
        <x:v>Defensive Set</x:v>
      </x:c>
      <x:c r="C11" t="str">
        <x:v>Runewoven Aegis</x:v>
      </x:c>
      <x:c r="D11" t="str">
        <x:v>Armour/Plumage</x:v>
      </x:c>
      <x:c r="E11" t="str">
        <x:v>A</x:v>
      </x:c>
      <x:c r="F11" t="str">
        <x:v>Mend Weave</x:v>
      </x:c>
      <x:c r="G11" t="n">
        <x:v>2</x:v>
      </x:c>
      <x:c r="H11" t="n">
        <x:v>1</x:v>
      </x:c>
      <x:c r="I11" t="str">
        <x:v>Restoration</x:v>
      </x:c>
      <x:c r="J11" t="str">
        <x:v>—</x:v>
      </x:c>
      <x:c r="K11" t="str">
        <x:v>Restore to normal maximum</x:v>
      </x:c>
      <x:c r="L11" t="str">
        <x:v>As stated</x:v>
      </x:c>
      <x:c r="M11" t="str">
        <x:v>Restore 4 Magic Armour, capped at normal Maximum Magic Armour.</x:v>
      </x:c>
      <x:c r="N11" t="str">
        <x:v>Green</x:v>
      </x:c>
      <x:c r="O11" t="str">
        <x:v>Active</x:v>
      </x:c>
    </x:row>
    <x:row r="12">
      <x:c r="A12" t="str">
        <x:v>ESK-008</x:v>
      </x:c>
      <x:c r="B12" t="str">
        <x:v>Defensive Set</x:v>
      </x:c>
      <x:c r="C12" t="str">
        <x:v>Runewoven Aegis</x:v>
      </x:c>
      <x:c r="D12" t="str">
        <x:v>Armour/Plumage</x:v>
      </x:c>
      <x:c r="E12" t="str">
        <x:v>B</x:v>
      </x:c>
      <x:c r="F12" t="str">
        <x:v>Runic Ward</x:v>
      </x:c>
      <x:c r="G12" t="n">
        <x:v>3</x:v>
      </x:c>
      <x:c r="H12" t="n">
        <x:v>2</x:v>
      </x:c>
      <x:c r="I12" t="str">
        <x:v>Ward</x:v>
      </x:c>
      <x:c r="J12" t="str">
        <x:v>—</x:v>
      </x:c>
      <x:c r="K12" t="str">
        <x:v>Heal current Magic Armour + temporary overflow (Ward)</x:v>
      </x:c>
      <x:c r="L12" t="str">
        <x:v>2 turns</x:v>
      </x:c>
      <x:c r="M12" t="str">
        <x:v>Gain 8 Ward Magic Armour (add 8 to current Magic Armour and temporary Maximum Magic Armour) for 2 turns.</x:v>
      </x:c>
      <x:c r="N12" t="str">
        <x:v>Purple</x:v>
      </x:c>
      <x:c r="O12" t="str">
        <x:v>Active</x:v>
      </x:c>
    </x:row>
    <x:row r="13">
      <x:c r="A13" t="str">
        <x:v>ESK-009</x:v>
      </x:c>
      <x:c r="B13" t="str">
        <x:v>Defensive Set</x:v>
      </x:c>
      <x:c r="C13" t="str">
        <x:v>Runewoven Aegis</x:v>
      </x:c>
      <x:c r="D13" t="str">
        <x:v>Helmet</x:v>
      </x:c>
      <x:c r="E13" t="str">
        <x:v>A</x:v>
      </x:c>
      <x:c r="F13" t="str">
        <x:v>Clear Mind</x:v>
      </x:c>
      <x:c r="G13" t="n">
        <x:v>2</x:v>
      </x:c>
      <x:c r="H13" t="n">
        <x:v>1</x:v>
      </x:c>
      <x:c r="I13" t="str">
        <x:v>Restoration + Utility</x:v>
      </x:c>
      <x:c r="J13" t="str">
        <x:v>—</x:v>
      </x:c>
      <x:c r="K13" t="str">
        <x:v>Restore to normal maximum</x:v>
      </x:c>
      <x:c r="L13" t="str">
        <x:v>As stated</x:v>
      </x:c>
      <x:c r="M13" t="str">
        <x:v>Restore 3 Magic Armour. If affected by a magical stat debuff, reduce its remaining duration by 1 turn.</x:v>
      </x:c>
      <x:c r="N13" t="str">
        <x:v>Green</x:v>
      </x:c>
      <x:c r="O13" t="str">
        <x:v>Active</x:v>
      </x:c>
    </x:row>
    <x:row r="14">
      <x:c r="A14" t="str">
        <x:v>ESK-010</x:v>
      </x:c>
      <x:c r="B14" t="str">
        <x:v>Defensive Set</x:v>
      </x:c>
      <x:c r="C14" t="str">
        <x:v>Runewoven Aegis</x:v>
      </x:c>
      <x:c r="D14" t="str">
        <x:v>Helmet</x:v>
      </x:c>
      <x:c r="E14" t="str">
        <x:v>B</x:v>
      </x:c>
      <x:c r="F14" t="str">
        <x:v>Arcane Focus</x:v>
      </x:c>
      <x:c r="G14" t="n">
        <x:v>3</x:v>
      </x:c>
      <x:c r="H14" t="n">
        <x:v>2</x:v>
      </x:c>
      <x:c r="I14" t="str">
        <x:v>Ward + Buff</x:v>
      </x:c>
      <x:c r="J14" t="str">
        <x:v>—</x:v>
      </x:c>
      <x:c r="K14" t="str">
        <x:v>Heal current Magic Armour + temporary overflow (Ward)</x:v>
      </x:c>
      <x:c r="L14" t="str">
        <x:v>2 turns</x:v>
      </x:c>
      <x:c r="M14" t="str">
        <x:v>Gain 5 Ward Magic Armour (add 5 to current Magic Armour and temporary Maximum Magic Armour) and Minor Focus Up for 2 turns.</x:v>
      </x:c>
      <x:c r="N14" t="str">
        <x:v>Purple</x:v>
      </x:c>
      <x:c r="O14" t="str">
        <x:v>Active</x:v>
      </x:c>
    </x:row>
    <x:row r="15">
      <x:c r="A15" t="str">
        <x:v>ESK-011</x:v>
      </x:c>
      <x:c r="B15" t="str">
        <x:v>Defensive Set</x:v>
      </x:c>
      <x:c r="C15" t="str">
        <x:v>Runewoven Aegis</x:v>
      </x:c>
      <x:c r="D15" t="str">
        <x:v>Shield</x:v>
      </x:c>
      <x:c r="E15" t="str">
        <x:v>A</x:v>
      </x:c>
      <x:c r="F15" t="str">
        <x:v>Warding Wing</x:v>
      </x:c>
      <x:c r="G15" t="n">
        <x:v>2</x:v>
      </x:c>
      <x:c r="H15" t="n">
        <x:v>1</x:v>
      </x:c>
      <x:c r="I15" t="str">
        <x:v>Restoration</x:v>
      </x:c>
      <x:c r="J15" t="str">
        <x:v>—</x:v>
      </x:c>
      <x:c r="K15" t="str">
        <x:v>Restore to normal maximum</x:v>
      </x:c>
      <x:c r="L15" t="str">
        <x:v>As stated</x:v>
      </x:c>
      <x:c r="M15" t="str">
        <x:v>Restore 5 Magic Armour, capped at normal Maximum Magic Armour.</x:v>
      </x:c>
      <x:c r="N15" t="str">
        <x:v>Green</x:v>
      </x:c>
      <x:c r="O15" t="str">
        <x:v>Active</x:v>
      </x:c>
    </x:row>
    <x:row r="16">
      <x:c r="A16" t="str">
        <x:v>ESK-012</x:v>
      </x:c>
      <x:c r="B16" t="str">
        <x:v>Defensive Set</x:v>
      </x:c>
      <x:c r="C16" t="str">
        <x:v>Runewoven Aegis</x:v>
      </x:c>
      <x:c r="D16" t="str">
        <x:v>Shield</x:v>
      </x:c>
      <x:c r="E16" t="str">
        <x:v>B</x:v>
      </x:c>
      <x:c r="F16" t="str">
        <x:v>Aegis of Runes</x:v>
      </x:c>
      <x:c r="G16" t="n">
        <x:v>3</x:v>
      </x:c>
      <x:c r="H16" t="n">
        <x:v>2</x:v>
      </x:c>
      <x:c r="I16" t="str">
        <x:v>Ward</x:v>
      </x:c>
      <x:c r="J16" t="str">
        <x:v>—</x:v>
      </x:c>
      <x:c r="K16" t="str">
        <x:v>Heal current Magic Armour + temporary overflow (Ward)</x:v>
      </x:c>
      <x:c r="L16" t="str">
        <x:v>2 turns</x:v>
      </x:c>
      <x:c r="M16" t="str">
        <x:v>Gain 10 Ward Magic Armour (add 10 to current Magic Armour and temporary Maximum Magic Armour) for 2 turns.</x:v>
      </x:c>
      <x:c r="N16" t="str">
        <x:v>Purple</x:v>
      </x:c>
      <x:c r="O16" t="str">
        <x:v>Active</x:v>
      </x:c>
    </x:row>
    <x:row r="17">
      <x:c r="A17" t="str">
        <x:v>ESK-013</x:v>
      </x:c>
      <x:c r="B17" t="str">
        <x:v>Defensive Set</x:v>
      </x:c>
      <x:c r="C17" t="str">
        <x:v>Layered Scale</x:v>
      </x:c>
      <x:c r="D17" t="str">
        <x:v>Armour/Plumage</x:v>
      </x:c>
      <x:c r="E17" t="str">
        <x:v>A</x:v>
      </x:c>
      <x:c r="F17" t="str">
        <x:v>Rebalance Plates</x:v>
      </x:c>
      <x:c r="G17" t="n">
        <x:v>2</x:v>
      </x:c>
      <x:c r="H17" t="n">
        <x:v>1</x:v>
      </x:c>
      <x:c r="I17" t="str">
        <x:v>Dual Restoration</x:v>
      </x:c>
      <x:c r="J17" t="str">
        <x:v>Conditional / split restoration</x:v>
      </x:c>
      <x:c r="K17" t="str">
        <x:v>Conditional / split restoration</x:v>
      </x:c>
      <x:c r="L17" t="str">
        <x:v>As stated</x:v>
      </x:c>
      <x:c r="M17" t="str">
        <x:v>Restore 3 Armour and 3 Magic Armour.</x:v>
      </x:c>
      <x:c r="N17" t="str">
        <x:v>Green</x:v>
      </x:c>
      <x:c r="O17" t="str">
        <x:v>Active</x:v>
      </x:c>
    </x:row>
    <x:row r="18">
      <x:c r="A18" t="str">
        <x:v>ESK-014</x:v>
      </x:c>
      <x:c r="B18" t="str">
        <x:v>Defensive Set</x:v>
      </x:c>
      <x:c r="C18" t="str">
        <x:v>Layered Scale</x:v>
      </x:c>
      <x:c r="D18" t="str">
        <x:v>Armour/Plumage</x:v>
      </x:c>
      <x:c r="E18" t="str">
        <x:v>B</x:v>
      </x:c>
      <x:c r="F18" t="str">
        <x:v>Dual Bastion</x:v>
      </x:c>
      <x:c r="G18" t="n">
        <x:v>3</x:v>
      </x:c>
      <x:c r="H18" t="n">
        <x:v>3</x:v>
      </x:c>
      <x:c r="I18" t="str">
        <x:v>Fortify + Ward</x:v>
      </x:c>
      <x:c r="J18" t="str">
        <x:v>Heal current Armour + temporary overflow (Fortify)</x:v>
      </x:c>
      <x:c r="K18" t="str">
        <x:v>Heal current Magic Armour + temporary overflow (Ward)</x:v>
      </x:c>
      <x:c r="L18" t="str">
        <x:v>2 turns</x:v>
      </x:c>
      <x:c r="M18" t="str">
        <x:v>Gain 5 Fortified Armour (add 5 to current Armour and temporary Maximum Armour) and 5 Ward Magic Armour (add 5 to current Magic Armour and temporary Maximum Magic Armour) for 2 turns.</x:v>
      </x:c>
      <x:c r="N18" t="str">
        <x:v>Purple</x:v>
      </x:c>
      <x:c r="O18" t="str">
        <x:v>Active</x:v>
      </x:c>
    </x:row>
    <x:row r="19">
      <x:c r="A19" t="str">
        <x:v>ESK-015</x:v>
      </x:c>
      <x:c r="B19" t="str">
        <x:v>Defensive Set</x:v>
      </x:c>
      <x:c r="C19" t="str">
        <x:v>Layered Scale</x:v>
      </x:c>
      <x:c r="D19" t="str">
        <x:v>Helmet</x:v>
      </x:c>
      <x:c r="E19" t="str">
        <x:v>A</x:v>
      </x:c>
      <x:c r="F19" t="str">
        <x:v>Balanced Guard</x:v>
      </x:c>
      <x:c r="G19" t="n">
        <x:v>2</x:v>
      </x:c>
      <x:c r="H19" t="n">
        <x:v>1</x:v>
      </x:c>
      <x:c r="I19" t="str">
        <x:v>Restoration</x:v>
      </x:c>
      <x:c r="J19" t="str">
        <x:v>Conditional / split restoration</x:v>
      </x:c>
      <x:c r="K19" t="str">
        <x:v>Conditional / split restoration</x:v>
      </x:c>
      <x:c r="L19" t="str">
        <x:v>As stated</x:v>
      </x:c>
      <x:c r="M19" t="str">
        <x:v>Restore 4 to whichever protection pool is currently lower.</x:v>
      </x:c>
      <x:c r="N19" t="str">
        <x:v>Green</x:v>
      </x:c>
      <x:c r="O19" t="str">
        <x:v>Active</x:v>
      </x:c>
    </x:row>
    <x:row r="20">
      <x:c r="A20" t="str">
        <x:v>ESK-016</x:v>
      </x:c>
      <x:c r="B20" t="str">
        <x:v>Defensive Set</x:v>
      </x:c>
      <x:c r="C20" t="str">
        <x:v>Layered Scale</x:v>
      </x:c>
      <x:c r="D20" t="str">
        <x:v>Helmet</x:v>
      </x:c>
      <x:c r="E20" t="str">
        <x:v>B</x:v>
      </x:c>
      <x:c r="F20" t="str">
        <x:v>Equalised Defence</x:v>
      </x:c>
      <x:c r="G20" t="n">
        <x:v>3</x:v>
      </x:c>
      <x:c r="H20" t="n">
        <x:v>3</x:v>
      </x:c>
      <x:c r="I20" t="str">
        <x:v>Fortify + Ward</x:v>
      </x:c>
      <x:c r="J20" t="str">
        <x:v>Heal current Armour + temporary overflow (Fortify)</x:v>
      </x:c>
      <x:c r="K20" t="str">
        <x:v>Heal current Magic Armour + temporary overflow (Ward)</x:v>
      </x:c>
      <x:c r="L20" t="str">
        <x:v>2 turns</x:v>
      </x:c>
      <x:c r="M20" t="str">
        <x:v>Gain 4 Fortified Armour (add 4 to current Armour and temporary Maximum Armour) and 4 Ward Magic Armour (add 4 to current Magic Armour and temporary Maximum Magic Armour) for 2 turns.</x:v>
      </x:c>
      <x:c r="N20" t="str">
        <x:v>Purple</x:v>
      </x:c>
      <x:c r="O20" t="str">
        <x:v>Active</x:v>
      </x:c>
    </x:row>
    <x:row r="21">
      <x:c r="A21" t="str">
        <x:v>ESK-017</x:v>
      </x:c>
      <x:c r="B21" t="str">
        <x:v>Defensive Set</x:v>
      </x:c>
      <x:c r="C21" t="str">
        <x:v>Layered Scale</x:v>
      </x:c>
      <x:c r="D21" t="str">
        <x:v>Shield</x:v>
      </x:c>
      <x:c r="E21" t="str">
        <x:v>A</x:v>
      </x:c>
      <x:c r="F21" t="str">
        <x:v>Split Guard</x:v>
      </x:c>
      <x:c r="G21" t="n">
        <x:v>2</x:v>
      </x:c>
      <x:c r="H21" t="n">
        <x:v>1</x:v>
      </x:c>
      <x:c r="I21" t="str">
        <x:v>Restoration</x:v>
      </x:c>
      <x:c r="J21" t="str">
        <x:v>Conditional / split restoration</x:v>
      </x:c>
      <x:c r="K21" t="str">
        <x:v>Conditional / split restoration</x:v>
      </x:c>
      <x:c r="L21" t="str">
        <x:v>As stated</x:v>
      </x:c>
      <x:c r="M21" t="str">
        <x:v>Restore 5 to whichever protection pool is currently lower.</x:v>
      </x:c>
      <x:c r="N21" t="str">
        <x:v>Green</x:v>
      </x:c>
      <x:c r="O21" t="str">
        <x:v>Active</x:v>
      </x:c>
    </x:row>
    <x:row r="22">
      <x:c r="A22" t="str">
        <x:v>ESK-018</x:v>
      </x:c>
      <x:c r="B22" t="str">
        <x:v>Defensive Set</x:v>
      </x:c>
      <x:c r="C22" t="str">
        <x:v>Layered Scale</x:v>
      </x:c>
      <x:c r="D22" t="str">
        <x:v>Shield</x:v>
      </x:c>
      <x:c r="E22" t="str">
        <x:v>B</x:v>
      </x:c>
      <x:c r="F22" t="str">
        <x:v>Layered Bastion</x:v>
      </x:c>
      <x:c r="G22" t="n">
        <x:v>3</x:v>
      </x:c>
      <x:c r="H22" t="n">
        <x:v>3</x:v>
      </x:c>
      <x:c r="I22" t="str">
        <x:v>Fortify + Ward</x:v>
      </x:c>
      <x:c r="J22" t="str">
        <x:v>Heal current Armour + temporary overflow (Fortify)</x:v>
      </x:c>
      <x:c r="K22" t="str">
        <x:v>Heal current Magic Armour + temporary overflow (Ward)</x:v>
      </x:c>
      <x:c r="L22" t="str">
        <x:v>2 turns</x:v>
      </x:c>
      <x:c r="M22" t="str">
        <x:v>Gain 6 Fortified Armour (add 6 to current Armour and temporary Maximum Armour) and 6 Ward Magic Armour (add 6 to current Magic Armour and temporary Maximum Magic Armour) for 2 turns.</x:v>
      </x:c>
      <x:c r="N22" t="str">
        <x:v>Purple</x:v>
      </x:c>
      <x:c r="O22" t="str">
        <x:v>Active</x:v>
      </x:c>
    </x:row>
    <x:row r="23">
      <x:c r="A23" t="str">
        <x:v>ESK-019</x:v>
      </x:c>
      <x:c r="B23" t="str">
        <x:v>Defensive Set</x:v>
      </x:c>
      <x:c r="C23" t="str">
        <x:v>Shadowplume</x:v>
      </x:c>
      <x:c r="D23" t="str">
        <x:v>Armour/Plumage</x:v>
      </x:c>
      <x:c r="E23" t="str">
        <x:v>A</x:v>
      </x:c>
      <x:c r="F23" t="str">
        <x:v>Featherstep</x:v>
      </x:c>
      <x:c r="G23" t="n">
        <x:v>2</x:v>
      </x:c>
      <x:c r="H23" t="n">
        <x:v>1</x:v>
      </x:c>
      <x:c r="I23" t="str">
        <x:v>Buff + Restoration</x:v>
      </x:c>
      <x:c r="J23" t="str">
        <x:v>—</x:v>
      </x:c>
      <x:c r="K23" t="str">
        <x:v>—</x:v>
      </x:c>
      <x:c r="L23" t="str">
        <x:v>2 turns</x:v>
      </x:c>
      <x:c r="M23" t="str">
        <x:v>Gain Minor Agility Up for 2 turns and restore 2 Magic Armour.</x:v>
      </x:c>
      <x:c r="N23" t="str">
        <x:v>Green</x:v>
      </x:c>
      <x:c r="O23" t="str">
        <x:v>Active</x:v>
      </x:c>
    </x:row>
    <x:row r="24">
      <x:c r="A24" t="str">
        <x:v>ESK-020</x:v>
      </x:c>
      <x:c r="B24" t="str">
        <x:v>Defensive Set</x:v>
      </x:c>
      <x:c r="C24" t="str">
        <x:v>Shadowplume</x:v>
      </x:c>
      <x:c r="D24" t="str">
        <x:v>Armour/Plumage</x:v>
      </x:c>
      <x:c r="E24" t="str">
        <x:v>B</x:v>
      </x:c>
      <x:c r="F24" t="str">
        <x:v>Vanishing Plumage</x:v>
      </x:c>
      <x:c r="G24" t="n">
        <x:v>3</x:v>
      </x:c>
      <x:c r="H24" t="n">
        <x:v>2</x:v>
      </x:c>
      <x:c r="I24" t="str">
        <x:v>Ward + Buff</x:v>
      </x:c>
      <x:c r="J24" t="str">
        <x:v>—</x:v>
      </x:c>
      <x:c r="K24" t="str">
        <x:v>Heal current Magic Armour + temporary overflow (Ward)</x:v>
      </x:c>
      <x:c r="L24" t="str">
        <x:v>2 turns</x:v>
      </x:c>
      <x:c r="M24" t="str">
        <x:v>Gain 5 Ward Magic Armour (add 5 to current Magic Armour and temporary Maximum Magic Armour) and Minor Agility Up for 2 turns.</x:v>
      </x:c>
      <x:c r="N24" t="str">
        <x:v>Purple</x:v>
      </x:c>
      <x:c r="O24" t="str">
        <x:v>Active</x:v>
      </x:c>
    </x:row>
    <x:row r="25">
      <x:c r="A25" t="str">
        <x:v>ESK-021</x:v>
      </x:c>
      <x:c r="B25" t="str">
        <x:v>Defensive Set</x:v>
      </x:c>
      <x:c r="C25" t="str">
        <x:v>Shadowplume</x:v>
      </x:c>
      <x:c r="D25" t="str">
        <x:v>Helmet</x:v>
      </x:c>
      <x:c r="E25" t="str">
        <x:v>A</x:v>
      </x:c>
      <x:c r="F25" t="str">
        <x:v>Keen Sight</x:v>
      </x:c>
      <x:c r="G25" t="n">
        <x:v>2</x:v>
      </x:c>
      <x:c r="H25" t="n">
        <x:v>0</x:v>
      </x:c>
      <x:c r="I25" t="str">
        <x:v>Buff</x:v>
      </x:c>
      <x:c r="J25" t="str">
        <x:v>—</x:v>
      </x:c>
      <x:c r="K25" t="str">
        <x:v>—</x:v>
      </x:c>
      <x:c r="L25" t="str">
        <x:v>2 turns</x:v>
      </x:c>
      <x:c r="M25" t="str">
        <x:v>Gain Minor Dexterity Up for 2 turns.</x:v>
      </x:c>
      <x:c r="N25" t="str">
        <x:v>Green</x:v>
      </x:c>
      <x:c r="O25" t="str">
        <x:v>Active</x:v>
      </x:c>
    </x:row>
    <x:row r="26">
      <x:c r="A26" t="str">
        <x:v>ESK-022</x:v>
      </x:c>
      <x:c r="B26" t="str">
        <x:v>Defensive Set</x:v>
      </x:c>
      <x:c r="C26" t="str">
        <x:v>Shadowplume</x:v>
      </x:c>
      <x:c r="D26" t="str">
        <x:v>Helmet</x:v>
      </x:c>
      <x:c r="E26" t="str">
        <x:v>B</x:v>
      </x:c>
      <x:c r="F26" t="str">
        <x:v>Evasive Read</x:v>
      </x:c>
      <x:c r="G26" t="n">
        <x:v>3</x:v>
      </x:c>
      <x:c r="H26" t="n">
        <x:v>3</x:v>
      </x:c>
      <x:c r="I26" t="str">
        <x:v>Fortify + Ward + Buff</x:v>
      </x:c>
      <x:c r="J26" t="str">
        <x:v>Heal current Armour + temporary overflow (Fortify)</x:v>
      </x:c>
      <x:c r="K26" t="str">
        <x:v>Heal current Magic Armour + temporary overflow (Ward)</x:v>
      </x:c>
      <x:c r="L26" t="str">
        <x:v>1 turn</x:v>
      </x:c>
      <x:c r="M26" t="str">
        <x:v>Gain 4 Fortified Armour (add 4 to current Armour and temporary Maximum Armour), 4 Ward Magic Armour (add 4 to current Magic Armour and temporary Maximum Magic Armour), and Minor Agility Up for 1 turn.</x:v>
      </x:c>
      <x:c r="N26" t="str">
        <x:v>Purple</x:v>
      </x:c>
      <x:c r="O26" t="str">
        <x:v>Active</x:v>
      </x:c>
    </x:row>
    <x:row r="27">
      <x:c r="A27" t="str">
        <x:v>ESK-023</x:v>
      </x:c>
      <x:c r="B27" t="str">
        <x:v>Defensive Set</x:v>
      </x:c>
      <x:c r="C27" t="str">
        <x:v>Shadowplume</x:v>
      </x:c>
      <x:c r="D27" t="str">
        <x:v>Shield</x:v>
      </x:c>
      <x:c r="E27" t="str">
        <x:v>A</x:v>
      </x:c>
      <x:c r="F27" t="str">
        <x:v>Buckler Shift</x:v>
      </x:c>
      <x:c r="G27" t="n">
        <x:v>2</x:v>
      </x:c>
      <x:c r="H27" t="n">
        <x:v>1</x:v>
      </x:c>
      <x:c r="I27" t="str">
        <x:v>Restoration + Buff + Physical Cleanse</x:v>
      </x:c>
      <x:c r="J27" t="str">
        <x:v>Conditional / split restoration</x:v>
      </x:c>
      <x:c r="K27" t="str">
        <x:v>Conditional / split restoration</x:v>
      </x:c>
      <x:c r="L27" t="str">
        <x:v>1 turn</x:v>
      </x:c>
      <x:c r="M27" t="str">
        <x:v>Restore 3 to the lower protection pool, gain Minor Agility Up for 1 turn, and remove 1 Crippled stack. Does not remove Immobilised.</x:v>
      </x:c>
      <x:c r="N27" t="str">
        <x:v>Green</x:v>
      </x:c>
      <x:c r="O27" t="str">
        <x:v>Active</x:v>
      </x:c>
    </x:row>
    <x:row r="28">
      <x:c r="A28" t="str">
        <x:v>ESK-024</x:v>
      </x:c>
      <x:c r="B28" t="str">
        <x:v>Defensive Set</x:v>
      </x:c>
      <x:c r="C28" t="str">
        <x:v>Shadowplume</x:v>
      </x:c>
      <x:c r="D28" t="str">
        <x:v>Shield</x:v>
      </x:c>
      <x:c r="E28" t="str">
        <x:v>B</x:v>
      </x:c>
      <x:c r="F28" t="str">
        <x:v>Featherwood Deflection</x:v>
      </x:c>
      <x:c r="G28" t="n">
        <x:v>3</x:v>
      </x:c>
      <x:c r="H28" t="n">
        <x:v>3</x:v>
      </x:c>
      <x:c r="I28" t="str">
        <x:v>Fortify + Ward</x:v>
      </x:c>
      <x:c r="J28" t="str">
        <x:v>Heal current Armour + temporary overflow (Fortify)</x:v>
      </x:c>
      <x:c r="K28" t="str">
        <x:v>Heal current Magic Armour + temporary overflow (Ward)</x:v>
      </x:c>
      <x:c r="L28" t="str">
        <x:v>1 turn</x:v>
      </x:c>
      <x:c r="M28" t="str">
        <x:v>Gain 5 Fortified Armour (add 5 to current Armour and temporary Maximum Armour) and 5 Ward Magic Armour (add 5 to current Magic Armour and temporary Maximum Magic Armour) for 1 turn.</x:v>
      </x:c>
      <x:c r="N28" t="str">
        <x:v>Purple</x:v>
      </x:c>
      <x:c r="O28" t="str">
        <x:v>Active</x:v>
      </x:c>
    </x:row>
    <x:row r="29">
      <x:c r="A29" t="str">
        <x:v>ESK-025</x:v>
      </x:c>
      <x:c r="B29" t="str">
        <x:v>Defensive Set</x:v>
      </x:c>
      <x:c r="C29" t="str">
        <x:v>Bonecrest Warplate</x:v>
      </x:c>
      <x:c r="D29" t="str">
        <x:v>Armour/Plumage</x:v>
      </x:c>
      <x:c r="E29" t="str">
        <x:v>A</x:v>
      </x:c>
      <x:c r="F29" t="str">
        <x:v>Battle Brace</x:v>
      </x:c>
      <x:c r="G29" t="n">
        <x:v>2</x:v>
      </x:c>
      <x:c r="H29" t="n">
        <x:v>1</x:v>
      </x:c>
      <x:c r="I29" t="str">
        <x:v>Restoration + Buff + Physical Cleanse</x:v>
      </x:c>
      <x:c r="J29" t="str">
        <x:v>Restore to normal maximum</x:v>
      </x:c>
      <x:c r="K29" t="str">
        <x:v>—</x:v>
      </x:c>
      <x:c r="L29" t="str">
        <x:v>1 turn</x:v>
      </x:c>
      <x:c r="M29" t="str">
        <x:v>Restore 4 Armour, gain Minor Might Up for 1 turn, and remove 1 Fracture stack. Does not remove Shattered.</x:v>
      </x:c>
      <x:c r="N29" t="str">
        <x:v>Green</x:v>
      </x:c>
      <x:c r="O29" t="str">
        <x:v>Active</x:v>
      </x:c>
    </x:row>
    <x:row r="30">
      <x:c r="A30" t="str">
        <x:v>ESK-026</x:v>
      </x:c>
      <x:c r="B30" t="str">
        <x:v>Defensive Set</x:v>
      </x:c>
      <x:c r="C30" t="str">
        <x:v>Bonecrest Warplate</x:v>
      </x:c>
      <x:c r="D30" t="str">
        <x:v>Armour/Plumage</x:v>
      </x:c>
      <x:c r="E30" t="str">
        <x:v>B</x:v>
      </x:c>
      <x:c r="F30" t="str">
        <x:v>Warplate Surge</x:v>
      </x:c>
      <x:c r="G30" t="n">
        <x:v>3</x:v>
      </x:c>
      <x:c r="H30" t="n">
        <x:v>2</x:v>
      </x:c>
      <x:c r="I30" t="str">
        <x:v>Fortify + Buff</x:v>
      </x:c>
      <x:c r="J30" t="str">
        <x:v>Heal current Armour + temporary overflow (Fortify)</x:v>
      </x:c>
      <x:c r="K30" t="str">
        <x:v>—</x:v>
      </x:c>
      <x:c r="L30" t="str">
        <x:v>2 turns</x:v>
      </x:c>
      <x:c r="M30" t="str">
        <x:v>Gain 6 Fortified Armour (add 6 to current Armour and temporary Maximum Armour) and Minor Might Up for 2 turns.</x:v>
      </x:c>
      <x:c r="N30" t="str">
        <x:v>Purple</x:v>
      </x:c>
      <x:c r="O30" t="str">
        <x:v>Active</x:v>
      </x:c>
    </x:row>
    <x:row r="31">
      <x:c r="A31" t="str">
        <x:v>ESK-027</x:v>
      </x:c>
      <x:c r="B31" t="str">
        <x:v>Defensive Set</x:v>
      </x:c>
      <x:c r="C31" t="str">
        <x:v>Bonecrest Warplate</x:v>
      </x:c>
      <x:c r="D31" t="str">
        <x:v>Helmet</x:v>
      </x:c>
      <x:c r="E31" t="str">
        <x:v>A</x:v>
      </x:c>
      <x:c r="F31" t="str">
        <x:v>Predator’s Gaze</x:v>
      </x:c>
      <x:c r="G31" t="n">
        <x:v>2</x:v>
      </x:c>
      <x:c r="H31" t="n">
        <x:v>0</x:v>
      </x:c>
      <x:c r="I31" t="str">
        <x:v>Buff</x:v>
      </x:c>
      <x:c r="J31" t="str">
        <x:v>—</x:v>
      </x:c>
      <x:c r="K31" t="str">
        <x:v>—</x:v>
      </x:c>
      <x:c r="L31" t="str">
        <x:v>2 turns</x:v>
      </x:c>
      <x:c r="M31" t="str">
        <x:v>Gain Minor Might Up for 2 turns.</x:v>
      </x:c>
      <x:c r="N31" t="str">
        <x:v>Green</x:v>
      </x:c>
      <x:c r="O31" t="str">
        <x:v>Active</x:v>
      </x:c>
    </x:row>
    <x:row r="32">
      <x:c r="A32" t="str">
        <x:v>ESK-028</x:v>
      </x:c>
      <x:c r="B32" t="str">
        <x:v>Defensive Set</x:v>
      </x:c>
      <x:c r="C32" t="str">
        <x:v>Bonecrest Warplate</x:v>
      </x:c>
      <x:c r="D32" t="str">
        <x:v>Helmet</x:v>
      </x:c>
      <x:c r="E32" t="str">
        <x:v>B</x:v>
      </x:c>
      <x:c r="F32" t="str">
        <x:v>Breaker’s Focus</x:v>
      </x:c>
      <x:c r="G32" t="n">
        <x:v>3</x:v>
      </x:c>
      <x:c r="H32" t="n">
        <x:v>1</x:v>
      </x:c>
      <x:c r="I32" t="str">
        <x:v>Attack Setup</x:v>
      </x:c>
      <x:c r="J32" t="str">
        <x:v>—</x:v>
      </x:c>
      <x:c r="K32" t="str">
        <x:v>—</x:v>
      </x:c>
      <x:c r="L32" t="str">
        <x:v>As stated</x:v>
      </x:c>
      <x:c r="M32" t="str">
        <x:v>The next Strength skill before the end of the next turn gains +15 Skill Power and ignores 4 Guard.</x:v>
      </x:c>
      <x:c r="N32" t="str">
        <x:v>Purple</x:v>
      </x:c>
      <x:c r="O32" t="str">
        <x:v>Active</x:v>
      </x:c>
    </x:row>
    <x:row r="33">
      <x:c r="A33" t="str">
        <x:v>ESK-029</x:v>
      </x:c>
      <x:c r="B33" t="str">
        <x:v>Defensive Set</x:v>
      </x:c>
      <x:c r="C33" t="str">
        <x:v>Bonecrest Warplate</x:v>
      </x:c>
      <x:c r="D33" t="str">
        <x:v>Shield</x:v>
      </x:c>
      <x:c r="E33" t="str">
        <x:v>A</x:v>
      </x:c>
      <x:c r="F33" t="str">
        <x:v>Offensive Guard</x:v>
      </x:c>
      <x:c r="G33" t="n">
        <x:v>2</x:v>
      </x:c>
      <x:c r="H33" t="n">
        <x:v>1</x:v>
      </x:c>
      <x:c r="I33" t="str">
        <x:v>Restoration + Attack Setup</x:v>
      </x:c>
      <x:c r="J33" t="str">
        <x:v>Restore to normal maximum</x:v>
      </x:c>
      <x:c r="K33" t="str">
        <x:v>—</x:v>
      </x:c>
      <x:c r="L33" t="str">
        <x:v>As stated</x:v>
      </x:c>
      <x:c r="M33" t="str">
        <x:v>Restore 4 Armour. The next Strength skill before the end of the turn gains +10 Skill Power.</x:v>
      </x:c>
      <x:c r="N33" t="str">
        <x:v>Green</x:v>
      </x:c>
      <x:c r="O33" t="str">
        <x:v>Active</x:v>
      </x:c>
    </x:row>
    <x:row r="34">
      <x:c r="A34" t="str">
        <x:v>ESK-030</x:v>
      </x:c>
      <x:c r="B34" t="str">
        <x:v>Defensive Set</x:v>
      </x:c>
      <x:c r="C34" t="str">
        <x:v>Bonecrest Warplate</x:v>
      </x:c>
      <x:c r="D34" t="str">
        <x:v>Shield</x:v>
      </x:c>
      <x:c r="E34" t="str">
        <x:v>B</x:v>
      </x:c>
      <x:c r="F34" t="str">
        <x:v>Bonewall Rush</x:v>
      </x:c>
      <x:c r="G34" t="n">
        <x:v>3</x:v>
      </x:c>
      <x:c r="H34" t="n">
        <x:v>2</x:v>
      </x:c>
      <x:c r="I34" t="str">
        <x:v>Fortify + Attack Setup</x:v>
      </x:c>
      <x:c r="J34" t="str">
        <x:v>Heal current Armour + temporary overflow (Fortify)</x:v>
      </x:c>
      <x:c r="K34" t="str">
        <x:v>—</x:v>
      </x:c>
      <x:c r="L34" t="str">
        <x:v>2 turns</x:v>
      </x:c>
      <x:c r="M34" t="str">
        <x:v>Gain 8 Fortified Armour (add 8 to current Armour and temporary Maximum Armour) for 2 turns. The next Strength skill before the end of the next turn gains +10 Skill Power.</x:v>
      </x:c>
      <x:c r="N34" t="str">
        <x:v>Purple</x:v>
      </x:c>
      <x:c r="O34" t="str">
        <x:v>Active</x:v>
      </x:c>
    </x:row>
    <x:row r="35">
      <x:c r="A35" t="str">
        <x:v>ESK-031</x:v>
      </x:c>
      <x:c r="B35" t="str">
        <x:v>Defensive Set</x:v>
      </x:c>
      <x:c r="C35" t="str">
        <x:v>Crystalwind Regalia</x:v>
      </x:c>
      <x:c r="D35" t="str">
        <x:v>Armour/Plumage</x:v>
      </x:c>
      <x:c r="E35" t="str">
        <x:v>A</x:v>
      </x:c>
      <x:c r="F35" t="str">
        <x:v>Crystal Mend</x:v>
      </x:c>
      <x:c r="G35" t="n">
        <x:v>2</x:v>
      </x:c>
      <x:c r="H35" t="n">
        <x:v>1</x:v>
      </x:c>
      <x:c r="I35" t="str">
        <x:v>Restoration</x:v>
      </x:c>
      <x:c r="J35" t="str">
        <x:v>—</x:v>
      </x:c>
      <x:c r="K35" t="str">
        <x:v>Restore to normal maximum</x:v>
      </x:c>
      <x:c r="L35" t="str">
        <x:v>As stated</x:v>
      </x:c>
      <x:c r="M35" t="str">
        <x:v>Restore 4 Magic Armour.</x:v>
      </x:c>
      <x:c r="N35" t="str">
        <x:v>Green</x:v>
      </x:c>
      <x:c r="O35" t="str">
        <x:v>Active</x:v>
      </x:c>
    </x:row>
    <x:row r="36">
      <x:c r="A36" t="str">
        <x:v>ESK-032</x:v>
      </x:c>
      <x:c r="B36" t="str">
        <x:v>Defensive Set</x:v>
      </x:c>
      <x:c r="C36" t="str">
        <x:v>Crystalwind Regalia</x:v>
      </x:c>
      <x:c r="D36" t="str">
        <x:v>Armour/Plumage</x:v>
      </x:c>
      <x:c r="E36" t="str">
        <x:v>B</x:v>
      </x:c>
      <x:c r="F36" t="str">
        <x:v>Gale Ward</x:v>
      </x:c>
      <x:c r="G36" t="n">
        <x:v>3</x:v>
      </x:c>
      <x:c r="H36" t="n">
        <x:v>2</x:v>
      </x:c>
      <x:c r="I36" t="str">
        <x:v>Ward + Buff</x:v>
      </x:c>
      <x:c r="J36" t="str">
        <x:v>—</x:v>
      </x:c>
      <x:c r="K36" t="str">
        <x:v>Heal current Magic Armour + temporary overflow (Ward)</x:v>
      </x:c>
      <x:c r="L36" t="str">
        <x:v>2 turns</x:v>
      </x:c>
      <x:c r="M36" t="str">
        <x:v>Gain 7 Ward Magic Armour (add 7 to current Magic Armour and temporary Maximum Magic Armour) and Minor Agility Up for 2 turns.</x:v>
      </x:c>
      <x:c r="N36" t="str">
        <x:v>Purple</x:v>
      </x:c>
      <x:c r="O36" t="str">
        <x:v>Active</x:v>
      </x:c>
    </x:row>
    <x:row r="37">
      <x:c r="A37" t="str">
        <x:v>ESK-033</x:v>
      </x:c>
      <x:c r="B37" t="str">
        <x:v>Defensive Set</x:v>
      </x:c>
      <x:c r="C37" t="str">
        <x:v>Crystalwind Regalia</x:v>
      </x:c>
      <x:c r="D37" t="str">
        <x:v>Helmet</x:v>
      </x:c>
      <x:c r="E37" t="str">
        <x:v>A</x:v>
      </x:c>
      <x:c r="F37" t="str">
        <x:v>Storm Sight</x:v>
      </x:c>
      <x:c r="G37" t="n">
        <x:v>2</x:v>
      </x:c>
      <x:c r="H37" t="n">
        <x:v>0</x:v>
      </x:c>
      <x:c r="I37" t="str">
        <x:v>Buff</x:v>
      </x:c>
      <x:c r="J37" t="str">
        <x:v>—</x:v>
      </x:c>
      <x:c r="K37" t="str">
        <x:v>—</x:v>
      </x:c>
      <x:c r="L37" t="str">
        <x:v>2 turns</x:v>
      </x:c>
      <x:c r="M37" t="str">
        <x:v>Gain Minor Focus Up for 2 turns.</x:v>
      </x:c>
      <x:c r="N37" t="str">
        <x:v>Green</x:v>
      </x:c>
      <x:c r="O37" t="str">
        <x:v>Active</x:v>
      </x:c>
    </x:row>
    <x:row r="38">
      <x:c r="A38" t="str">
        <x:v>ESK-034</x:v>
      </x:c>
      <x:c r="B38" t="str">
        <x:v>Defensive Set</x:v>
      </x:c>
      <x:c r="C38" t="str">
        <x:v>Crystalwind Regalia</x:v>
      </x:c>
      <x:c r="D38" t="str">
        <x:v>Helmet</x:v>
      </x:c>
      <x:c r="E38" t="str">
        <x:v>B</x:v>
      </x:c>
      <x:c r="F38" t="str">
        <x:v>Arcane Wind</x:v>
      </x:c>
      <x:c r="G38" t="n">
        <x:v>3</x:v>
      </x:c>
      <x:c r="H38" t="n">
        <x:v>2</x:v>
      </x:c>
      <x:c r="I38" t="str">
        <x:v>Ward + Buff</x:v>
      </x:c>
      <x:c r="J38" t="str">
        <x:v>—</x:v>
      </x:c>
      <x:c r="K38" t="str">
        <x:v>Heal current Magic Armour + temporary overflow (Ward)</x:v>
      </x:c>
      <x:c r="L38" t="str">
        <x:v>2 turns</x:v>
      </x:c>
      <x:c r="M38" t="str">
        <x:v>Gain 5 Ward Magic Armour (add 5 to current Magic Armour and temporary Maximum Magic Armour) and Minor Focus Up for 2 turns.</x:v>
      </x:c>
      <x:c r="N38" t="str">
        <x:v>Purple</x:v>
      </x:c>
      <x:c r="O38" t="str">
        <x:v>Active</x:v>
      </x:c>
    </x:row>
    <x:row r="39">
      <x:c r="A39" t="str">
        <x:v>ESK-035</x:v>
      </x:c>
      <x:c r="B39" t="str">
        <x:v>Defensive Set</x:v>
      </x:c>
      <x:c r="C39" t="str">
        <x:v>Crystalwind Regalia</x:v>
      </x:c>
      <x:c r="D39" t="str">
        <x:v>Shield</x:v>
      </x:c>
      <x:c r="E39" t="str">
        <x:v>A</x:v>
      </x:c>
      <x:c r="F39" t="str">
        <x:v>Crystal Screen</x:v>
      </x:c>
      <x:c r="G39" t="n">
        <x:v>2</x:v>
      </x:c>
      <x:c r="H39" t="n">
        <x:v>1</x:v>
      </x:c>
      <x:c r="I39" t="str">
        <x:v>Restoration</x:v>
      </x:c>
      <x:c r="J39" t="str">
        <x:v>—</x:v>
      </x:c>
      <x:c r="K39" t="str">
        <x:v>Restore to normal maximum</x:v>
      </x:c>
      <x:c r="L39" t="str">
        <x:v>As stated</x:v>
      </x:c>
      <x:c r="M39" t="str">
        <x:v>Restore 5 Magic Armour.</x:v>
      </x:c>
      <x:c r="N39" t="str">
        <x:v>Green</x:v>
      </x:c>
      <x:c r="O39" t="str">
        <x:v>Active</x:v>
      </x:c>
    </x:row>
    <x:row r="40">
      <x:c r="A40" t="str">
        <x:v>ESK-036</x:v>
      </x:c>
      <x:c r="B40" t="str">
        <x:v>Defensive Set</x:v>
      </x:c>
      <x:c r="C40" t="str">
        <x:v>Crystalwind Regalia</x:v>
      </x:c>
      <x:c r="D40" t="str">
        <x:v>Shield</x:v>
      </x:c>
      <x:c r="E40" t="str">
        <x:v>B</x:v>
      </x:c>
      <x:c r="F40" t="str">
        <x:v>Windglass Ward</x:v>
      </x:c>
      <x:c r="G40" t="n">
        <x:v>3</x:v>
      </x:c>
      <x:c r="H40" t="n">
        <x:v>2</x:v>
      </x:c>
      <x:c r="I40" t="str">
        <x:v>Ward + Attack Setup</x:v>
      </x:c>
      <x:c r="J40" t="str">
        <x:v>—</x:v>
      </x:c>
      <x:c r="K40" t="str">
        <x:v>Heal current Magic Armour + temporary overflow (Ward)</x:v>
      </x:c>
      <x:c r="L40" t="str">
        <x:v>2 turns</x:v>
      </x:c>
      <x:c r="M40" t="str">
        <x:v>Gain 9 Ward Magic Armour (add 9 to current Magic Armour and temporary Maximum Magic Armour) for 2 turns. The next Magic skill before the end of the next turn gains +10 Skill Power.</x:v>
      </x:c>
      <x:c r="N40" t="str">
        <x:v>Purple</x:v>
      </x:c>
      <x:c r="O40" t="str">
        <x:v>Active</x:v>
      </x:c>
    </x:row>
    <x:row r="41">
      <x:c r="A41" t="str">
        <x:v>ESK-037</x:v>
      </x:c>
      <x:c r="B41" t="str">
        <x:v>Defensive Set</x:v>
      </x:c>
      <x:c r="C41" t="str">
        <x:v>Dawnfeather Vestments</x:v>
      </x:c>
      <x:c r="D41" t="str">
        <x:v>Armour/Plumage</x:v>
      </x:c>
      <x:c r="E41" t="str">
        <x:v>A</x:v>
      </x:c>
      <x:c r="F41" t="str">
        <x:v>Mend Plumage</x:v>
      </x:c>
      <x:c r="G41" t="n">
        <x:v>2</x:v>
      </x:c>
      <x:c r="H41" t="n">
        <x:v>1</x:v>
      </x:c>
      <x:c r="I41" t="str">
        <x:v>Dual Restoration</x:v>
      </x:c>
      <x:c r="J41" t="str">
        <x:v>Conditional / split restoration</x:v>
      </x:c>
      <x:c r="K41" t="str">
        <x:v>Conditional / split restoration</x:v>
      </x:c>
      <x:c r="L41" t="str">
        <x:v>As stated</x:v>
      </x:c>
      <x:c r="M41" t="str">
        <x:v>Restore 3 Armour and 3 Magic Armour.</x:v>
      </x:c>
      <x:c r="N41" t="str">
        <x:v>Green</x:v>
      </x:c>
      <x:c r="O41" t="str">
        <x:v>Active</x:v>
      </x:c>
    </x:row>
    <x:row r="42">
      <x:c r="A42" t="str">
        <x:v>ESK-038</x:v>
      </x:c>
      <x:c r="B42" t="str">
        <x:v>Defensive Set</x:v>
      </x:c>
      <x:c r="C42" t="str">
        <x:v>Dawnfeather Vestments</x:v>
      </x:c>
      <x:c r="D42" t="str">
        <x:v>Armour/Plumage</x:v>
      </x:c>
      <x:c r="E42" t="str">
        <x:v>B</x:v>
      </x:c>
      <x:c r="F42" t="str">
        <x:v>Radiant Bastion</x:v>
      </x:c>
      <x:c r="G42" t="n">
        <x:v>3</x:v>
      </x:c>
      <x:c r="H42" t="n">
        <x:v>3</x:v>
      </x:c>
      <x:c r="I42" t="str">
        <x:v>Fortify + Ward</x:v>
      </x:c>
      <x:c r="J42" t="str">
        <x:v>Heal current Armour + temporary overflow (Fortify)</x:v>
      </x:c>
      <x:c r="K42" t="str">
        <x:v>Heal current Magic Armour + temporary overflow (Ward)</x:v>
      </x:c>
      <x:c r="L42" t="str">
        <x:v>2 turns</x:v>
      </x:c>
      <x:c r="M42" t="str">
        <x:v>Gain 5 Fortified Armour (add 5 to current Armour and temporary Maximum Armour) and 5 Ward Magic Armour (add 5 to current Magic Armour and temporary Maximum Magic Armour) for 2 turns.</x:v>
      </x:c>
      <x:c r="N42" t="str">
        <x:v>Purple</x:v>
      </x:c>
      <x:c r="O42" t="str">
        <x:v>Active</x:v>
      </x:c>
    </x:row>
    <x:row r="43">
      <x:c r="A43" t="str">
        <x:v>ESK-039</x:v>
      </x:c>
      <x:c r="B43" t="str">
        <x:v>Defensive Set</x:v>
      </x:c>
      <x:c r="C43" t="str">
        <x:v>Dawnfeather Vestments</x:v>
      </x:c>
      <x:c r="D43" t="str">
        <x:v>Helmet</x:v>
      </x:c>
      <x:c r="E43" t="str">
        <x:v>A</x:v>
      </x:c>
      <x:c r="F43" t="str">
        <x:v>Renewing Light</x:v>
      </x:c>
      <x:c r="G43" t="n">
        <x:v>2</x:v>
      </x:c>
      <x:c r="H43" t="n">
        <x:v>1</x:v>
      </x:c>
      <x:c r="I43" t="str">
        <x:v>Restoration</x:v>
      </x:c>
      <x:c r="J43" t="str">
        <x:v>Conditional / split restoration</x:v>
      </x:c>
      <x:c r="K43" t="str">
        <x:v>Conditional / split restoration</x:v>
      </x:c>
      <x:c r="L43" t="str">
        <x:v>As stated</x:v>
      </x:c>
      <x:c r="M43" t="str">
        <x:v>Restore 4 to whichever protection pool is currently lower.</x:v>
      </x:c>
      <x:c r="N43" t="str">
        <x:v>Green</x:v>
      </x:c>
      <x:c r="O43" t="str">
        <x:v>Active</x:v>
      </x:c>
    </x:row>
    <x:row r="44">
      <x:c r="A44" t="str">
        <x:v>ESK-040</x:v>
      </x:c>
      <x:c r="B44" t="str">
        <x:v>Defensive Set</x:v>
      </x:c>
      <x:c r="C44" t="str">
        <x:v>Dawnfeather Vestments</x:v>
      </x:c>
      <x:c r="D44" t="str">
        <x:v>Helmet</x:v>
      </x:c>
      <x:c r="E44" t="str">
        <x:v>B</x:v>
      </x:c>
      <x:c r="F44" t="str">
        <x:v>Protective Prayer</x:v>
      </x:c>
      <x:c r="G44" t="n">
        <x:v>3</x:v>
      </x:c>
      <x:c r="H44" t="n">
        <x:v>1</x:v>
      </x:c>
      <x:c r="I44" t="str">
        <x:v>Buff</x:v>
      </x:c>
      <x:c r="J44" t="str">
        <x:v>—</x:v>
      </x:c>
      <x:c r="K44" t="str">
        <x:v>—</x:v>
      </x:c>
      <x:c r="L44" t="str">
        <x:v>2 turns</x:v>
      </x:c>
      <x:c r="M44" t="str">
        <x:v>Gain Minor Guard Up and Minor Resolve Up for 2 turns.</x:v>
      </x:c>
      <x:c r="N44" t="str">
        <x:v>Purple</x:v>
      </x:c>
      <x:c r="O44" t="str">
        <x:v>Active</x:v>
      </x:c>
    </x:row>
    <x:row r="45">
      <x:c r="A45" t="str">
        <x:v>ESK-041</x:v>
      </x:c>
      <x:c r="B45" t="str">
        <x:v>Defensive Set</x:v>
      </x:c>
      <x:c r="C45" t="str">
        <x:v>Dawnfeather Vestments</x:v>
      </x:c>
      <x:c r="D45" t="str">
        <x:v>Shield</x:v>
      </x:c>
      <x:c r="E45" t="str">
        <x:v>A</x:v>
      </x:c>
      <x:c r="F45" t="str">
        <x:v>Dawnward Mend</x:v>
      </x:c>
      <x:c r="G45" t="n">
        <x:v>2</x:v>
      </x:c>
      <x:c r="H45" t="n">
        <x:v>1</x:v>
      </x:c>
      <x:c r="I45" t="str">
        <x:v>Dual Restoration</x:v>
      </x:c>
      <x:c r="J45" t="str">
        <x:v>Conditional / split restoration</x:v>
      </x:c>
      <x:c r="K45" t="str">
        <x:v>Conditional / split restoration</x:v>
      </x:c>
      <x:c r="L45" t="str">
        <x:v>As stated</x:v>
      </x:c>
      <x:c r="M45" t="str">
        <x:v>Restore 3 Armour and 3 Magic Armour.</x:v>
      </x:c>
      <x:c r="N45" t="str">
        <x:v>Green</x:v>
      </x:c>
      <x:c r="O45" t="str">
        <x:v>Active</x:v>
      </x:c>
    </x:row>
    <x:row r="46">
      <x:c r="A46" t="str">
        <x:v>ESK-042</x:v>
      </x:c>
      <x:c r="B46" t="str">
        <x:v>Defensive Set</x:v>
      </x:c>
      <x:c r="C46" t="str">
        <x:v>Dawnfeather Vestments</x:v>
      </x:c>
      <x:c r="D46" t="str">
        <x:v>Shield</x:v>
      </x:c>
      <x:c r="E46" t="str">
        <x:v>B</x:v>
      </x:c>
      <x:c r="F46" t="str">
        <x:v>Solar Aegis</x:v>
      </x:c>
      <x:c r="G46" t="n">
        <x:v>3</x:v>
      </x:c>
      <x:c r="H46" t="n">
        <x:v>3</x:v>
      </x:c>
      <x:c r="I46" t="str">
        <x:v>Fortify + Ward</x:v>
      </x:c>
      <x:c r="J46" t="str">
        <x:v>Heal current Armour + temporary overflow (Fortify)</x:v>
      </x:c>
      <x:c r="K46" t="str">
        <x:v>Heal current Magic Armour + temporary overflow (Ward)</x:v>
      </x:c>
      <x:c r="L46" t="str">
        <x:v>2 turns</x:v>
      </x:c>
      <x:c r="M46" t="str">
        <x:v>Gain 6 Fortified Armour (add 6 to current Armour and temporary Maximum Armour) and 6 Ward Magic Armour (add 6 to current Magic Armour and temporary Maximum Magic Armour) for 2 turns.</x:v>
      </x:c>
      <x:c r="N46" t="str">
        <x:v>Purple</x:v>
      </x:c>
      <x:c r="O46" t="str">
        <x:v>Active</x:v>
      </x:c>
    </x:row>
    <x:row r="47">
      <x:c r="A47" t="str">
        <x:v>ESK-043</x:v>
      </x:c>
      <x:c r="B47" t="str">
        <x:v>Defensive Set</x:v>
      </x:c>
      <x:c r="C47" t="str">
        <x:v>Nightweave Vestments</x:v>
      </x:c>
      <x:c r="D47" t="str">
        <x:v>Armour/Plumage</x:v>
      </x:c>
      <x:c r="E47" t="str">
        <x:v>A</x:v>
      </x:c>
      <x:c r="F47" t="str">
        <x:v>Veil Stitch</x:v>
      </x:c>
      <x:c r="G47" t="n">
        <x:v>2</x:v>
      </x:c>
      <x:c r="H47" t="n">
        <x:v>1</x:v>
      </x:c>
      <x:c r="I47" t="str">
        <x:v>Restoration</x:v>
      </x:c>
      <x:c r="J47" t="str">
        <x:v>—</x:v>
      </x:c>
      <x:c r="K47" t="str">
        <x:v>Restore to normal maximum</x:v>
      </x:c>
      <x:c r="L47" t="str">
        <x:v>As stated</x:v>
      </x:c>
      <x:c r="M47" t="str">
        <x:v>Restore 5 Magic Armour.</x:v>
      </x:c>
      <x:c r="N47" t="str">
        <x:v>Green</x:v>
      </x:c>
      <x:c r="O47" t="str">
        <x:v>Active</x:v>
      </x:c>
    </x:row>
    <x:row r="48">
      <x:c r="A48" t="str">
        <x:v>ESK-044</x:v>
      </x:c>
      <x:c r="B48" t="str">
        <x:v>Defensive Set</x:v>
      </x:c>
      <x:c r="C48" t="str">
        <x:v>Nightweave Vestments</x:v>
      </x:c>
      <x:c r="D48" t="str">
        <x:v>Armour/Plumage</x:v>
      </x:c>
      <x:c r="E48" t="str">
        <x:v>B</x:v>
      </x:c>
      <x:c r="F48" t="str">
        <x:v>Night Ward</x:v>
      </x:c>
      <x:c r="G48" t="n">
        <x:v>3</x:v>
      </x:c>
      <x:c r="H48" t="n">
        <x:v>2</x:v>
      </x:c>
      <x:c r="I48" t="str">
        <x:v>Ward + Resistance</x:v>
      </x:c>
      <x:c r="J48" t="str">
        <x:v>—</x:v>
      </x:c>
      <x:c r="K48" t="str">
        <x:v>Heal current Magic Armour + temporary overflow (Ward)</x:v>
      </x:c>
      <x:c r="L48" t="str">
        <x:v>2 turns</x:v>
      </x:c>
      <x:c r="M48" t="str">
        <x:v>Gain 8 Ward Magic Armour (add 8 to current Magic Armour and temporary Maximum Magic Armour) and reduce hostile magical ailment application chance by 10 percentage points for 2 turns.</x:v>
      </x:c>
      <x:c r="N48" t="str">
        <x:v>Purple</x:v>
      </x:c>
      <x:c r="O48" t="str">
        <x:v>Active</x:v>
      </x:c>
    </x:row>
    <x:row r="49">
      <x:c r="A49" t="str">
        <x:v>ESK-045</x:v>
      </x:c>
      <x:c r="B49" t="str">
        <x:v>Defensive Set</x:v>
      </x:c>
      <x:c r="C49" t="str">
        <x:v>Nightweave Vestments</x:v>
      </x:c>
      <x:c r="D49" t="str">
        <x:v>Helmet</x:v>
      </x:c>
      <x:c r="E49" t="str">
        <x:v>A</x:v>
      </x:c>
      <x:c r="F49" t="str">
        <x:v>Veiled Mind</x:v>
      </x:c>
      <x:c r="G49" t="n">
        <x:v>2</x:v>
      </x:c>
      <x:c r="H49" t="n">
        <x:v>0</x:v>
      </x:c>
      <x:c r="I49" t="str">
        <x:v>Buff</x:v>
      </x:c>
      <x:c r="J49" t="str">
        <x:v>—</x:v>
      </x:c>
      <x:c r="K49" t="str">
        <x:v>—</x:v>
      </x:c>
      <x:c r="L49" t="str">
        <x:v>2 turns</x:v>
      </x:c>
      <x:c r="M49" t="str">
        <x:v>Gain Minor Resolve Up for 2 turns.</x:v>
      </x:c>
      <x:c r="N49" t="str">
        <x:v>Green</x:v>
      </x:c>
      <x:c r="O49" t="str">
        <x:v>Active</x:v>
      </x:c>
    </x:row>
    <x:row r="50">
      <x:c r="A50" t="str">
        <x:v>ESK-046</x:v>
      </x:c>
      <x:c r="B50" t="str">
        <x:v>Defensive Set</x:v>
      </x:c>
      <x:c r="C50" t="str">
        <x:v>Nightweave Vestments</x:v>
      </x:c>
      <x:c r="D50" t="str">
        <x:v>Helmet</x:v>
      </x:c>
      <x:c r="E50" t="str">
        <x:v>B</x:v>
      </x:c>
      <x:c r="F50" t="str">
        <x:v>Hex Guard</x:v>
      </x:c>
      <x:c r="G50" t="n">
        <x:v>3</x:v>
      </x:c>
      <x:c r="H50" t="n">
        <x:v>2</x:v>
      </x:c>
      <x:c r="I50" t="str">
        <x:v>Ward + Utility</x:v>
      </x:c>
      <x:c r="J50" t="str">
        <x:v>—</x:v>
      </x:c>
      <x:c r="K50" t="str">
        <x:v>Heal current Magic Armour + temporary overflow (Ward)</x:v>
      </x:c>
      <x:c r="L50" t="str">
        <x:v>As stated</x:v>
      </x:c>
      <x:c r="M50" t="str">
        <x:v>Gain 5 Ward Magic Armour (add 5 to current Magic Armour and temporary Maximum Magic Armour). The next magical debuff applied has its duration reduced by 1 turn, minimum 1.</x:v>
      </x:c>
      <x:c r="N50" t="str">
        <x:v>Purple</x:v>
      </x:c>
      <x:c r="O50" t="str">
        <x:v>Active</x:v>
      </x:c>
    </x:row>
    <x:row r="51">
      <x:c r="A51" t="str">
        <x:v>ESK-047</x:v>
      </x:c>
      <x:c r="B51" t="str">
        <x:v>Defensive Set</x:v>
      </x:c>
      <x:c r="C51" t="str">
        <x:v>Nightweave Vestments</x:v>
      </x:c>
      <x:c r="D51" t="str">
        <x:v>Shield</x:v>
      </x:c>
      <x:c r="E51" t="str">
        <x:v>A</x:v>
      </x:c>
      <x:c r="F51" t="str">
        <x:v>Moonward</x:v>
      </x:c>
      <x:c r="G51" t="n">
        <x:v>2</x:v>
      </x:c>
      <x:c r="H51" t="n">
        <x:v>1</x:v>
      </x:c>
      <x:c r="I51" t="str">
        <x:v>Restoration</x:v>
      </x:c>
      <x:c r="J51" t="str">
        <x:v>—</x:v>
      </x:c>
      <x:c r="K51" t="str">
        <x:v>Restore to normal maximum</x:v>
      </x:c>
      <x:c r="L51" t="str">
        <x:v>As stated</x:v>
      </x:c>
      <x:c r="M51" t="str">
        <x:v>Restore 5 Magic Armour.</x:v>
      </x:c>
      <x:c r="N51" t="str">
        <x:v>Green</x:v>
      </x:c>
      <x:c r="O51" t="str">
        <x:v>Active</x:v>
      </x:c>
    </x:row>
    <x:row r="52">
      <x:c r="A52" t="str">
        <x:v>ESK-048</x:v>
      </x:c>
      <x:c r="B52" t="str">
        <x:v>Defensive Set</x:v>
      </x:c>
      <x:c r="C52" t="str">
        <x:v>Nightweave Vestments</x:v>
      </x:c>
      <x:c r="D52" t="str">
        <x:v>Shield</x:v>
      </x:c>
      <x:c r="E52" t="str">
        <x:v>B</x:v>
      </x:c>
      <x:c r="F52" t="str">
        <x:v>Night Aegis</x:v>
      </x:c>
      <x:c r="G52" t="n">
        <x:v>3</x:v>
      </x:c>
      <x:c r="H52" t="n">
        <x:v>2</x:v>
      </x:c>
      <x:c r="I52" t="str">
        <x:v>Ward + Resistance</x:v>
      </x:c>
      <x:c r="J52" t="str">
        <x:v>—</x:v>
      </x:c>
      <x:c r="K52" t="str">
        <x:v>Heal current Magic Armour + temporary overflow (Ward)</x:v>
      </x:c>
      <x:c r="L52" t="str">
        <x:v>2 turns</x:v>
      </x:c>
      <x:c r="M52" t="str">
        <x:v>Gain 9 Ward Magic Armour (add 9 to current Magic Armour and temporary Maximum Magic Armour) and reduce hostile magical ailment application chance by 10 percentage points for 2 turns.</x:v>
      </x:c>
      <x:c r="N52" t="str">
        <x:v>Purple</x:v>
      </x:c>
      <x:c r="O52" t="str">
        <x:v>Active</x:v>
      </x:c>
    </x:row>
    <x:row r="53">
      <x:c r="A53" t="str">
        <x:v>ESK-049</x:v>
      </x:c>
      <x:c r="B53" t="str">
        <x:v>Accessory</x:v>
      </x:c>
      <x:c r="C53" t="str">
        <x:v>Fleetstep Anklet</x:v>
      </x:c>
      <x:c r="D53" t="str">
        <x:v>Anklet</x:v>
      </x:c>
      <x:c r="E53" t="str">
        <x:v>A</x:v>
      </x:c>
      <x:c r="F53" t="str">
        <x:v>Quickstep</x:v>
      </x:c>
      <x:c r="G53" t="n">
        <x:v>2</x:v>
      </x:c>
      <x:c r="H53" t="n">
        <x:v>0</x:v>
      </x:c>
      <x:c r="I53" t="str">
        <x:v>Buff</x:v>
      </x:c>
      <x:c r="J53" t="str">
        <x:v>—</x:v>
      </x:c>
      <x:c r="K53" t="str">
        <x:v>—</x:v>
      </x:c>
      <x:c r="L53" t="str">
        <x:v>2 turns</x:v>
      </x:c>
      <x:c r="M53" t="str">
        <x:v>Gain Minor Agility Up for 2 turns.</x:v>
      </x:c>
      <x:c r="N53" t="str">
        <x:v>Green</x:v>
      </x:c>
      <x:c r="O53" t="str">
        <x:v>Active</x:v>
      </x:c>
    </x:row>
    <x:row r="54">
      <x:c r="A54" t="str">
        <x:v>ESK-050</x:v>
      </x:c>
      <x:c r="B54" t="str">
        <x:v>Accessory</x:v>
      </x:c>
      <x:c r="C54" t="str">
        <x:v>Fleetstep Anklet</x:v>
      </x:c>
      <x:c r="D54" t="str">
        <x:v>Anklet</x:v>
      </x:c>
      <x:c r="E54" t="str">
        <x:v>B</x:v>
      </x:c>
      <x:c r="F54" t="str">
        <x:v>Slipstream</x:v>
      </x:c>
      <x:c r="G54" t="n">
        <x:v>3</x:v>
      </x:c>
      <x:c r="H54" t="n">
        <x:v>1</x:v>
      </x:c>
      <x:c r="I54" t="str">
        <x:v>Buff</x:v>
      </x:c>
      <x:c r="J54" t="str">
        <x:v>—</x:v>
      </x:c>
      <x:c r="K54" t="str">
        <x:v>—</x:v>
      </x:c>
      <x:c r="L54" t="str">
        <x:v>1 turn</x:v>
      </x:c>
      <x:c r="M54" t="str">
        <x:v>Gain Moderate Agility Up for 1 turn.</x:v>
      </x:c>
      <x:c r="N54" t="str">
        <x:v>Purple</x:v>
      </x:c>
      <x:c r="O54" t="str">
        <x:v>Active</x:v>
      </x:c>
    </x:row>
    <x:row r="55">
      <x:c r="A55" t="str">
        <x:v>ESK-051</x:v>
      </x:c>
      <x:c r="B55" t="str">
        <x:v>Accessory</x:v>
      </x:c>
      <x:c r="C55" t="str">
        <x:v>Ironspur Anklet</x:v>
      </x:c>
      <x:c r="D55" t="str">
        <x:v>Anklet</x:v>
      </x:c>
      <x:c r="E55" t="str">
        <x:v>A</x:v>
      </x:c>
      <x:c r="F55" t="str">
        <x:v>Battle Readiness</x:v>
      </x:c>
      <x:c r="G55" t="n">
        <x:v>2</x:v>
      </x:c>
      <x:c r="H55" t="n">
        <x:v>0</x:v>
      </x:c>
      <x:c r="I55" t="str">
        <x:v>Buff</x:v>
      </x:c>
      <x:c r="J55" t="str">
        <x:v>—</x:v>
      </x:c>
      <x:c r="K55" t="str">
        <x:v>—</x:v>
      </x:c>
      <x:c r="L55" t="str">
        <x:v>2 turns</x:v>
      </x:c>
      <x:c r="M55" t="str">
        <x:v>Gain Minor Might Up for 2 turns.</x:v>
      </x:c>
      <x:c r="N55" t="str">
        <x:v>Green</x:v>
      </x:c>
      <x:c r="O55" t="str">
        <x:v>Active</x:v>
      </x:c>
    </x:row>
    <x:row r="56">
      <x:c r="A56" t="str">
        <x:v>ESK-052</x:v>
      </x:c>
      <x:c r="B56" t="str">
        <x:v>Accessory</x:v>
      </x:c>
      <x:c r="C56" t="str">
        <x:v>Ironspur Anklet</x:v>
      </x:c>
      <x:c r="D56" t="str">
        <x:v>Anklet</x:v>
      </x:c>
      <x:c r="E56" t="str">
        <x:v>B</x:v>
      </x:c>
      <x:c r="F56" t="str">
        <x:v>Iron Stance</x:v>
      </x:c>
      <x:c r="G56" t="n">
        <x:v>3</x:v>
      </x:c>
      <x:c r="H56" t="n">
        <x:v>1</x:v>
      </x:c>
      <x:c r="I56" t="str">
        <x:v>Buff</x:v>
      </x:c>
      <x:c r="J56" t="str">
        <x:v>—</x:v>
      </x:c>
      <x:c r="K56" t="str">
        <x:v>—</x:v>
      </x:c>
      <x:c r="L56" t="str">
        <x:v>2 turns</x:v>
      </x:c>
      <x:c r="M56" t="str">
        <x:v>Gain Minor Might Up and Minor Guard Up for 2 turns.</x:v>
      </x:c>
      <x:c r="N56" t="str">
        <x:v>Purple</x:v>
      </x:c>
      <x:c r="O56" t="str">
        <x:v>Active</x:v>
      </x:c>
    </x:row>
    <x:row r="57">
      <x:c r="A57" t="str">
        <x:v>ESK-053</x:v>
      </x:c>
      <x:c r="B57" t="str">
        <x:v>Accessory</x:v>
      </x:c>
      <x:c r="C57" t="str">
        <x:v>Runeclasp Anklet</x:v>
      </x:c>
      <x:c r="D57" t="str">
        <x:v>Anklet</x:v>
      </x:c>
      <x:c r="E57" t="str">
        <x:v>A</x:v>
      </x:c>
      <x:c r="F57" t="str">
        <x:v>Rune Mend</x:v>
      </x:c>
      <x:c r="G57" t="n">
        <x:v>2</x:v>
      </x:c>
      <x:c r="H57" t="n">
        <x:v>1</x:v>
      </x:c>
      <x:c r="I57" t="str">
        <x:v>Restoration</x:v>
      </x:c>
      <x:c r="J57" t="str">
        <x:v>—</x:v>
      </x:c>
      <x:c r="K57" t="str">
        <x:v>Restore to normal maximum</x:v>
      </x:c>
      <x:c r="L57" t="str">
        <x:v>As stated</x:v>
      </x:c>
      <x:c r="M57" t="str">
        <x:v>Restore 4 Magic Armour.</x:v>
      </x:c>
      <x:c r="N57" t="str">
        <x:v>Green</x:v>
      </x:c>
      <x:c r="O57" t="str">
        <x:v>Active</x:v>
      </x:c>
    </x:row>
    <x:row r="58">
      <x:c r="A58" t="str">
        <x:v>ESK-054</x:v>
      </x:c>
      <x:c r="B58" t="str">
        <x:v>Accessory</x:v>
      </x:c>
      <x:c r="C58" t="str">
        <x:v>Runeclasp Anklet</x:v>
      </x:c>
      <x:c r="D58" t="str">
        <x:v>Anklet</x:v>
      </x:c>
      <x:c r="E58" t="str">
        <x:v>B</x:v>
      </x:c>
      <x:c r="F58" t="str">
        <x:v>Focused Ward</x:v>
      </x:c>
      <x:c r="G58" t="n">
        <x:v>3</x:v>
      </x:c>
      <x:c r="H58" t="n">
        <x:v>2</x:v>
      </x:c>
      <x:c r="I58" t="str">
        <x:v>Ward + Buff</x:v>
      </x:c>
      <x:c r="J58" t="str">
        <x:v>—</x:v>
      </x:c>
      <x:c r="K58" t="str">
        <x:v>Heal current Magic Armour + temporary overflow (Ward)</x:v>
      </x:c>
      <x:c r="L58" t="str">
        <x:v>2 turns</x:v>
      </x:c>
      <x:c r="M58" t="str">
        <x:v>Gain 6 Ward Magic Armour (add 6 to current Magic Armour and temporary Maximum Magic Armour) and Minor Focus Up for 2 turns.</x:v>
      </x:c>
      <x:c r="N58" t="str">
        <x:v>Purple</x:v>
      </x:c>
      <x:c r="O58" t="str">
        <x:v>Active</x:v>
      </x:c>
    </x:row>
    <x:row r="59">
      <x:c r="A59" t="str">
        <x:v>ESK-055</x:v>
      </x:c>
      <x:c r="B59" t="str">
        <x:v>Accessory</x:v>
      </x:c>
      <x:c r="C59" t="str">
        <x:v>Heartloop Anklet</x:v>
      </x:c>
      <x:c r="D59" t="str">
        <x:v>Anklet</x:v>
      </x:c>
      <x:c r="E59" t="str">
        <x:v>A</x:v>
      </x:c>
      <x:c r="F59" t="str">
        <x:v>Heartening Pulse</x:v>
      </x:c>
      <x:c r="G59" t="n">
        <x:v>2</x:v>
      </x:c>
      <x:c r="H59" t="n">
        <x:v>1</x:v>
      </x:c>
      <x:c r="I59" t="str">
        <x:v>Restoration</x:v>
      </x:c>
      <x:c r="J59" t="str">
        <x:v>Conditional / split restoration</x:v>
      </x:c>
      <x:c r="K59" t="str">
        <x:v>Conditional / split restoration</x:v>
      </x:c>
      <x:c r="L59" t="str">
        <x:v>As stated</x:v>
      </x:c>
      <x:c r="M59" t="str">
        <x:v>Restore 4 to whichever protection pool is currently lower.</x:v>
      </x:c>
      <x:c r="N59" t="str">
        <x:v>Green</x:v>
      </x:c>
      <x:c r="O59" t="str">
        <x:v>Active</x:v>
      </x:c>
    </x:row>
    <x:row r="60">
      <x:c r="A60" t="str">
        <x:v>ESK-056</x:v>
      </x:c>
      <x:c r="B60" t="str">
        <x:v>Accessory</x:v>
      </x:c>
      <x:c r="C60" t="str">
        <x:v>Heartloop Anklet</x:v>
      </x:c>
      <x:c r="D60" t="str">
        <x:v>Anklet</x:v>
      </x:c>
      <x:c r="E60" t="str">
        <x:v>B</x:v>
      </x:c>
      <x:c r="F60" t="str">
        <x:v>Enduring Rhythm</x:v>
      </x:c>
      <x:c r="G60" t="n">
        <x:v>3</x:v>
      </x:c>
      <x:c r="H60" t="n">
        <x:v>1</x:v>
      </x:c>
      <x:c r="I60" t="str">
        <x:v>Buff</x:v>
      </x:c>
      <x:c r="J60" t="str">
        <x:v>—</x:v>
      </x:c>
      <x:c r="K60" t="str">
        <x:v>—</x:v>
      </x:c>
      <x:c r="L60" t="str">
        <x:v>2 turns</x:v>
      </x:c>
      <x:c r="M60" t="str">
        <x:v>Gain Minor Guard Up and Minor Resolve Up for 2 turns.</x:v>
      </x:c>
      <x:c r="N60" t="str">
        <x:v>Purple</x:v>
      </x:c>
      <x:c r="O60" t="str">
        <x:v>Active</x:v>
      </x:c>
    </x:row>
    <x:row r="61">
      <x:c r="A61" t="str">
        <x:v>ESK-057</x:v>
      </x:c>
      <x:c r="B61" t="str">
        <x:v>Accessory</x:v>
      </x:c>
      <x:c r="C61" t="str">
        <x:v>Talonmark Pendant</x:v>
      </x:c>
      <x:c r="D61" t="str">
        <x:v>Necklace</x:v>
      </x:c>
      <x:c r="E61" t="str">
        <x:v>A</x:v>
      </x:c>
      <x:c r="F61" t="str">
        <x:v>Keen Edge</x:v>
      </x:c>
      <x:c r="G61" t="n">
        <x:v>2</x:v>
      </x:c>
      <x:c r="H61" t="n">
        <x:v>0</x:v>
      </x:c>
      <x:c r="I61" t="str">
        <x:v>Buff</x:v>
      </x:c>
      <x:c r="J61" t="str">
        <x:v>—</x:v>
      </x:c>
      <x:c r="K61" t="str">
        <x:v>—</x:v>
      </x:c>
      <x:c r="L61" t="str">
        <x:v>2 turns</x:v>
      </x:c>
      <x:c r="M61" t="str">
        <x:v>Gain Minor Dexterity Up for 2 turns.</x:v>
      </x:c>
      <x:c r="N61" t="str">
        <x:v>Green</x:v>
      </x:c>
      <x:c r="O61" t="str">
        <x:v>Active</x:v>
      </x:c>
    </x:row>
    <x:row r="62">
      <x:c r="A62" t="str">
        <x:v>ESK-058</x:v>
      </x:c>
      <x:c r="B62" t="str">
        <x:v>Accessory</x:v>
      </x:c>
      <x:c r="C62" t="str">
        <x:v>Talonmark Pendant</x:v>
      </x:c>
      <x:c r="D62" t="str">
        <x:v>Necklace</x:v>
      </x:c>
      <x:c r="E62" t="str">
        <x:v>B</x:v>
      </x:c>
      <x:c r="F62" t="str">
        <x:v>Marked Opening</x:v>
      </x:c>
      <x:c r="G62" t="n">
        <x:v>3</x:v>
      </x:c>
      <x:c r="H62" t="n">
        <x:v>1</x:v>
      </x:c>
      <x:c r="I62" t="str">
        <x:v>Attack Setup</x:v>
      </x:c>
      <x:c r="J62" t="str">
        <x:v>—</x:v>
      </x:c>
      <x:c r="K62" t="str">
        <x:v>—</x:v>
      </x:c>
      <x:c r="L62" t="str">
        <x:v>As stated</x:v>
      </x:c>
      <x:c r="M62" t="str">
        <x:v>The next Finesse skill before the end of the next turn gains +15 Skill Power and +10 Precision.</x:v>
      </x:c>
      <x:c r="N62" t="str">
        <x:v>Purple</x:v>
      </x:c>
      <x:c r="O62" t="str">
        <x:v>Active</x:v>
      </x:c>
    </x:row>
    <x:row r="63">
      <x:c r="A63" t="str">
        <x:v>ESK-059</x:v>
      </x:c>
      <x:c r="B63" t="str">
        <x:v>Accessory</x:v>
      </x:c>
      <x:c r="C63" t="str">
        <x:v>Warcrest Torque</x:v>
      </x:c>
      <x:c r="D63" t="str">
        <x:v>Necklace</x:v>
      </x:c>
      <x:c r="E63" t="str">
        <x:v>A</x:v>
      </x:c>
      <x:c r="F63" t="str">
        <x:v>War Cry</x:v>
      </x:c>
      <x:c r="G63" t="n">
        <x:v>2</x:v>
      </x:c>
      <x:c r="H63" t="n">
        <x:v>0</x:v>
      </x:c>
      <x:c r="I63" t="str">
        <x:v>Buff</x:v>
      </x:c>
      <x:c r="J63" t="str">
        <x:v>—</x:v>
      </x:c>
      <x:c r="K63" t="str">
        <x:v>—</x:v>
      </x:c>
      <x:c r="L63" t="str">
        <x:v>2 turns</x:v>
      </x:c>
      <x:c r="M63" t="str">
        <x:v>Gain Minor Might Up for 2 turns.</x:v>
      </x:c>
      <x:c r="N63" t="str">
        <x:v>Green</x:v>
      </x:c>
      <x:c r="O63" t="str">
        <x:v>Active</x:v>
      </x:c>
    </x:row>
    <x:row r="64">
      <x:c r="A64" t="str">
        <x:v>ESK-060</x:v>
      </x:c>
      <x:c r="B64" t="str">
        <x:v>Accessory</x:v>
      </x:c>
      <x:c r="C64" t="str">
        <x:v>Warcrest Torque</x:v>
      </x:c>
      <x:c r="D64" t="str">
        <x:v>Necklace</x:v>
      </x:c>
      <x:c r="E64" t="str">
        <x:v>B</x:v>
      </x:c>
      <x:c r="F64" t="str">
        <x:v>Unbroken Crest</x:v>
      </x:c>
      <x:c r="G64" t="n">
        <x:v>3</x:v>
      </x:c>
      <x:c r="H64" t="n">
        <x:v>2</x:v>
      </x:c>
      <x:c r="I64" t="str">
        <x:v>Fortify + Buff</x:v>
      </x:c>
      <x:c r="J64" t="str">
        <x:v>Heal current Armour + temporary overflow (Fortify)</x:v>
      </x:c>
      <x:c r="K64" t="str">
        <x:v>—</x:v>
      </x:c>
      <x:c r="L64" t="str">
        <x:v>2 turns</x:v>
      </x:c>
      <x:c r="M64" t="str">
        <x:v>Gain 6 Fortified Armour (add 6 to current Armour and temporary Maximum Armour) and Minor Guard Up for 2 turns.</x:v>
      </x:c>
      <x:c r="N64" t="str">
        <x:v>Purple</x:v>
      </x:c>
      <x:c r="O64" t="str">
        <x:v>Active</x:v>
      </x:c>
    </x:row>
    <x:row r="65">
      <x:c r="A65" t="str">
        <x:v>ESK-061</x:v>
      </x:c>
      <x:c r="B65" t="str">
        <x:v>Accessory</x:v>
      </x:c>
      <x:c r="C65" t="str">
        <x:v>Runesong Locket</x:v>
      </x:c>
      <x:c r="D65" t="str">
        <x:v>Necklace</x:v>
      </x:c>
      <x:c r="E65" t="str">
        <x:v>A</x:v>
      </x:c>
      <x:c r="F65" t="str">
        <x:v>Arcane Clarity</x:v>
      </x:c>
      <x:c r="G65" t="n">
        <x:v>2</x:v>
      </x:c>
      <x:c r="H65" t="n">
        <x:v>0</x:v>
      </x:c>
      <x:c r="I65" t="str">
        <x:v>Buff</x:v>
      </x:c>
      <x:c r="J65" t="str">
        <x:v>—</x:v>
      </x:c>
      <x:c r="K65" t="str">
        <x:v>—</x:v>
      </x:c>
      <x:c r="L65" t="str">
        <x:v>2 turns</x:v>
      </x:c>
      <x:c r="M65" t="str">
        <x:v>Gain Minor Focus Up for 2 turns.</x:v>
      </x:c>
      <x:c r="N65" t="str">
        <x:v>Green</x:v>
      </x:c>
      <x:c r="O65" t="str">
        <x:v>Active</x:v>
      </x:c>
    </x:row>
    <x:row r="66">
      <x:c r="A66" t="str">
        <x:v>ESK-062</x:v>
      </x:c>
      <x:c r="B66" t="str">
        <x:v>Accessory</x:v>
      </x:c>
      <x:c r="C66" t="str">
        <x:v>Runesong Locket</x:v>
      </x:c>
      <x:c r="D66" t="str">
        <x:v>Necklace</x:v>
      </x:c>
      <x:c r="E66" t="str">
        <x:v>B</x:v>
      </x:c>
      <x:c r="F66" t="str">
        <x:v>Runic Crescendo</x:v>
      </x:c>
      <x:c r="G66" t="n">
        <x:v>3</x:v>
      </x:c>
      <x:c r="H66" t="n">
        <x:v>2</x:v>
      </x:c>
      <x:c r="I66" t="str">
        <x:v>Ward + Buff</x:v>
      </x:c>
      <x:c r="J66" t="str">
        <x:v>—</x:v>
      </x:c>
      <x:c r="K66" t="str">
        <x:v>Heal current Magic Armour + temporary overflow (Ward)</x:v>
      </x:c>
      <x:c r="L66" t="str">
        <x:v>2 turns</x:v>
      </x:c>
      <x:c r="M66" t="str">
        <x:v>Gain 6 Ward Magic Armour (add 6 to current Magic Armour and temporary Maximum Magic Armour) and Minor Focus Up for 2 turns.</x:v>
      </x:c>
      <x:c r="N66" t="str">
        <x:v>Purple</x:v>
      </x:c>
      <x:c r="O66" t="str">
        <x:v>Active</x:v>
      </x:c>
    </x:row>
    <x:row r="67">
      <x:c r="A67" t="str">
        <x:v>ESK-063</x:v>
      </x:c>
      <x:c r="B67" t="str">
        <x:v>Accessory</x:v>
      </x:c>
      <x:c r="C67" t="str">
        <x:v>Aegis Charm</x:v>
      </x:c>
      <x:c r="D67" t="str">
        <x:v>Necklace</x:v>
      </x:c>
      <x:c r="E67" t="str">
        <x:v>A</x:v>
      </x:c>
      <x:c r="F67" t="str">
        <x:v>Balance Armour</x:v>
      </x:c>
      <x:c r="G67" t="n">
        <x:v>2</x:v>
      </x:c>
      <x:c r="H67" t="n">
        <x:v>1</x:v>
      </x:c>
      <x:c r="I67" t="str">
        <x:v>Restoration</x:v>
      </x:c>
      <x:c r="J67" t="str">
        <x:v>Conditional / split restoration</x:v>
      </x:c>
      <x:c r="K67" t="str">
        <x:v>Conditional / split restoration</x:v>
      </x:c>
      <x:c r="L67" t="str">
        <x:v>As stated</x:v>
      </x:c>
      <x:c r="M67" t="str">
        <x:v>Restore 4 to whichever protection pool is currently lower.</x:v>
      </x:c>
      <x:c r="N67" t="str">
        <x:v>Green</x:v>
      </x:c>
      <x:c r="O67" t="str">
        <x:v>Active</x:v>
      </x:c>
    </x:row>
    <x:row r="68">
      <x:c r="A68" t="str">
        <x:v>ESK-064</x:v>
      </x:c>
      <x:c r="B68" t="str">
        <x:v>Accessory</x:v>
      </x:c>
      <x:c r="C68" t="str">
        <x:v>Aegis Charm</x:v>
      </x:c>
      <x:c r="D68" t="str">
        <x:v>Necklace</x:v>
      </x:c>
      <x:c r="E68" t="str">
        <x:v>B</x:v>
      </x:c>
      <x:c r="F68" t="str">
        <x:v>Dual Aegis</x:v>
      </x:c>
      <x:c r="G68" t="n">
        <x:v>3</x:v>
      </x:c>
      <x:c r="H68" t="n">
        <x:v>3</x:v>
      </x:c>
      <x:c r="I68" t="str">
        <x:v>Fortify + Ward</x:v>
      </x:c>
      <x:c r="J68" t="str">
        <x:v>Heal current Armour + temporary overflow (Fortify)</x:v>
      </x:c>
      <x:c r="K68" t="str">
        <x:v>Heal current Magic Armour + temporary overflow (Ward)</x:v>
      </x:c>
      <x:c r="L68" t="str">
        <x:v>2 turns</x:v>
      </x:c>
      <x:c r="M68" t="str">
        <x:v>Gain 5 Fortified Armour (add 5 to current Armour and temporary Maximum Armour) and 5 Ward Magic Armour (add 5 to current Magic Armour and temporary Maximum Magic Armour) for 2 turns.</x:v>
      </x:c>
      <x:c r="N68" t="str">
        <x:v>Purple</x:v>
      </x:c>
      <x:c r="O68" t="str">
        <x:v>Active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sheetData>
    <x:row r="1">
      <x:c r="A1" t="str">
        <x:v>Fortify and Ward Healing, Overflow and Cooldown Simulator v1.2</x:v>
      </x:c>
      <x:c r="B1"/>
      <x:c r="C1"/>
      <x:c r="D1"/>
      <x:c r="E1"/>
      <x:c r="F1"/>
      <x:c r="G1"/>
      <x:c r="H1"/>
      <x:c r="I1"/>
      <x:c r="J1"/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t="str">
        <x:v>Fortify — Armour Healing + Overflow</x:v>
      </x:c>
      <x:c r="B4"/>
      <x:c r="C4"/>
      <x:c r="D4"/>
      <x:c r="E4"/>
      <x:c r="F4" t="str">
        <x:v>Ward — Magic Armour Healing + Overflow</x:v>
      </x:c>
      <x:c r="G4"/>
      <x:c r="H4"/>
      <x:c r="I4"/>
      <x:c r="J4"/>
    </x:row>
    <x:row r="5">
      <x:c r="A5" t="str">
        <x:v>Input</x:v>
      </x:c>
      <x:c r="B5" t="str">
        <x:v>Value</x:v>
      </x:c>
      <x:c r="C5"/>
      <x:c r="D5" t="str">
        <x:v>Output</x:v>
      </x:c>
      <x:c r="E5" t="str">
        <x:v>Result</x:v>
      </x:c>
      <x:c r="F5" t="str">
        <x:v>Input</x:v>
      </x:c>
      <x:c r="G5" t="str">
        <x:v>Value</x:v>
      </x:c>
      <x:c r="H5"/>
      <x:c r="I5" t="str">
        <x:v>Output</x:v>
      </x:c>
      <x:c r="J5" t="str">
        <x:v>Result</x:v>
      </x:c>
    </x:row>
    <x:row r="6">
      <x:c r="A6" t="str">
        <x:v>Normal Maximum Armour</x:v>
      </x:c>
      <x:c r="B6" t="n">
        <x:v>24</x:v>
      </x:c>
      <x:c r="C6"/>
      <x:c r="D6" t="str">
        <x:v>Temporary Maximum Armour</x:v>
      </x:c>
      <x:c r="E6" t="n">
        <x:f>B6+B8</x:f>
        <x:v>36</x:v>
      </x:c>
      <x:c r="F6" t="str">
        <x:v>Normal Maximum Magic Armour</x:v>
      </x:c>
      <x:c r="G6" t="n">
        <x:v>18</x:v>
      </x:c>
      <x:c r="H6"/>
      <x:c r="I6" t="str">
        <x:v>Temporary Maximum Magic Armour</x:v>
      </x:c>
      <x:c r="J6" t="n">
        <x:f>G6+G8</x:f>
        <x:v>26</x:v>
      </x:c>
    </x:row>
    <x:row r="7">
      <x:c r="A7" t="str">
        <x:v>Current Armour</x:v>
      </x:c>
      <x:c r="B7" t="n">
        <x:v>20</x:v>
      </x:c>
      <x:c r="C7"/>
      <x:c r="D7" t="str">
        <x:v>Armour after Fortify</x:v>
      </x:c>
      <x:c r="E7" t="n">
        <x:f>MIN(E6,B7+B8)</x:f>
        <x:v>32</x:v>
      </x:c>
      <x:c r="F7" t="str">
        <x:v>Current Magic Armour</x:v>
      </x:c>
      <x:c r="G7" t="n">
        <x:v>15</x:v>
      </x:c>
      <x:c r="H7"/>
      <x:c r="I7" t="str">
        <x:v>Magic Armour after Ward</x:v>
      </x:c>
      <x:c r="J7" t="n">
        <x:f>MIN(J6,G7+G8)</x:f>
        <x:v>23</x:v>
      </x:c>
    </x:row>
    <x:row r="8">
      <x:c r="A8" t="str">
        <x:v>Fortify Gain</x:v>
      </x:c>
      <x:c r="B8" t="n">
        <x:v>12</x:v>
      </x:c>
      <x:c r="C8"/>
      <x:c r="D8" t="str">
        <x:v>Armour after Damage</x:v>
      </x:c>
      <x:c r="E8" t="n">
        <x:f>MAX(0,E7-B9)</x:f>
        <x:v>27</x:v>
      </x:c>
      <x:c r="F8" t="str">
        <x:v>Ward Gain</x:v>
      </x:c>
      <x:c r="G8" t="n">
        <x:v>8</x:v>
      </x:c>
      <x:c r="H8"/>
      <x:c r="I8" t="str">
        <x:v>Magic Armour after Damage</x:v>
      </x:c>
      <x:c r="J8" t="n">
        <x:f>MAX(0,J7-G9)</x:f>
        <x:v>21</x:v>
      </x:c>
    </x:row>
    <x:row r="9">
      <x:c r="A9" t="str">
        <x:v>Damage Taken During Effect</x:v>
      </x:c>
      <x:c r="B9" t="n">
        <x:v>5</x:v>
      </x:c>
      <x:c r="C9"/>
      <x:c r="D9" t="str">
        <x:v>Armour after Expiry</x:v>
      </x:c>
      <x:c r="E9" t="n">
        <x:f>MIN(E8,B6)</x:f>
        <x:v>24</x:v>
      </x:c>
      <x:c r="F9" t="str">
        <x:v>Damage Taken During Effect</x:v>
      </x:c>
      <x:c r="G9" t="n">
        <x:v>2</x:v>
      </x:c>
      <x:c r="H9"/>
      <x:c r="I9" t="str">
        <x:v>Magic Armour after Expiry</x:v>
      </x:c>
      <x:c r="J9" t="n">
        <x:f>MIN(J8,G6)</x:f>
        <x:v>18</x:v>
      </x:c>
    </x:row>
    <x:row r="10">
      <x:c r="A10" t="str">
        <x:v>Duration (turns)</x:v>
      </x:c>
      <x:c r="B10" t="n">
        <x:v>2</x:v>
      </x:c>
      <x:c r="C10"/>
      <x:c r="D10" t="str">
        <x:v>Cooldown</x:v>
      </x:c>
      <x:c r="E10" t="str">
        <x:v>2 turns</x:v>
      </x:c>
      <x:c r="F10" t="str">
        <x:v>Duration (turns)</x:v>
      </x:c>
      <x:c r="G10" t="n">
        <x:v>2</x:v>
      </x:c>
      <x:c r="H10"/>
      <x:c r="I10" t="str">
        <x:v>Cooldown</x:v>
      </x:c>
      <x:c r="J10" t="str">
        <x:v>2 turns</x:v>
      </x:c>
    </x:row>
    <x:row r="11">
      <x:c r="A11" t="str">
        <x:v>Cooldown (turns)</x:v>
      </x:c>
      <x:c r="B11" t="n">
        <x:v>2</x:v>
      </x:c>
      <x:c r="C11"/>
      <x:c r="D11" t="str">
        <x:v>Expiry Rule</x:v>
      </x:c>
      <x:c r="E11" t="str">
        <x:v>MIN(Current Armour, Normal Maximum Armour)</x:v>
      </x:c>
      <x:c r="F11" t="str">
        <x:v>Cooldown (turns)</x:v>
      </x:c>
      <x:c r="G11" t="n">
        <x:v>2</x:v>
      </x:c>
      <x:c r="H11"/>
      <x:c r="I11" t="str">
        <x:v>Expiry Rule</x:v>
      </x:c>
      <x:c r="J11" t="str">
        <x:v>MIN(Current Magic Armour, Normal Maximum Magic Armour)</x:v>
      </x:c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 t="str">
        <x:v>Key Behaviour</x:v>
      </x:c>
      <x:c r="B13"/>
      <x:c r="C13"/>
      <x:c r="D13"/>
      <x:c r="E13"/>
      <x:c r="F13"/>
      <x:c r="G13"/>
      <x:c r="H13"/>
      <x:c r="I13"/>
      <x:c r="J13"/>
    </x:row>
    <x:row r="14">
      <x:c r="A14" t="str">
        <x:v>Fortify and Ward add their full value to the current protection pool and raise its temporary maximum by the same amount.</x:v>
      </x:c>
      <x:c r="B14"/>
      <x:c r="C14"/>
      <x:c r="D14"/>
      <x:c r="E14"/>
      <x:c r="F14"/>
      <x:c r="G14"/>
      <x:c r="H14"/>
      <x:c r="I14"/>
      <x:c r="J14"/>
    </x:row>
    <x:row r="15">
      <x:c r="A15" t="str">
        <x:v>Restoration only heals the current pool up to its normal maximum and uses a shorter 1-turn cooldown.</x:v>
      </x:c>
      <x:c r="B15"/>
      <x:c r="C15"/>
      <x:c r="D15"/>
      <x:c r="E15"/>
      <x:c r="F15"/>
      <x:c r="G15"/>
      <x:c r="H15"/>
      <x:c r="I15"/>
      <x:c r="J15"/>
    </x:row>
    <x:row r="16">
      <x:c r="A16" t="str">
        <x:v>Fortify and Ward usually last 2 turns and use a 2-turn cooldown. Dual Bastion/Aegis effects use a 3-turn cooldown.</x:v>
      </x:c>
      <x:c r="B16"/>
      <x:c r="C16"/>
      <x:c r="D16"/>
      <x:c r="E16"/>
      <x:c r="F16"/>
      <x:c r="G16"/>
      <x:c r="H16"/>
      <x:c r="I16"/>
      <x:c r="J16"/>
    </x:row>
    <x:row r="17">
      <x:c r="A17" t="str">
        <x:v>When a temporary effect expires, only protection above the normal maximum is removed; protection below the maximum remains unchanged.</x:v>
      </x:c>
      <x:c r="B17"/>
      <x:c r="C17"/>
      <x:c r="D17"/>
      <x:c r="E17"/>
      <x:c r="F17"/>
      <x:c r="G17"/>
      <x:c r="H17"/>
      <x:c r="I17"/>
      <x:c r="J17"/>
    </x:row>
    <x:row r="18">
      <x:c r="A18" t="str">
        <x:v>Temporary Armour and Magic Armour count as their normal pools and block matching ailments while any points remain.</x:v>
      </x:c>
      <x:c r="B18"/>
      <x:c r="C18"/>
      <x:c r="D18"/>
      <x:c r="E18"/>
      <x:c r="F18"/>
      <x:c r="G18"/>
      <x:c r="H18"/>
      <x:c r="I18"/>
      <x:c r="J18"/>
    </x:row>
  </x:sheetData>
  <x:pageMargins left="0.7" right="0.7" top="0.75" bottom="0.75" header="0.3" footer="0.3"/>
</x:worksheet>
</file>